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for PORTFOLIO\Project_PokemonV3\"/>
    </mc:Choice>
  </mc:AlternateContent>
  <xr:revisionPtr revIDLastSave="0" documentId="13_ncr:1_{59B76E6D-C0F4-4F6F-A2C7-6122889D3F4F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PokemonList" sheetId="3" r:id="rId1"/>
    <sheet name="WeaknessChart" sheetId="4" r:id="rId2"/>
    <sheet name="Stars" sheetId="5" r:id="rId3"/>
    <sheet name="Move_List" sheetId="6" r:id="rId4"/>
    <sheet name="MoveList_OLD" sheetId="7" state="hidden" r:id="rId5"/>
    <sheet name="Main_Table" sheetId="8" r:id="rId6"/>
    <sheet name="StardustV1 (Sub100)" sheetId="9" state="hidden" r:id="rId7"/>
    <sheet name="StardustV2 (Sub100)" sheetId="10" state="hidden" r:id="rId8"/>
    <sheet name="StardustV1 (Full)" sheetId="11" state="hidden" r:id="rId9"/>
    <sheet name="StardustV2 (Full)" sheetId="12" state="hidden" r:id="rId10"/>
    <sheet name="Stardust 3" sheetId="14" state="hidden" r:id="rId11"/>
    <sheet name="Stardust 4" sheetId="15" state="hidden" r:id="rId12"/>
    <sheet name="Promo" sheetId="16" state="hidden" r:id="rId13"/>
  </sheets>
  <definedNames>
    <definedName name="_xlnm._FilterDatabase" localSheetId="5" hidden="1">Main_Table!$A$1:$R$1019</definedName>
    <definedName name="_xlnm._FilterDatabase" localSheetId="3" hidden="1">Move_List!$A$1:$G$1000</definedName>
    <definedName name="_xlnm._FilterDatabase" localSheetId="4" hidden="1">MoveList_OLD!$A$1:$D$104</definedName>
    <definedName name="_xlnm._FilterDatabase" localSheetId="0" hidden="1">PokemonList!$A$1:$E$144</definedName>
    <definedName name="_xlnm._FilterDatabase" localSheetId="8" hidden="1">'StardustV1 (Full)'!$A$1:$Q$71</definedName>
    <definedName name="_xlnm._FilterDatabase" localSheetId="6" hidden="1">'StardustV1 (Sub100)'!$A$1:$P$47</definedName>
    <definedName name="_xlnm._FilterDatabase" localSheetId="9" hidden="1">'StardustV2 (Full)'!$A$1:$Q$71</definedName>
    <definedName name="_xlnm._FilterDatabase" localSheetId="7" hidden="1">'StardustV2 (Sub100)'!$A$1:$AC$46</definedName>
    <definedName name="Z_BBBC3303_2C7B_470C_8494_F9D54D39C8B1_.wvu.FilterData" localSheetId="9" hidden="1">'StardustV2 (Full)'!$A$1:$Q$71</definedName>
    <definedName name="Z_F486ED3F_27E8_41EE_BCEB_D5D4C75553F8_.wvu.FilterData" localSheetId="5" hidden="1">Main_Table!$A$1:$R$1019</definedName>
    <definedName name="Z_F486ED3F_27E8_41EE_BCEB_D5D4C75553F8_.wvu.FilterData" localSheetId="8" hidden="1">'StardustV1 (Full)'!$A$1:$Q$71</definedName>
  </definedNames>
  <calcPr calcId="191029"/>
  <customWorkbookViews>
    <customWorkbookView name="Sub 99 View" guid="{F486ED3F-27E8-41EE-BCEB-D5D4C75553F8}" maximized="1" windowWidth="0" windowHeight="0" activeSheetId="0"/>
    <customWorkbookView name="Sub99 View" guid="{BBBC3303-2C7B-470C-8494-F9D54D39C8B1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8" l="1" a="1"/>
  <c r="O3" i="8" s="1"/>
  <c r="O4" i="8" a="1"/>
  <c r="O4" i="8" s="1"/>
  <c r="O5" i="8" a="1"/>
  <c r="O5" i="8" s="1"/>
  <c r="O6" i="8" a="1"/>
  <c r="O6" i="8" s="1"/>
  <c r="O7" i="8" a="1"/>
  <c r="O7" i="8" s="1"/>
  <c r="O8" i="8" a="1"/>
  <c r="O8" i="8" s="1"/>
  <c r="O9" i="8" a="1"/>
  <c r="O9" i="8" s="1"/>
  <c r="O10" i="8" a="1"/>
  <c r="O10" i="8" s="1"/>
  <c r="O11" i="8" a="1"/>
  <c r="O11" i="8" s="1"/>
  <c r="O12" i="8" a="1"/>
  <c r="O12" i="8" s="1"/>
  <c r="O13" i="8" a="1"/>
  <c r="O13" i="8" s="1"/>
  <c r="O14" i="8" a="1"/>
  <c r="O14" i="8" s="1"/>
  <c r="O15" i="8" a="1"/>
  <c r="O15" i="8" s="1"/>
  <c r="O16" i="8" a="1"/>
  <c r="O16" i="8" s="1"/>
  <c r="O17" i="8" a="1"/>
  <c r="O17" i="8" s="1"/>
  <c r="O18" i="8" a="1"/>
  <c r="O18" i="8" s="1"/>
  <c r="O19" i="8" a="1"/>
  <c r="O19" i="8" s="1"/>
  <c r="O20" i="8" a="1"/>
  <c r="O20" i="8" s="1"/>
  <c r="O21" i="8" a="1"/>
  <c r="O21" i="8" s="1"/>
  <c r="O22" i="8" a="1"/>
  <c r="O22" i="8"/>
  <c r="O23" i="8" a="1"/>
  <c r="O23" i="8" s="1"/>
  <c r="O24" i="8" a="1"/>
  <c r="O24" i="8" s="1"/>
  <c r="O25" i="8" a="1"/>
  <c r="O25" i="8" s="1"/>
  <c r="O26" i="8" a="1"/>
  <c r="O26" i="8" s="1"/>
  <c r="O27" i="8" a="1"/>
  <c r="O27" i="8" s="1"/>
  <c r="Q27" i="8" s="1"/>
  <c r="R27" i="8" s="1" a="1"/>
  <c r="R27" i="8" s="1"/>
  <c r="O28" i="8" a="1"/>
  <c r="O28" i="8" s="1"/>
  <c r="O29" i="8" a="1"/>
  <c r="O29" i="8"/>
  <c r="O30" i="8" a="1"/>
  <c r="O30" i="8"/>
  <c r="O31" i="8" a="1"/>
  <c r="O31" i="8" s="1"/>
  <c r="O32" i="8" a="1"/>
  <c r="O32" i="8"/>
  <c r="O33" i="8" a="1"/>
  <c r="O33" i="8"/>
  <c r="O34" i="8" a="1"/>
  <c r="O34" i="8"/>
  <c r="O35" i="8" a="1"/>
  <c r="O35" i="8"/>
  <c r="O36" i="8" a="1"/>
  <c r="O36" i="8"/>
  <c r="O37" i="8" a="1"/>
  <c r="O37" i="8"/>
  <c r="O38" i="8" a="1"/>
  <c r="O38" i="8"/>
  <c r="O39" i="8" a="1"/>
  <c r="O39" i="8"/>
  <c r="O40" i="8" a="1"/>
  <c r="O40" i="8"/>
  <c r="O41" i="8" a="1"/>
  <c r="O41" i="8"/>
  <c r="O42" i="8" a="1"/>
  <c r="O42" i="8"/>
  <c r="O43" i="8" a="1"/>
  <c r="O43" i="8"/>
  <c r="O44" i="8" a="1"/>
  <c r="O44" i="8" s="1"/>
  <c r="O45" i="8" a="1"/>
  <c r="O45" i="8"/>
  <c r="O46" i="8" a="1"/>
  <c r="O46" i="8"/>
  <c r="O47" i="8" a="1"/>
  <c r="O47" i="8" s="1"/>
  <c r="O48" i="8" a="1"/>
  <c r="O48" i="8"/>
  <c r="O49" i="8" a="1"/>
  <c r="O49" i="8" s="1"/>
  <c r="O50" i="8" a="1"/>
  <c r="O50" i="8"/>
  <c r="O51" i="8" a="1"/>
  <c r="O51" i="8" s="1"/>
  <c r="O52" i="8" a="1"/>
  <c r="O52" i="8"/>
  <c r="O53" i="8" a="1"/>
  <c r="O53" i="8" s="1"/>
  <c r="O54" i="8" a="1"/>
  <c r="O54" i="8" s="1"/>
  <c r="O55" i="8" a="1"/>
  <c r="O55" i="8" s="1"/>
  <c r="O56" i="8" a="1"/>
  <c r="O56" i="8" s="1"/>
  <c r="O57" i="8" a="1"/>
  <c r="O57" i="8" s="1"/>
  <c r="O58" i="8" a="1"/>
  <c r="O58" i="8" s="1"/>
  <c r="O59" i="8" a="1"/>
  <c r="O59" i="8" s="1"/>
  <c r="O60" i="8" a="1"/>
  <c r="O60" i="8" s="1"/>
  <c r="O61" i="8" a="1"/>
  <c r="O61" i="8" s="1"/>
  <c r="O62" i="8" a="1"/>
  <c r="O62" i="8" s="1"/>
  <c r="O63" i="8" a="1"/>
  <c r="O63" i="8" s="1"/>
  <c r="O64" i="8" a="1"/>
  <c r="O64" i="8" s="1"/>
  <c r="O65" i="8" a="1"/>
  <c r="O65" i="8" s="1"/>
  <c r="O66" i="8" a="1"/>
  <c r="O66" i="8" s="1"/>
  <c r="O67" i="8" a="1"/>
  <c r="O67" i="8" s="1"/>
  <c r="O68" i="8" a="1"/>
  <c r="O68" i="8" s="1"/>
  <c r="O69" i="8" a="1"/>
  <c r="O69" i="8" s="1"/>
  <c r="O70" i="8" a="1"/>
  <c r="O70" i="8" s="1"/>
  <c r="O71" i="8" a="1"/>
  <c r="O71" i="8" s="1"/>
  <c r="O72" i="8" a="1"/>
  <c r="O72" i="8" s="1"/>
  <c r="O73" i="8" a="1"/>
  <c r="O73" i="8" s="1"/>
  <c r="O74" i="8" a="1"/>
  <c r="O74" i="8" s="1"/>
  <c r="O75" i="8" a="1"/>
  <c r="O75" i="8" s="1"/>
  <c r="O76" i="8" a="1"/>
  <c r="O76" i="8" s="1"/>
  <c r="O77" i="8" a="1"/>
  <c r="O77" i="8" s="1"/>
  <c r="O78" i="8" a="1"/>
  <c r="O78" i="8" s="1"/>
  <c r="O79" i="8" a="1"/>
  <c r="O79" i="8" s="1"/>
  <c r="O80" i="8" a="1"/>
  <c r="O80" i="8" s="1"/>
  <c r="O81" i="8" a="1"/>
  <c r="O81" i="8" s="1"/>
  <c r="O82" i="8" a="1"/>
  <c r="O82" i="8" s="1"/>
  <c r="O83" i="8" a="1"/>
  <c r="O83" i="8" s="1"/>
  <c r="O84" i="8" a="1"/>
  <c r="O84" i="8" s="1"/>
  <c r="Q84" i="8" s="1"/>
  <c r="R84" i="8" s="1" a="1"/>
  <c r="R84" i="8" s="1"/>
  <c r="O85" i="8" a="1"/>
  <c r="O85" i="8" s="1"/>
  <c r="O86" i="8" a="1"/>
  <c r="O86" i="8" s="1"/>
  <c r="O87" i="8" a="1"/>
  <c r="O87" i="8" s="1"/>
  <c r="O88" i="8" a="1"/>
  <c r="O88" i="8" s="1"/>
  <c r="O89" i="8" a="1"/>
  <c r="O89" i="8" s="1"/>
  <c r="O90" i="8" a="1"/>
  <c r="O90" i="8" s="1"/>
  <c r="O91" i="8" a="1"/>
  <c r="O91" i="8" s="1"/>
  <c r="O92" i="8" a="1"/>
  <c r="O92" i="8" s="1"/>
  <c r="O93" i="8" a="1"/>
  <c r="O93" i="8" s="1"/>
  <c r="O94" i="8" a="1"/>
  <c r="O94" i="8" s="1"/>
  <c r="O95" i="8" a="1"/>
  <c r="O95" i="8" s="1"/>
  <c r="O96" i="8" a="1"/>
  <c r="O96" i="8" s="1"/>
  <c r="O97" i="8" a="1"/>
  <c r="O97" i="8" s="1"/>
  <c r="O98" i="8" a="1"/>
  <c r="O98" i="8" s="1"/>
  <c r="O99" i="8" a="1"/>
  <c r="O99" i="8" s="1"/>
  <c r="O100" i="8" a="1"/>
  <c r="O100" i="8" s="1"/>
  <c r="O101" i="8" a="1"/>
  <c r="O101" i="8" s="1"/>
  <c r="O102" i="8" a="1"/>
  <c r="O102" i="8" s="1"/>
  <c r="O103" i="8" a="1"/>
  <c r="O103" i="8" s="1"/>
  <c r="O104" i="8" a="1"/>
  <c r="O104" i="8" s="1"/>
  <c r="O105" i="8" a="1"/>
  <c r="O105" i="8" s="1"/>
  <c r="O106" i="8" a="1"/>
  <c r="O106" i="8" s="1"/>
  <c r="O107" i="8" a="1"/>
  <c r="O107" i="8" s="1"/>
  <c r="O108" i="8" a="1"/>
  <c r="O108" i="8" s="1"/>
  <c r="O109" i="8" a="1"/>
  <c r="O109" i="8" s="1"/>
  <c r="O110" i="8" a="1"/>
  <c r="O110" i="8" s="1"/>
  <c r="O111" i="8" a="1"/>
  <c r="O111" i="8" s="1"/>
  <c r="O112" i="8" a="1"/>
  <c r="O112" i="8" s="1"/>
  <c r="O113" i="8" a="1"/>
  <c r="O113" i="8" s="1"/>
  <c r="O114" i="8" a="1"/>
  <c r="O114" i="8" s="1"/>
  <c r="O115" i="8" a="1"/>
  <c r="O115" i="8" s="1"/>
  <c r="Q115" i="8" s="1"/>
  <c r="R115" i="8" s="1" a="1"/>
  <c r="R115" i="8" s="1"/>
  <c r="O116" i="8" a="1"/>
  <c r="O116" i="8" s="1"/>
  <c r="O117" i="8" a="1"/>
  <c r="O117" i="8" s="1"/>
  <c r="O118" i="8" a="1"/>
  <c r="O118" i="8" s="1"/>
  <c r="O119" i="8" a="1"/>
  <c r="O119" i="8" s="1"/>
  <c r="O120" i="8" a="1"/>
  <c r="O120" i="8" s="1"/>
  <c r="O121" i="8" a="1"/>
  <c r="O121" i="8" s="1"/>
  <c r="O122" i="8" a="1"/>
  <c r="O122" i="8" s="1"/>
  <c r="O123" i="8" a="1"/>
  <c r="O123" i="8"/>
  <c r="O124" i="8" a="1"/>
  <c r="O124" i="8"/>
  <c r="O125" i="8" a="1"/>
  <c r="O125" i="8"/>
  <c r="O126" i="8" a="1"/>
  <c r="O126" i="8"/>
  <c r="O127" i="8" a="1"/>
  <c r="O127" i="8"/>
  <c r="O128" i="8" a="1"/>
  <c r="O128" i="8"/>
  <c r="O129" i="8" a="1"/>
  <c r="O129" i="8"/>
  <c r="O130" i="8" a="1"/>
  <c r="O130" i="8"/>
  <c r="O131" i="8" a="1"/>
  <c r="O131" i="8"/>
  <c r="O132" i="8" a="1"/>
  <c r="O132" i="8"/>
  <c r="O133" i="8" a="1"/>
  <c r="O133" i="8"/>
  <c r="O134" i="8" a="1"/>
  <c r="O134" i="8"/>
  <c r="O135" i="8" a="1"/>
  <c r="O135" i="8"/>
  <c r="O136" i="8" a="1"/>
  <c r="O136" i="8"/>
  <c r="O137" i="8" a="1"/>
  <c r="O137" i="8"/>
  <c r="O138" i="8" a="1"/>
  <c r="O138" i="8"/>
  <c r="O139" i="8" a="1"/>
  <c r="O139" i="8"/>
  <c r="O140" i="8" a="1"/>
  <c r="O140" i="8"/>
  <c r="O141" i="8" a="1"/>
  <c r="O141" i="8"/>
  <c r="O142" i="8" a="1"/>
  <c r="O142" i="8"/>
  <c r="O143" i="8" a="1"/>
  <c r="O143" i="8"/>
  <c r="O144" i="8" a="1"/>
  <c r="O144" i="8"/>
  <c r="Q30" i="8"/>
  <c r="R30" i="8" s="1" a="1"/>
  <c r="R30" i="8" s="1"/>
  <c r="O2" i="8" a="1"/>
  <c r="O2" i="8" s="1"/>
  <c r="N35" i="8" a="1"/>
  <c r="N35" i="8" s="1"/>
  <c r="N11" i="8" a="1"/>
  <c r="N11" i="8" s="1"/>
  <c r="N19" i="8" a="1"/>
  <c r="N19" i="8" s="1"/>
  <c r="N3" i="8" a="1"/>
  <c r="N3" i="8" s="1"/>
  <c r="N5" i="8" a="1"/>
  <c r="N5" i="8" s="1"/>
  <c r="N16" i="8" a="1"/>
  <c r="N16" i="8" s="1"/>
  <c r="N20" i="8" a="1"/>
  <c r="N20" i="8" s="1"/>
  <c r="N40" i="8" a="1"/>
  <c r="N40" i="8" s="1"/>
  <c r="N29" i="8" a="1"/>
  <c r="N29" i="8" s="1"/>
  <c r="N22" i="8" a="1"/>
  <c r="N22" i="8" s="1"/>
  <c r="N64" i="8" a="1"/>
  <c r="N64" i="8" s="1"/>
  <c r="N76" i="8" a="1"/>
  <c r="N76" i="8" s="1"/>
  <c r="N14" i="8" a="1"/>
  <c r="N14" i="8" s="1"/>
  <c r="N69" i="8" a="1"/>
  <c r="N69" i="8" s="1"/>
  <c r="N50" i="8" a="1"/>
  <c r="N50" i="8" s="1"/>
  <c r="N41" i="8" a="1"/>
  <c r="N41" i="8" s="1"/>
  <c r="N18" i="8" a="1"/>
  <c r="N18" i="8" s="1"/>
  <c r="N63" i="8" a="1"/>
  <c r="N63" i="8" s="1"/>
  <c r="N21" i="8" a="1"/>
  <c r="N21" i="8" s="1"/>
  <c r="N44" i="8" a="1"/>
  <c r="N44" i="8" s="1"/>
  <c r="N24" i="8" a="1"/>
  <c r="N24" i="8" s="1"/>
  <c r="N62" i="8" a="1"/>
  <c r="N62" i="8" s="1"/>
  <c r="N65" i="8" a="1"/>
  <c r="N65" i="8" s="1"/>
  <c r="N33" i="8" a="1"/>
  <c r="N33" i="8" s="1"/>
  <c r="N121" i="8" a="1"/>
  <c r="N121" i="8" s="1"/>
  <c r="N28" i="8" a="1"/>
  <c r="N28" i="8" s="1"/>
  <c r="N118" i="8" a="1"/>
  <c r="N118" i="8" s="1"/>
  <c r="N32" i="8" a="1"/>
  <c r="N32" i="8" s="1"/>
  <c r="N129" i="8" a="1"/>
  <c r="N129" i="8" s="1"/>
  <c r="N70" i="8" a="1"/>
  <c r="N70" i="8" s="1"/>
  <c r="N119" i="8" a="1"/>
  <c r="N119" i="8" s="1"/>
  <c r="N42" i="8" a="1"/>
  <c r="N42" i="8" s="1"/>
  <c r="N45" i="8" a="1"/>
  <c r="N45" i="8" s="1"/>
  <c r="N137" i="8" a="1"/>
  <c r="N137" i="8"/>
  <c r="N53" i="8" a="1"/>
  <c r="N53" i="8" s="1"/>
  <c r="N46" i="8" a="1"/>
  <c r="N46" i="8"/>
  <c r="N123" i="8" a="1"/>
  <c r="N123" i="8"/>
  <c r="N73" i="8" a="1"/>
  <c r="N73" i="8"/>
  <c r="N49" i="8" a="1"/>
  <c r="N49" i="8" s="1"/>
  <c r="N141" i="8" a="1"/>
  <c r="N141" i="8" s="1"/>
  <c r="N52" i="8" a="1"/>
  <c r="N52" i="8" s="1"/>
  <c r="N54" i="8" a="1"/>
  <c r="N54" i="8" s="1"/>
  <c r="N59" i="8" a="1"/>
  <c r="N59" i="8"/>
  <c r="N72" i="8" a="1"/>
  <c r="N72" i="8"/>
  <c r="N55" i="8" a="1"/>
  <c r="N55" i="8"/>
  <c r="N56" i="8" a="1"/>
  <c r="N56" i="8"/>
  <c r="N60" i="8" a="1"/>
  <c r="N60" i="8"/>
  <c r="N83" i="8" a="1"/>
  <c r="N83" i="8" s="1"/>
  <c r="N61" i="8" a="1"/>
  <c r="N61" i="8" s="1"/>
  <c r="N144" i="8" a="1"/>
  <c r="N144" i="8" s="1"/>
  <c r="N85" i="8" a="1"/>
  <c r="N85" i="8" s="1"/>
  <c r="N134" i="8" a="1"/>
  <c r="N134" i="8" s="1"/>
  <c r="N51" i="8" a="1"/>
  <c r="N51" i="8" s="1"/>
  <c r="N88" i="8" a="1"/>
  <c r="N88" i="8" s="1"/>
  <c r="N66" i="8" a="1"/>
  <c r="N66" i="8" s="1"/>
  <c r="N136" i="8" a="1"/>
  <c r="N136" i="8" s="1"/>
  <c r="N68" i="8" a="1"/>
  <c r="N68" i="8" s="1"/>
  <c r="N71" i="8" a="1"/>
  <c r="N71" i="8" s="1"/>
  <c r="N114" i="8" a="1"/>
  <c r="N114" i="8" s="1"/>
  <c r="N92" i="8" a="1"/>
  <c r="N92" i="8"/>
  <c r="N74" i="8" a="1"/>
  <c r="N74" i="8"/>
  <c r="N124" i="8" a="1"/>
  <c r="N124" i="8" s="1"/>
  <c r="N93" i="8" a="1"/>
  <c r="N93" i="8" s="1"/>
  <c r="N126" i="8" a="1"/>
  <c r="N126" i="8"/>
  <c r="N75" i="8" a="1"/>
  <c r="N75" i="8"/>
  <c r="N78" i="8" a="1"/>
  <c r="N78" i="8" s="1"/>
  <c r="N79" i="8" a="1"/>
  <c r="N79" i="8" s="1"/>
  <c r="N128" i="8" a="1"/>
  <c r="N128" i="8" s="1"/>
  <c r="N80" i="8" a="1"/>
  <c r="N80" i="8" s="1"/>
  <c r="N8" i="8" a="1"/>
  <c r="N8" i="8" s="1"/>
  <c r="N4" i="8" a="1"/>
  <c r="N4" i="8" s="1"/>
  <c r="N17" i="8" a="1"/>
  <c r="N17" i="8" s="1"/>
  <c r="N84" i="8" a="1"/>
  <c r="N84" i="8" s="1"/>
  <c r="N2" i="8" a="1"/>
  <c r="N2" i="8"/>
  <c r="N6" i="8" a="1"/>
  <c r="N6" i="8" s="1"/>
  <c r="N23" i="8" a="1"/>
  <c r="N23" i="8" s="1"/>
  <c r="N31" i="8" a="1"/>
  <c r="N31" i="8" s="1"/>
  <c r="N10" i="8" a="1"/>
  <c r="N10" i="8" s="1"/>
  <c r="N13" i="8" a="1"/>
  <c r="N13" i="8" s="1"/>
  <c r="N38" i="8" a="1"/>
  <c r="N38" i="8" s="1"/>
  <c r="N34" i="8" a="1"/>
  <c r="N34" i="8" s="1"/>
  <c r="N36" i="8" a="1"/>
  <c r="N36" i="8" s="1"/>
  <c r="N26" i="8" a="1"/>
  <c r="N26" i="8" s="1"/>
  <c r="N58" i="8" a="1"/>
  <c r="N58" i="8" s="1"/>
  <c r="N27" i="8" a="1"/>
  <c r="N27" i="8" s="1"/>
  <c r="N30" i="8" a="1"/>
  <c r="N30" i="8" s="1"/>
  <c r="N48" i="8" a="1"/>
  <c r="N48" i="8" s="1"/>
  <c r="N37" i="8" a="1"/>
  <c r="N37" i="8" s="1"/>
  <c r="N12" i="8" a="1"/>
  <c r="N12" i="8" s="1"/>
  <c r="N9" i="8" a="1"/>
  <c r="N9" i="8" s="1"/>
  <c r="N57" i="8" a="1"/>
  <c r="N57" i="8" s="1"/>
  <c r="N47" i="8" a="1"/>
  <c r="N47" i="8" s="1"/>
  <c r="N43" i="8" a="1"/>
  <c r="N43" i="8" s="1"/>
  <c r="N39" i="8" a="1"/>
  <c r="N39" i="8" s="1"/>
  <c r="N81" i="8" a="1"/>
  <c r="N81" i="8" s="1"/>
  <c r="N86" i="8" a="1"/>
  <c r="N86" i="8" s="1"/>
  <c r="N87" i="8" a="1"/>
  <c r="N87" i="8" s="1"/>
  <c r="N125" i="8" a="1"/>
  <c r="N125" i="8" s="1"/>
  <c r="N116" i="8" a="1"/>
  <c r="N116" i="8" s="1"/>
  <c r="N131" i="8" a="1"/>
  <c r="N131" i="8" s="1"/>
  <c r="N120" i="8" a="1"/>
  <c r="N120" i="8" s="1"/>
  <c r="N94" i="8" a="1"/>
  <c r="N94" i="8" s="1"/>
  <c r="N89" i="8" a="1"/>
  <c r="N89" i="8" s="1"/>
  <c r="N127" i="8" a="1"/>
  <c r="N127" i="8" s="1"/>
  <c r="N95" i="8" a="1"/>
  <c r="N95" i="8" s="1"/>
  <c r="N90" i="8" a="1"/>
  <c r="N90" i="8" s="1"/>
  <c r="N122" i="8" a="1"/>
  <c r="N122" i="8" s="1"/>
  <c r="N97" i="8" a="1"/>
  <c r="N97" i="8" s="1"/>
  <c r="N91" i="8" a="1"/>
  <c r="N91" i="8" s="1"/>
  <c r="N96" i="8" a="1"/>
  <c r="N96" i="8" s="1"/>
  <c r="N98" i="8" a="1"/>
  <c r="N98" i="8" s="1"/>
  <c r="N99" i="8" a="1"/>
  <c r="N99" i="8" s="1"/>
  <c r="N100" i="8" a="1"/>
  <c r="N100" i="8" s="1"/>
  <c r="N142" i="8" a="1"/>
  <c r="N142" i="8" s="1"/>
  <c r="N102" i="8" a="1"/>
  <c r="N102" i="8" s="1"/>
  <c r="N138" i="8" a="1"/>
  <c r="N138" i="8" s="1"/>
  <c r="N103" i="8" a="1"/>
  <c r="N103" i="8" s="1"/>
  <c r="N101" i="8" a="1"/>
  <c r="N101" i="8" s="1"/>
  <c r="N115" i="8" a="1"/>
  <c r="N115" i="8"/>
  <c r="N104" i="8" a="1"/>
  <c r="N104" i="8"/>
  <c r="N132" i="8" a="1"/>
  <c r="N132" i="8"/>
  <c r="N106" i="8" a="1"/>
  <c r="N106" i="8"/>
  <c r="N143" i="8" a="1"/>
  <c r="N143" i="8" s="1"/>
  <c r="N107" i="8" a="1"/>
  <c r="N107" i="8" s="1"/>
  <c r="N112" i="8" a="1"/>
  <c r="N112" i="8" s="1"/>
  <c r="N130" i="8" a="1"/>
  <c r="N130" i="8" s="1"/>
  <c r="N108" i="8" a="1"/>
  <c r="N108" i="8" s="1"/>
  <c r="N109" i="8" a="1"/>
  <c r="N109" i="8" s="1"/>
  <c r="N105" i="8" a="1"/>
  <c r="N105" i="8" s="1"/>
  <c r="N110" i="8" a="1"/>
  <c r="N110" i="8" s="1"/>
  <c r="N77" i="8" a="1"/>
  <c r="N77" i="8" s="1"/>
  <c r="N111" i="8" a="1"/>
  <c r="N111" i="8" s="1"/>
  <c r="N113" i="8" a="1"/>
  <c r="N113" i="8" s="1"/>
  <c r="N117" i="8" a="1"/>
  <c r="N117" i="8" s="1"/>
  <c r="N140" i="8" a="1"/>
  <c r="N140" i="8" s="1"/>
  <c r="N133" i="8" a="1"/>
  <c r="N133" i="8" s="1"/>
  <c r="N135" i="8" a="1"/>
  <c r="N135" i="8" s="1"/>
  <c r="N82" i="8" a="1"/>
  <c r="N82" i="8" s="1"/>
  <c r="N139" i="8" a="1"/>
  <c r="N139" i="8" s="1"/>
  <c r="N67" i="8" a="1"/>
  <c r="N67" i="8" s="1"/>
  <c r="N25" i="8" a="1"/>
  <c r="N25" i="8" s="1"/>
  <c r="N7" i="8" a="1"/>
  <c r="N7" i="8" s="1"/>
  <c r="N15" i="8" a="1"/>
  <c r="N15" i="8" s="1"/>
  <c r="C35" i="8"/>
  <c r="C11" i="8"/>
  <c r="C19" i="8"/>
  <c r="C3" i="8"/>
  <c r="C5" i="8"/>
  <c r="C16" i="8"/>
  <c r="C20" i="8"/>
  <c r="C40" i="8"/>
  <c r="C29" i="8"/>
  <c r="C22" i="8"/>
  <c r="C64" i="8"/>
  <c r="C76" i="8"/>
  <c r="C14" i="8"/>
  <c r="C69" i="8"/>
  <c r="C50" i="8"/>
  <c r="C41" i="8"/>
  <c r="C18" i="8"/>
  <c r="C63" i="8"/>
  <c r="C21" i="8"/>
  <c r="C44" i="8"/>
  <c r="C24" i="8"/>
  <c r="C62" i="8"/>
  <c r="C65" i="8"/>
  <c r="C33" i="8"/>
  <c r="C121" i="8"/>
  <c r="C28" i="8"/>
  <c r="C118" i="8"/>
  <c r="C32" i="8"/>
  <c r="C129" i="8"/>
  <c r="C70" i="8"/>
  <c r="C119" i="8"/>
  <c r="C42" i="8"/>
  <c r="C45" i="8"/>
  <c r="C137" i="8"/>
  <c r="C53" i="8"/>
  <c r="C46" i="8"/>
  <c r="C123" i="8"/>
  <c r="C73" i="8"/>
  <c r="C49" i="8"/>
  <c r="C141" i="8"/>
  <c r="C52" i="8"/>
  <c r="C54" i="8"/>
  <c r="C59" i="8"/>
  <c r="C72" i="8"/>
  <c r="C55" i="8"/>
  <c r="C56" i="8"/>
  <c r="C60" i="8"/>
  <c r="C83" i="8"/>
  <c r="C61" i="8"/>
  <c r="C144" i="8"/>
  <c r="C85" i="8"/>
  <c r="C134" i="8"/>
  <c r="C51" i="8"/>
  <c r="C88" i="8"/>
  <c r="C66" i="8"/>
  <c r="C136" i="8"/>
  <c r="C68" i="8"/>
  <c r="C71" i="8"/>
  <c r="C114" i="8"/>
  <c r="C92" i="8"/>
  <c r="C74" i="8"/>
  <c r="C124" i="8"/>
  <c r="C93" i="8"/>
  <c r="C126" i="8"/>
  <c r="C75" i="8"/>
  <c r="C78" i="8"/>
  <c r="C79" i="8"/>
  <c r="C128" i="8"/>
  <c r="C80" i="8"/>
  <c r="C8" i="8"/>
  <c r="C4" i="8"/>
  <c r="C17" i="8"/>
  <c r="C84" i="8"/>
  <c r="C2" i="8"/>
  <c r="C6" i="8"/>
  <c r="C23" i="8"/>
  <c r="C31" i="8"/>
  <c r="C10" i="8"/>
  <c r="C13" i="8"/>
  <c r="C38" i="8"/>
  <c r="C34" i="8"/>
  <c r="C36" i="8"/>
  <c r="C26" i="8"/>
  <c r="C58" i="8"/>
  <c r="C27" i="8"/>
  <c r="C30" i="8"/>
  <c r="C48" i="8"/>
  <c r="C37" i="8"/>
  <c r="C12" i="8"/>
  <c r="C9" i="8"/>
  <c r="C57" i="8"/>
  <c r="C47" i="8"/>
  <c r="C43" i="8"/>
  <c r="C39" i="8"/>
  <c r="C81" i="8"/>
  <c r="C86" i="8"/>
  <c r="C87" i="8"/>
  <c r="C125" i="8"/>
  <c r="C116" i="8"/>
  <c r="C131" i="8"/>
  <c r="C120" i="8"/>
  <c r="C94" i="8"/>
  <c r="C89" i="8"/>
  <c r="C127" i="8"/>
  <c r="C95" i="8"/>
  <c r="C90" i="8"/>
  <c r="C122" i="8"/>
  <c r="C97" i="8"/>
  <c r="C91" i="8"/>
  <c r="C96" i="8"/>
  <c r="C98" i="8"/>
  <c r="C99" i="8"/>
  <c r="C100" i="8"/>
  <c r="C142" i="8"/>
  <c r="C102" i="8"/>
  <c r="C138" i="8"/>
  <c r="C103" i="8"/>
  <c r="C101" i="8"/>
  <c r="C115" i="8"/>
  <c r="C104" i="8"/>
  <c r="C132" i="8"/>
  <c r="C106" i="8"/>
  <c r="C143" i="8"/>
  <c r="C107" i="8"/>
  <c r="C112" i="8"/>
  <c r="C130" i="8"/>
  <c r="C108" i="8"/>
  <c r="C109" i="8"/>
  <c r="C105" i="8"/>
  <c r="C110" i="8"/>
  <c r="C77" i="8"/>
  <c r="C111" i="8"/>
  <c r="C113" i="8"/>
  <c r="C117" i="8"/>
  <c r="C140" i="8"/>
  <c r="C133" i="8"/>
  <c r="C135" i="8"/>
  <c r="C82" i="8"/>
  <c r="C139" i="8"/>
  <c r="C67" i="8"/>
  <c r="C25" i="8"/>
  <c r="C7" i="8"/>
  <c r="C15" i="8"/>
  <c r="K14" i="16"/>
  <c r="L14" i="16" s="1"/>
  <c r="K13" i="16"/>
  <c r="L13" i="16" s="1"/>
  <c r="K12" i="16"/>
  <c r="L12" i="16" s="1"/>
  <c r="K11" i="16"/>
  <c r="L11" i="16" s="1"/>
  <c r="K10" i="16"/>
  <c r="L10" i="16" s="1"/>
  <c r="K9" i="16"/>
  <c r="L9" i="16" s="1"/>
  <c r="K8" i="16"/>
  <c r="L8" i="16" s="1"/>
  <c r="K6" i="16"/>
  <c r="L6" i="16" s="1"/>
  <c r="K5" i="16"/>
  <c r="L5" i="16" s="1"/>
  <c r="K3" i="16"/>
  <c r="L3" i="16" s="1"/>
  <c r="K2" i="16"/>
  <c r="L2" i="16" s="1"/>
  <c r="R35" i="15"/>
  <c r="Q35" i="15"/>
  <c r="N35" i="15" a="1"/>
  <c r="N35" i="15" s="1"/>
  <c r="R31" i="15"/>
  <c r="Q31" i="15"/>
  <c r="O31" i="15"/>
  <c r="N31" i="15"/>
  <c r="R27" i="15"/>
  <c r="Q27" i="15"/>
  <c r="O27" i="15"/>
  <c r="N27" i="15"/>
  <c r="R23" i="15"/>
  <c r="Q23" i="15"/>
  <c r="O23" i="15"/>
  <c r="N23" i="15"/>
  <c r="R19" i="15"/>
  <c r="Q19" i="15"/>
  <c r="O19" i="15" a="1"/>
  <c r="O19" i="15" s="1"/>
  <c r="N19" i="15" a="1"/>
  <c r="N19" i="15" s="1"/>
  <c r="R15" i="15"/>
  <c r="Q15" i="15"/>
  <c r="O15" i="15"/>
  <c r="N15" i="15"/>
  <c r="R11" i="15"/>
  <c r="Q11" i="15"/>
  <c r="O11" i="15"/>
  <c r="N11" i="15"/>
  <c r="L8" i="15"/>
  <c r="M8" i="15" s="1"/>
  <c r="R7" i="15"/>
  <c r="Q7" i="15"/>
  <c r="O7" i="15"/>
  <c r="N7" i="15"/>
  <c r="L7" i="15"/>
  <c r="M7" i="15" s="1"/>
  <c r="L6" i="15"/>
  <c r="M6" i="15" s="1"/>
  <c r="L5" i="15"/>
  <c r="M5" i="15" s="1"/>
  <c r="L4" i="15"/>
  <c r="M4" i="15" s="1"/>
  <c r="R3" i="15"/>
  <c r="Q3" i="15"/>
  <c r="O3" i="15"/>
  <c r="N3" i="15"/>
  <c r="L3" i="15"/>
  <c r="M3" i="15" s="1"/>
  <c r="L2" i="15"/>
  <c r="M2" i="15" s="1"/>
  <c r="R35" i="14"/>
  <c r="Q35" i="14"/>
  <c r="O35" i="14"/>
  <c r="N35" i="14"/>
  <c r="L35" i="14"/>
  <c r="M35" i="14" s="1"/>
  <c r="L34" i="14"/>
  <c r="M34" i="14" s="1"/>
  <c r="L33" i="14"/>
  <c r="M33" i="14" s="1"/>
  <c r="L32" i="14"/>
  <c r="M32" i="14" s="1"/>
  <c r="R31" i="14"/>
  <c r="Q31" i="14"/>
  <c r="O31" i="14"/>
  <c r="N31" i="14"/>
  <c r="L31" i="14"/>
  <c r="M31" i="14" s="1"/>
  <c r="L30" i="14"/>
  <c r="M30" i="14" s="1"/>
  <c r="L29" i="14"/>
  <c r="M29" i="14" s="1"/>
  <c r="L28" i="14"/>
  <c r="M28" i="14" s="1"/>
  <c r="R27" i="14"/>
  <c r="Q27" i="14"/>
  <c r="O27" i="14"/>
  <c r="N27" i="14"/>
  <c r="L27" i="14"/>
  <c r="M27" i="14" s="1"/>
  <c r="L26" i="14"/>
  <c r="M26" i="14" s="1"/>
  <c r="M25" i="14"/>
  <c r="L25" i="14"/>
  <c r="L24" i="14"/>
  <c r="M24" i="14" s="1"/>
  <c r="R23" i="14"/>
  <c r="Q23" i="14"/>
  <c r="O23" i="14"/>
  <c r="N23" i="14"/>
  <c r="L23" i="14"/>
  <c r="M23" i="14" s="1"/>
  <c r="L22" i="14"/>
  <c r="M22" i="14" s="1"/>
  <c r="L21" i="14"/>
  <c r="M21" i="14" s="1"/>
  <c r="L20" i="14"/>
  <c r="M20" i="14" s="1"/>
  <c r="R19" i="14"/>
  <c r="Q19" i="14"/>
  <c r="O19" i="14"/>
  <c r="N19" i="14"/>
  <c r="L19" i="14"/>
  <c r="M19" i="14" s="1"/>
  <c r="L18" i="14"/>
  <c r="M18" i="14" s="1"/>
  <c r="L17" i="14"/>
  <c r="M17" i="14" s="1"/>
  <c r="L16" i="14"/>
  <c r="M16" i="14" s="1"/>
  <c r="R15" i="14"/>
  <c r="Q15" i="14"/>
  <c r="O15" i="14"/>
  <c r="N15" i="14"/>
  <c r="L15" i="14"/>
  <c r="M15" i="14" s="1"/>
  <c r="L14" i="14"/>
  <c r="M14" i="14" s="1"/>
  <c r="L13" i="14"/>
  <c r="M13" i="14" s="1"/>
  <c r="L12" i="14"/>
  <c r="M12" i="14" s="1"/>
  <c r="R11" i="14"/>
  <c r="Q11" i="14"/>
  <c r="O11" i="14"/>
  <c r="N11" i="14"/>
  <c r="L11" i="14"/>
  <c r="M11" i="14" s="1"/>
  <c r="L10" i="14"/>
  <c r="M10" i="14" s="1"/>
  <c r="L9" i="14"/>
  <c r="M9" i="14" s="1"/>
  <c r="M8" i="14"/>
  <c r="L8" i="14"/>
  <c r="R7" i="14"/>
  <c r="Q7" i="14"/>
  <c r="O7" i="14"/>
  <c r="N7" i="14"/>
  <c r="L7" i="14"/>
  <c r="M7" i="14" s="1"/>
  <c r="L6" i="14"/>
  <c r="M6" i="14" s="1"/>
  <c r="L5" i="14"/>
  <c r="M5" i="14" s="1"/>
  <c r="L4" i="14"/>
  <c r="M4" i="14" s="1"/>
  <c r="R3" i="14"/>
  <c r="Q3" i="14"/>
  <c r="O3" i="14"/>
  <c r="N3" i="14"/>
  <c r="L3" i="14"/>
  <c r="M3" i="14" s="1"/>
  <c r="L2" i="14"/>
  <c r="M2" i="14" s="1"/>
  <c r="P71" i="12"/>
  <c r="O71" i="12"/>
  <c r="L71" i="12"/>
  <c r="M71" i="12" s="1"/>
  <c r="P70" i="12"/>
  <c r="O70" i="12"/>
  <c r="L70" i="12"/>
  <c r="M70" i="12" s="1"/>
  <c r="P69" i="12"/>
  <c r="O69" i="12"/>
  <c r="L69" i="12"/>
  <c r="M69" i="12" s="1"/>
  <c r="P68" i="12"/>
  <c r="O68" i="12"/>
  <c r="L68" i="12"/>
  <c r="M68" i="12" s="1"/>
  <c r="P67" i="12"/>
  <c r="O67" i="12"/>
  <c r="L67" i="12"/>
  <c r="M67" i="12" s="1"/>
  <c r="P66" i="12"/>
  <c r="O66" i="12"/>
  <c r="L66" i="12"/>
  <c r="M66" i="12" s="1"/>
  <c r="P65" i="12"/>
  <c r="O65" i="12"/>
  <c r="L65" i="12"/>
  <c r="M65" i="12" s="1"/>
  <c r="P64" i="12"/>
  <c r="O64" i="12"/>
  <c r="L64" i="12"/>
  <c r="M64" i="12" s="1"/>
  <c r="P63" i="12"/>
  <c r="O63" i="12"/>
  <c r="L63" i="12"/>
  <c r="M63" i="12" s="1"/>
  <c r="P62" i="12"/>
  <c r="O62" i="12"/>
  <c r="L62" i="12"/>
  <c r="M62" i="12" s="1"/>
  <c r="P61" i="12"/>
  <c r="O61" i="12"/>
  <c r="L61" i="12"/>
  <c r="M61" i="12" s="1"/>
  <c r="P60" i="12"/>
  <c r="O60" i="12"/>
  <c r="L60" i="12"/>
  <c r="M60" i="12" s="1"/>
  <c r="P59" i="12"/>
  <c r="O59" i="12"/>
  <c r="L59" i="12"/>
  <c r="M59" i="12" s="1"/>
  <c r="P58" i="12"/>
  <c r="O58" i="12"/>
  <c r="L58" i="12"/>
  <c r="M58" i="12" s="1"/>
  <c r="P57" i="12"/>
  <c r="O57" i="12"/>
  <c r="L57" i="12"/>
  <c r="M57" i="12" s="1"/>
  <c r="P56" i="12"/>
  <c r="O56" i="12"/>
  <c r="L56" i="12"/>
  <c r="M56" i="12" s="1"/>
  <c r="P55" i="12"/>
  <c r="O55" i="12"/>
  <c r="L55" i="12"/>
  <c r="M55" i="12" s="1"/>
  <c r="P54" i="12"/>
  <c r="O54" i="12"/>
  <c r="L54" i="12"/>
  <c r="M54" i="12" s="1"/>
  <c r="P53" i="12"/>
  <c r="O53" i="12"/>
  <c r="L53" i="12"/>
  <c r="M53" i="12" s="1"/>
  <c r="P52" i="12"/>
  <c r="O52" i="12"/>
  <c r="M52" i="12"/>
  <c r="L52" i="12"/>
  <c r="P51" i="12"/>
  <c r="O51" i="12"/>
  <c r="L51" i="12"/>
  <c r="M51" i="12" s="1"/>
  <c r="P50" i="12"/>
  <c r="O50" i="12"/>
  <c r="L50" i="12"/>
  <c r="M50" i="12" s="1"/>
  <c r="P49" i="12"/>
  <c r="O49" i="12"/>
  <c r="L49" i="12"/>
  <c r="M49" i="12" s="1"/>
  <c r="P48" i="12"/>
  <c r="O48" i="12"/>
  <c r="L48" i="12"/>
  <c r="M48" i="12" s="1"/>
  <c r="P47" i="12"/>
  <c r="O47" i="12"/>
  <c r="L47" i="12"/>
  <c r="M47" i="12" s="1"/>
  <c r="P46" i="12"/>
  <c r="O46" i="12"/>
  <c r="L46" i="12"/>
  <c r="M46" i="12" s="1"/>
  <c r="P45" i="12"/>
  <c r="O45" i="12"/>
  <c r="L45" i="12"/>
  <c r="M45" i="12" s="1"/>
  <c r="P44" i="12"/>
  <c r="O44" i="12"/>
  <c r="L44" i="12"/>
  <c r="M44" i="12" s="1"/>
  <c r="P43" i="12"/>
  <c r="O43" i="12"/>
  <c r="L43" i="12"/>
  <c r="M43" i="12" s="1"/>
  <c r="P42" i="12"/>
  <c r="O42" i="12"/>
  <c r="L42" i="12"/>
  <c r="M42" i="12" s="1"/>
  <c r="P41" i="12"/>
  <c r="O41" i="12"/>
  <c r="L41" i="12"/>
  <c r="M41" i="12" s="1"/>
  <c r="P40" i="12"/>
  <c r="O40" i="12"/>
  <c r="L40" i="12"/>
  <c r="M40" i="12" s="1"/>
  <c r="P39" i="12"/>
  <c r="O39" i="12"/>
  <c r="L39" i="12"/>
  <c r="M39" i="12" s="1"/>
  <c r="P38" i="12"/>
  <c r="O38" i="12"/>
  <c r="L38" i="12"/>
  <c r="M38" i="12" s="1"/>
  <c r="P37" i="12"/>
  <c r="O37" i="12"/>
  <c r="L37" i="12"/>
  <c r="M37" i="12" s="1"/>
  <c r="P36" i="12"/>
  <c r="O36" i="12"/>
  <c r="L36" i="12"/>
  <c r="M36" i="12" s="1"/>
  <c r="P35" i="12"/>
  <c r="O35" i="12"/>
  <c r="L35" i="12"/>
  <c r="M35" i="12" s="1"/>
  <c r="P34" i="12"/>
  <c r="O34" i="12"/>
  <c r="L34" i="12"/>
  <c r="M34" i="12" s="1"/>
  <c r="P33" i="12"/>
  <c r="O33" i="12"/>
  <c r="L33" i="12"/>
  <c r="M33" i="12" s="1"/>
  <c r="P32" i="12"/>
  <c r="O32" i="12"/>
  <c r="L32" i="12"/>
  <c r="M32" i="12" s="1"/>
  <c r="P31" i="12"/>
  <c r="O31" i="12"/>
  <c r="L31" i="12"/>
  <c r="M31" i="12" s="1"/>
  <c r="P30" i="12"/>
  <c r="O30" i="12"/>
  <c r="L30" i="12"/>
  <c r="M30" i="12" s="1"/>
  <c r="P29" i="12"/>
  <c r="O29" i="12"/>
  <c r="L29" i="12"/>
  <c r="M29" i="12" s="1"/>
  <c r="P28" i="12"/>
  <c r="O28" i="12"/>
  <c r="L28" i="12"/>
  <c r="M28" i="12" s="1"/>
  <c r="P27" i="12"/>
  <c r="O27" i="12"/>
  <c r="L27" i="12"/>
  <c r="M27" i="12" s="1"/>
  <c r="P26" i="12"/>
  <c r="O26" i="12"/>
  <c r="L26" i="12"/>
  <c r="M26" i="12" s="1"/>
  <c r="P25" i="12"/>
  <c r="O25" i="12"/>
  <c r="L25" i="12"/>
  <c r="M25" i="12" s="1"/>
  <c r="P24" i="12"/>
  <c r="O24" i="12"/>
  <c r="L24" i="12"/>
  <c r="M24" i="12" s="1"/>
  <c r="P23" i="12"/>
  <c r="O23" i="12"/>
  <c r="L23" i="12"/>
  <c r="M23" i="12" s="1"/>
  <c r="P22" i="12"/>
  <c r="O22" i="12"/>
  <c r="L22" i="12"/>
  <c r="M22" i="12" s="1"/>
  <c r="P21" i="12"/>
  <c r="O21" i="12"/>
  <c r="L21" i="12"/>
  <c r="M21" i="12" s="1"/>
  <c r="P20" i="12"/>
  <c r="O20" i="12"/>
  <c r="L20" i="12"/>
  <c r="M20" i="12" s="1"/>
  <c r="P19" i="12"/>
  <c r="O19" i="12"/>
  <c r="L19" i="12"/>
  <c r="M19" i="12" s="1"/>
  <c r="P18" i="12"/>
  <c r="O18" i="12"/>
  <c r="L18" i="12"/>
  <c r="M18" i="12" s="1"/>
  <c r="P17" i="12"/>
  <c r="O17" i="12"/>
  <c r="L17" i="12"/>
  <c r="M17" i="12" s="1"/>
  <c r="P16" i="12"/>
  <c r="O16" i="12"/>
  <c r="L16" i="12"/>
  <c r="M16" i="12" s="1"/>
  <c r="P15" i="12"/>
  <c r="O15" i="12"/>
  <c r="L15" i="12"/>
  <c r="M15" i="12" s="1"/>
  <c r="P14" i="12"/>
  <c r="O14" i="12"/>
  <c r="L14" i="12"/>
  <c r="M14" i="12" s="1"/>
  <c r="P13" i="12"/>
  <c r="O13" i="12"/>
  <c r="L13" i="12"/>
  <c r="M13" i="12" s="1"/>
  <c r="P12" i="12"/>
  <c r="O12" i="12"/>
  <c r="L12" i="12"/>
  <c r="M12" i="12" s="1"/>
  <c r="P11" i="12"/>
  <c r="O11" i="12"/>
  <c r="L11" i="12"/>
  <c r="M11" i="12" s="1"/>
  <c r="P10" i="12"/>
  <c r="O10" i="12"/>
  <c r="L10" i="12"/>
  <c r="M10" i="12" s="1"/>
  <c r="P9" i="12"/>
  <c r="O9" i="12"/>
  <c r="L9" i="12"/>
  <c r="M9" i="12" s="1"/>
  <c r="P8" i="12"/>
  <c r="O8" i="12"/>
  <c r="L8" i="12"/>
  <c r="M8" i="12" s="1"/>
  <c r="P7" i="12"/>
  <c r="O7" i="12"/>
  <c r="L7" i="12"/>
  <c r="M7" i="12" s="1"/>
  <c r="P6" i="12"/>
  <c r="O6" i="12"/>
  <c r="L6" i="12"/>
  <c r="M6" i="12" s="1"/>
  <c r="P5" i="12"/>
  <c r="O5" i="12"/>
  <c r="L5" i="12"/>
  <c r="M5" i="12" s="1"/>
  <c r="P4" i="12"/>
  <c r="O4" i="12"/>
  <c r="L4" i="12"/>
  <c r="M4" i="12" s="1"/>
  <c r="P3" i="12"/>
  <c r="O3" i="12"/>
  <c r="L3" i="12"/>
  <c r="M3" i="12" s="1"/>
  <c r="P2" i="12"/>
  <c r="O2" i="12"/>
  <c r="L2" i="12"/>
  <c r="M2" i="12" s="1"/>
  <c r="P71" i="11"/>
  <c r="O71" i="11"/>
  <c r="L71" i="11"/>
  <c r="M71" i="11" s="1"/>
  <c r="P70" i="11"/>
  <c r="O70" i="11"/>
  <c r="L70" i="11"/>
  <c r="M70" i="11" s="1"/>
  <c r="P69" i="11"/>
  <c r="O69" i="11"/>
  <c r="L69" i="11"/>
  <c r="M69" i="11" s="1"/>
  <c r="P68" i="11"/>
  <c r="O68" i="11"/>
  <c r="L68" i="11"/>
  <c r="M68" i="11" s="1"/>
  <c r="P67" i="11"/>
  <c r="O67" i="11"/>
  <c r="L67" i="11"/>
  <c r="M67" i="11" s="1"/>
  <c r="P66" i="11"/>
  <c r="O66" i="11"/>
  <c r="L66" i="11"/>
  <c r="M66" i="11" s="1"/>
  <c r="P65" i="11"/>
  <c r="O65" i="11"/>
  <c r="L65" i="11"/>
  <c r="M65" i="11" s="1"/>
  <c r="P64" i="11"/>
  <c r="O64" i="11"/>
  <c r="L64" i="11"/>
  <c r="M64" i="11" s="1"/>
  <c r="P63" i="11"/>
  <c r="O63" i="11"/>
  <c r="L63" i="11"/>
  <c r="M63" i="11" s="1"/>
  <c r="P62" i="11"/>
  <c r="O62" i="11"/>
  <c r="L62" i="11"/>
  <c r="M62" i="11" s="1"/>
  <c r="P61" i="11"/>
  <c r="O61" i="11"/>
  <c r="L61" i="11"/>
  <c r="M61" i="11" s="1"/>
  <c r="P60" i="11"/>
  <c r="O60" i="11"/>
  <c r="L60" i="11"/>
  <c r="M60" i="11" s="1"/>
  <c r="P59" i="11"/>
  <c r="O59" i="11"/>
  <c r="L59" i="11"/>
  <c r="M59" i="11" s="1"/>
  <c r="P58" i="11"/>
  <c r="O58" i="11"/>
  <c r="L58" i="11"/>
  <c r="M58" i="11" s="1"/>
  <c r="P57" i="11"/>
  <c r="O57" i="11"/>
  <c r="L57" i="11"/>
  <c r="M57" i="11" s="1"/>
  <c r="P56" i="11"/>
  <c r="O56" i="11"/>
  <c r="L56" i="11"/>
  <c r="M56" i="11" s="1"/>
  <c r="P55" i="11"/>
  <c r="O55" i="11"/>
  <c r="L55" i="11"/>
  <c r="M55" i="11" s="1"/>
  <c r="P54" i="11"/>
  <c r="O54" i="11"/>
  <c r="L54" i="11"/>
  <c r="M54" i="11" s="1"/>
  <c r="P53" i="11"/>
  <c r="O53" i="11"/>
  <c r="L53" i="11"/>
  <c r="M53" i="11" s="1"/>
  <c r="P52" i="11"/>
  <c r="O52" i="11"/>
  <c r="L52" i="11"/>
  <c r="M52" i="11" s="1"/>
  <c r="P51" i="11"/>
  <c r="O51" i="11"/>
  <c r="L51" i="11"/>
  <c r="M51" i="11" s="1"/>
  <c r="P50" i="11"/>
  <c r="O50" i="11"/>
  <c r="L50" i="11"/>
  <c r="M50" i="11" s="1"/>
  <c r="P49" i="11"/>
  <c r="O49" i="11"/>
  <c r="L49" i="11"/>
  <c r="M49" i="11" s="1"/>
  <c r="P48" i="11"/>
  <c r="O48" i="11"/>
  <c r="L48" i="11"/>
  <c r="M48" i="11" s="1"/>
  <c r="P47" i="11"/>
  <c r="O47" i="11"/>
  <c r="L47" i="11"/>
  <c r="M47" i="11" s="1"/>
  <c r="P46" i="11"/>
  <c r="O46" i="11"/>
  <c r="L46" i="11"/>
  <c r="M46" i="11" s="1"/>
  <c r="P45" i="11"/>
  <c r="O45" i="11"/>
  <c r="L45" i="11"/>
  <c r="M45" i="11" s="1"/>
  <c r="P44" i="11"/>
  <c r="O44" i="11"/>
  <c r="L44" i="11"/>
  <c r="M44" i="11" s="1"/>
  <c r="P43" i="11"/>
  <c r="O43" i="11"/>
  <c r="L43" i="11"/>
  <c r="M43" i="11" s="1"/>
  <c r="P42" i="11"/>
  <c r="O42" i="11"/>
  <c r="L42" i="11"/>
  <c r="M42" i="11" s="1"/>
  <c r="P41" i="11"/>
  <c r="O41" i="11"/>
  <c r="L41" i="11"/>
  <c r="M41" i="11" s="1"/>
  <c r="P40" i="11"/>
  <c r="O40" i="11"/>
  <c r="L40" i="11"/>
  <c r="M40" i="11" s="1"/>
  <c r="P39" i="11"/>
  <c r="O39" i="11"/>
  <c r="L39" i="11"/>
  <c r="M39" i="11" s="1"/>
  <c r="P38" i="11"/>
  <c r="O38" i="11"/>
  <c r="L38" i="11"/>
  <c r="M38" i="11" s="1"/>
  <c r="P37" i="11"/>
  <c r="O37" i="11"/>
  <c r="L37" i="11"/>
  <c r="M37" i="11" s="1"/>
  <c r="P36" i="11"/>
  <c r="O36" i="11"/>
  <c r="L36" i="11"/>
  <c r="M36" i="11" s="1"/>
  <c r="P35" i="11"/>
  <c r="O35" i="11"/>
  <c r="L35" i="11"/>
  <c r="M35" i="11" s="1"/>
  <c r="P34" i="11"/>
  <c r="O34" i="11"/>
  <c r="L34" i="11"/>
  <c r="M34" i="11" s="1"/>
  <c r="P33" i="11"/>
  <c r="O33" i="11"/>
  <c r="L33" i="11"/>
  <c r="M33" i="11" s="1"/>
  <c r="P32" i="11"/>
  <c r="O32" i="11"/>
  <c r="L32" i="11"/>
  <c r="M32" i="11" s="1"/>
  <c r="P31" i="11"/>
  <c r="O31" i="11"/>
  <c r="L31" i="11"/>
  <c r="M31" i="11" s="1"/>
  <c r="P30" i="11"/>
  <c r="O30" i="11"/>
  <c r="L30" i="11"/>
  <c r="M30" i="11" s="1"/>
  <c r="P29" i="11"/>
  <c r="O29" i="11"/>
  <c r="L29" i="11"/>
  <c r="M29" i="11" s="1"/>
  <c r="P28" i="11"/>
  <c r="O28" i="11"/>
  <c r="L28" i="11"/>
  <c r="M28" i="11" s="1"/>
  <c r="P27" i="11"/>
  <c r="O27" i="11"/>
  <c r="L27" i="11"/>
  <c r="M27" i="11" s="1"/>
  <c r="P26" i="11"/>
  <c r="O26" i="11"/>
  <c r="L26" i="11"/>
  <c r="M26" i="11" s="1"/>
  <c r="P25" i="11"/>
  <c r="O25" i="11"/>
  <c r="L25" i="11"/>
  <c r="M25" i="11" s="1"/>
  <c r="P24" i="11"/>
  <c r="O24" i="11"/>
  <c r="L24" i="11"/>
  <c r="M24" i="11" s="1"/>
  <c r="P23" i="11"/>
  <c r="O23" i="11"/>
  <c r="L23" i="11"/>
  <c r="M23" i="11" s="1"/>
  <c r="P22" i="11"/>
  <c r="O22" i="11"/>
  <c r="L22" i="11"/>
  <c r="M22" i="11" s="1"/>
  <c r="P21" i="11"/>
  <c r="O21" i="11"/>
  <c r="L21" i="11"/>
  <c r="M21" i="11" s="1"/>
  <c r="P20" i="11"/>
  <c r="O20" i="11"/>
  <c r="L20" i="11"/>
  <c r="M20" i="11" s="1"/>
  <c r="P19" i="11"/>
  <c r="O19" i="11"/>
  <c r="L19" i="11"/>
  <c r="M19" i="11" s="1"/>
  <c r="P18" i="11"/>
  <c r="O18" i="11"/>
  <c r="L18" i="11"/>
  <c r="M18" i="11" s="1"/>
  <c r="P17" i="11"/>
  <c r="O17" i="11"/>
  <c r="L17" i="11"/>
  <c r="M17" i="11" s="1"/>
  <c r="P16" i="11"/>
  <c r="O16" i="11"/>
  <c r="L16" i="11"/>
  <c r="M16" i="11" s="1"/>
  <c r="P15" i="11"/>
  <c r="O15" i="11"/>
  <c r="L15" i="11"/>
  <c r="M15" i="11" s="1"/>
  <c r="P14" i="11"/>
  <c r="O14" i="11"/>
  <c r="L14" i="11"/>
  <c r="M14" i="11" s="1"/>
  <c r="P13" i="11"/>
  <c r="O13" i="11"/>
  <c r="L13" i="11"/>
  <c r="M13" i="11" s="1"/>
  <c r="P12" i="11"/>
  <c r="O12" i="11"/>
  <c r="L12" i="11"/>
  <c r="M12" i="11" s="1"/>
  <c r="P11" i="11"/>
  <c r="O11" i="11"/>
  <c r="L11" i="11"/>
  <c r="M11" i="11" s="1"/>
  <c r="P10" i="11"/>
  <c r="O10" i="11"/>
  <c r="L10" i="11"/>
  <c r="M10" i="11" s="1"/>
  <c r="P9" i="11"/>
  <c r="O9" i="11"/>
  <c r="L9" i="11"/>
  <c r="M9" i="11" s="1"/>
  <c r="P8" i="11"/>
  <c r="O8" i="11"/>
  <c r="L8" i="11"/>
  <c r="M8" i="11" s="1"/>
  <c r="P7" i="11"/>
  <c r="O7" i="11"/>
  <c r="L7" i="11"/>
  <c r="M7" i="11" s="1"/>
  <c r="P6" i="11"/>
  <c r="O6" i="11"/>
  <c r="L6" i="11"/>
  <c r="M6" i="11" s="1"/>
  <c r="P5" i="11"/>
  <c r="O5" i="11"/>
  <c r="L5" i="11"/>
  <c r="M5" i="11" s="1"/>
  <c r="P4" i="11"/>
  <c r="O4" i="11"/>
  <c r="L4" i="11"/>
  <c r="M4" i="11" s="1"/>
  <c r="P3" i="11"/>
  <c r="O3" i="11"/>
  <c r="L3" i="11"/>
  <c r="M3" i="11" s="1"/>
  <c r="P2" i="11"/>
  <c r="O2" i="11"/>
  <c r="L2" i="11"/>
  <c r="M2" i="11" s="1"/>
  <c r="L46" i="10"/>
  <c r="M46" i="10" s="1"/>
  <c r="L45" i="10"/>
  <c r="M45" i="10" s="1"/>
  <c r="L44" i="10"/>
  <c r="M44" i="10" s="1"/>
  <c r="L43" i="10"/>
  <c r="M43" i="10" s="1"/>
  <c r="L42" i="10"/>
  <c r="M42" i="10" s="1"/>
  <c r="L41" i="10"/>
  <c r="M41" i="10" s="1"/>
  <c r="L40" i="10"/>
  <c r="M40" i="10" s="1"/>
  <c r="L39" i="10"/>
  <c r="M39" i="10" s="1"/>
  <c r="L38" i="10"/>
  <c r="M38" i="10" s="1"/>
  <c r="L37" i="10"/>
  <c r="M37" i="10" s="1"/>
  <c r="L36" i="10"/>
  <c r="M36" i="10" s="1"/>
  <c r="R35" i="10"/>
  <c r="Q35" i="10"/>
  <c r="N35" i="10" a="1"/>
  <c r="N35" i="10" s="1"/>
  <c r="L35" i="10"/>
  <c r="M35" i="10" s="1"/>
  <c r="L34" i="10"/>
  <c r="M34" i="10" s="1"/>
  <c r="L33" i="10"/>
  <c r="M33" i="10" s="1"/>
  <c r="L32" i="10"/>
  <c r="M32" i="10" s="1"/>
  <c r="R31" i="10"/>
  <c r="Q31" i="10"/>
  <c r="O31" i="10"/>
  <c r="N31" i="10"/>
  <c r="L31" i="10"/>
  <c r="M31" i="10" s="1"/>
  <c r="L30" i="10"/>
  <c r="M30" i="10" s="1"/>
  <c r="L29" i="10"/>
  <c r="M29" i="10" s="1"/>
  <c r="L28" i="10"/>
  <c r="M28" i="10" s="1"/>
  <c r="R27" i="10"/>
  <c r="Q27" i="10"/>
  <c r="O27" i="10"/>
  <c r="N27" i="10"/>
  <c r="L27" i="10"/>
  <c r="M27" i="10" s="1"/>
  <c r="L26" i="10"/>
  <c r="M26" i="10" s="1"/>
  <c r="L25" i="10"/>
  <c r="M25" i="10" s="1"/>
  <c r="L24" i="10"/>
  <c r="M24" i="10" s="1"/>
  <c r="R23" i="10"/>
  <c r="Q23" i="10"/>
  <c r="O23" i="10"/>
  <c r="N23" i="10"/>
  <c r="L23" i="10"/>
  <c r="M23" i="10" s="1"/>
  <c r="L22" i="10"/>
  <c r="M22" i="10" s="1"/>
  <c r="L21" i="10"/>
  <c r="M21" i="10" s="1"/>
  <c r="L20" i="10"/>
  <c r="M20" i="10" s="1"/>
  <c r="R19" i="10"/>
  <c r="Q19" i="10"/>
  <c r="O19" i="10"/>
  <c r="N19" i="10"/>
  <c r="L19" i="10"/>
  <c r="M19" i="10" s="1"/>
  <c r="L18" i="10"/>
  <c r="M18" i="10" s="1"/>
  <c r="L17" i="10"/>
  <c r="M17" i="10" s="1"/>
  <c r="L16" i="10"/>
  <c r="M16" i="10" s="1"/>
  <c r="R15" i="10"/>
  <c r="Q15" i="10"/>
  <c r="O15" i="10"/>
  <c r="N15" i="10"/>
  <c r="L15" i="10"/>
  <c r="M15" i="10" s="1"/>
  <c r="L14" i="10"/>
  <c r="M14" i="10" s="1"/>
  <c r="L13" i="10"/>
  <c r="M13" i="10" s="1"/>
  <c r="L12" i="10"/>
  <c r="M12" i="10" s="1"/>
  <c r="R11" i="10"/>
  <c r="Q11" i="10"/>
  <c r="O11" i="10"/>
  <c r="N11" i="10"/>
  <c r="L11" i="10"/>
  <c r="M11" i="10" s="1"/>
  <c r="L10" i="10"/>
  <c r="M10" i="10" s="1"/>
  <c r="L9" i="10"/>
  <c r="M9" i="10" s="1"/>
  <c r="L8" i="10"/>
  <c r="M8" i="10" s="1"/>
  <c r="R7" i="10"/>
  <c r="Q7" i="10"/>
  <c r="O7" i="10"/>
  <c r="N7" i="10"/>
  <c r="L7" i="10"/>
  <c r="M7" i="10" s="1"/>
  <c r="L6" i="10"/>
  <c r="M6" i="10" s="1"/>
  <c r="L5" i="10"/>
  <c r="M5" i="10" s="1"/>
  <c r="L4" i="10"/>
  <c r="M4" i="10" s="1"/>
  <c r="R3" i="10"/>
  <c r="Q3" i="10"/>
  <c r="O3" i="10"/>
  <c r="N3" i="10"/>
  <c r="L3" i="10"/>
  <c r="M3" i="10" s="1"/>
  <c r="L2" i="10"/>
  <c r="M2" i="10" s="1"/>
  <c r="O47" i="9"/>
  <c r="N47" i="9"/>
  <c r="K47" i="9"/>
  <c r="L47" i="9" s="1"/>
  <c r="O46" i="9"/>
  <c r="N46" i="9"/>
  <c r="K46" i="9"/>
  <c r="L46" i="9" s="1"/>
  <c r="O45" i="9"/>
  <c r="N45" i="9"/>
  <c r="K45" i="9"/>
  <c r="L45" i="9" s="1"/>
  <c r="O44" i="9"/>
  <c r="N44" i="9"/>
  <c r="K44" i="9"/>
  <c r="L44" i="9" s="1"/>
  <c r="O43" i="9"/>
  <c r="N43" i="9"/>
  <c r="K43" i="9"/>
  <c r="L43" i="9" s="1"/>
  <c r="O42" i="9"/>
  <c r="N42" i="9"/>
  <c r="K42" i="9"/>
  <c r="L42" i="9" s="1"/>
  <c r="O41" i="9"/>
  <c r="N41" i="9"/>
  <c r="K41" i="9"/>
  <c r="L41" i="9" s="1"/>
  <c r="O40" i="9"/>
  <c r="N40" i="9"/>
  <c r="K40" i="9"/>
  <c r="L40" i="9" s="1"/>
  <c r="O39" i="9"/>
  <c r="N39" i="9"/>
  <c r="K39" i="9"/>
  <c r="L39" i="9" s="1"/>
  <c r="O38" i="9"/>
  <c r="N38" i="9"/>
  <c r="K38" i="9"/>
  <c r="L38" i="9" s="1"/>
  <c r="O37" i="9"/>
  <c r="N37" i="9"/>
  <c r="K37" i="9"/>
  <c r="L37" i="9" s="1"/>
  <c r="O36" i="9"/>
  <c r="N36" i="9"/>
  <c r="K36" i="9"/>
  <c r="L36" i="9" s="1"/>
  <c r="O35" i="9"/>
  <c r="N35" i="9"/>
  <c r="K35" i="9"/>
  <c r="L35" i="9" s="1"/>
  <c r="O34" i="9"/>
  <c r="N34" i="9"/>
  <c r="K34" i="9"/>
  <c r="L34" i="9" s="1"/>
  <c r="O33" i="9"/>
  <c r="N33" i="9"/>
  <c r="K33" i="9"/>
  <c r="L33" i="9" s="1"/>
  <c r="O32" i="9"/>
  <c r="N32" i="9"/>
  <c r="K32" i="9"/>
  <c r="L32" i="9" s="1"/>
  <c r="O31" i="9"/>
  <c r="N31" i="9"/>
  <c r="K31" i="9"/>
  <c r="L31" i="9" s="1"/>
  <c r="O30" i="9"/>
  <c r="N30" i="9"/>
  <c r="K30" i="9"/>
  <c r="L30" i="9" s="1"/>
  <c r="O29" i="9"/>
  <c r="N29" i="9"/>
  <c r="K29" i="9"/>
  <c r="L29" i="9" s="1"/>
  <c r="O28" i="9"/>
  <c r="N28" i="9"/>
  <c r="K28" i="9"/>
  <c r="L28" i="9" s="1"/>
  <c r="O27" i="9"/>
  <c r="N27" i="9"/>
  <c r="K27" i="9"/>
  <c r="L27" i="9" s="1"/>
  <c r="O26" i="9"/>
  <c r="N26" i="9"/>
  <c r="K26" i="9"/>
  <c r="L26" i="9" s="1"/>
  <c r="O25" i="9"/>
  <c r="N25" i="9"/>
  <c r="K25" i="9"/>
  <c r="L25" i="9" s="1"/>
  <c r="O24" i="9"/>
  <c r="N24" i="9"/>
  <c r="K24" i="9"/>
  <c r="L24" i="9" s="1"/>
  <c r="O23" i="9"/>
  <c r="N23" i="9"/>
  <c r="K23" i="9"/>
  <c r="L23" i="9" s="1"/>
  <c r="O22" i="9"/>
  <c r="N22" i="9"/>
  <c r="K22" i="9"/>
  <c r="L22" i="9" s="1"/>
  <c r="O21" i="9"/>
  <c r="N21" i="9"/>
  <c r="K21" i="9"/>
  <c r="L21" i="9" s="1"/>
  <c r="O20" i="9"/>
  <c r="N20" i="9"/>
  <c r="K20" i="9"/>
  <c r="L20" i="9" s="1"/>
  <c r="O19" i="9"/>
  <c r="N19" i="9"/>
  <c r="K19" i="9"/>
  <c r="L19" i="9" s="1"/>
  <c r="O18" i="9"/>
  <c r="N18" i="9"/>
  <c r="K18" i="9"/>
  <c r="L18" i="9" s="1"/>
  <c r="O17" i="9"/>
  <c r="N17" i="9"/>
  <c r="K17" i="9"/>
  <c r="L17" i="9" s="1"/>
  <c r="O16" i="9"/>
  <c r="N16" i="9"/>
  <c r="K16" i="9"/>
  <c r="L16" i="9" s="1"/>
  <c r="O15" i="9"/>
  <c r="N15" i="9"/>
  <c r="K15" i="9"/>
  <c r="L15" i="9" s="1"/>
  <c r="O14" i="9"/>
  <c r="N14" i="9"/>
  <c r="K14" i="9"/>
  <c r="L14" i="9" s="1"/>
  <c r="O13" i="9"/>
  <c r="N13" i="9"/>
  <c r="K13" i="9"/>
  <c r="L13" i="9" s="1"/>
  <c r="O12" i="9"/>
  <c r="N12" i="9"/>
  <c r="K12" i="9"/>
  <c r="L12" i="9" s="1"/>
  <c r="O11" i="9"/>
  <c r="N11" i="9"/>
  <c r="K11" i="9"/>
  <c r="L11" i="9" s="1"/>
  <c r="O10" i="9"/>
  <c r="N10" i="9"/>
  <c r="K10" i="9"/>
  <c r="L10" i="9" s="1"/>
  <c r="O9" i="9"/>
  <c r="N9" i="9"/>
  <c r="K9" i="9"/>
  <c r="L9" i="9" s="1"/>
  <c r="O8" i="9"/>
  <c r="N8" i="9"/>
  <c r="K8" i="9"/>
  <c r="L8" i="9" s="1"/>
  <c r="O7" i="9"/>
  <c r="N7" i="9"/>
  <c r="K7" i="9"/>
  <c r="L7" i="9" s="1"/>
  <c r="O6" i="9"/>
  <c r="N6" i="9"/>
  <c r="K6" i="9"/>
  <c r="L6" i="9" s="1"/>
  <c r="O5" i="9"/>
  <c r="N5" i="9"/>
  <c r="K5" i="9"/>
  <c r="L5" i="9" s="1"/>
  <c r="O4" i="9"/>
  <c r="N4" i="9"/>
  <c r="K4" i="9"/>
  <c r="L4" i="9" s="1"/>
  <c r="O3" i="9"/>
  <c r="N3" i="9"/>
  <c r="K3" i="9"/>
  <c r="L3" i="9" s="1"/>
  <c r="O2" i="9"/>
  <c r="N2" i="9"/>
  <c r="K2" i="9"/>
  <c r="L2" i="9" s="1"/>
  <c r="P7" i="8"/>
  <c r="P25" i="8"/>
  <c r="P67" i="8"/>
  <c r="P139" i="8"/>
  <c r="P82" i="8"/>
  <c r="P135" i="8"/>
  <c r="P133" i="8"/>
  <c r="P140" i="8"/>
  <c r="P117" i="8"/>
  <c r="P113" i="8"/>
  <c r="P111" i="8"/>
  <c r="P77" i="8"/>
  <c r="P110" i="8"/>
  <c r="P105" i="8"/>
  <c r="P109" i="8"/>
  <c r="P108" i="8"/>
  <c r="P130" i="8"/>
  <c r="P112" i="8"/>
  <c r="P107" i="8"/>
  <c r="P143" i="8"/>
  <c r="P106" i="8"/>
  <c r="P132" i="8"/>
  <c r="P104" i="8"/>
  <c r="P115" i="8"/>
  <c r="P101" i="8"/>
  <c r="P103" i="8"/>
  <c r="P138" i="8"/>
  <c r="P102" i="8"/>
  <c r="P142" i="8"/>
  <c r="P100" i="8"/>
  <c r="P99" i="8"/>
  <c r="P98" i="8"/>
  <c r="P96" i="8"/>
  <c r="P91" i="8"/>
  <c r="P97" i="8"/>
  <c r="P122" i="8"/>
  <c r="P90" i="8"/>
  <c r="P95" i="8"/>
  <c r="P127" i="8"/>
  <c r="P89" i="8"/>
  <c r="P94" i="8"/>
  <c r="P120" i="8"/>
  <c r="P131" i="8"/>
  <c r="P116" i="8"/>
  <c r="P125" i="8"/>
  <c r="P87" i="8"/>
  <c r="P86" i="8"/>
  <c r="P81" i="8"/>
  <c r="P39" i="8"/>
  <c r="P43" i="8"/>
  <c r="P47" i="8"/>
  <c r="P57" i="8"/>
  <c r="P9" i="8"/>
  <c r="P12" i="8"/>
  <c r="P37" i="8"/>
  <c r="P48" i="8"/>
  <c r="P30" i="8"/>
  <c r="P27" i="8"/>
  <c r="P58" i="8"/>
  <c r="P26" i="8"/>
  <c r="P36" i="8"/>
  <c r="P34" i="8"/>
  <c r="P38" i="8"/>
  <c r="P13" i="8"/>
  <c r="P10" i="8"/>
  <c r="P31" i="8"/>
  <c r="P23" i="8"/>
  <c r="P6" i="8"/>
  <c r="P2" i="8"/>
  <c r="P84" i="8"/>
  <c r="P17" i="8"/>
  <c r="P4" i="8"/>
  <c r="P8" i="8"/>
  <c r="P80" i="8"/>
  <c r="P128" i="8"/>
  <c r="P79" i="8"/>
  <c r="P78" i="8"/>
  <c r="P75" i="8"/>
  <c r="P126" i="8"/>
  <c r="P93" i="8"/>
  <c r="P124" i="8"/>
  <c r="P74" i="8"/>
  <c r="P92" i="8"/>
  <c r="P114" i="8"/>
  <c r="P71" i="8"/>
  <c r="P68" i="8"/>
  <c r="P136" i="8"/>
  <c r="P66" i="8"/>
  <c r="P88" i="8"/>
  <c r="P51" i="8"/>
  <c r="P134" i="8"/>
  <c r="P85" i="8"/>
  <c r="P144" i="8"/>
  <c r="P61" i="8"/>
  <c r="P83" i="8"/>
  <c r="P60" i="8"/>
  <c r="P56" i="8"/>
  <c r="P55" i="8"/>
  <c r="P72" i="8"/>
  <c r="P59" i="8"/>
  <c r="P54" i="8"/>
  <c r="P52" i="8"/>
  <c r="P141" i="8"/>
  <c r="P49" i="8"/>
  <c r="P73" i="8"/>
  <c r="P123" i="8"/>
  <c r="P46" i="8"/>
  <c r="P53" i="8"/>
  <c r="P137" i="8"/>
  <c r="P45" i="8"/>
  <c r="P42" i="8"/>
  <c r="P119" i="8"/>
  <c r="P70" i="8"/>
  <c r="P129" i="8"/>
  <c r="P32" i="8"/>
  <c r="P118" i="8"/>
  <c r="P28" i="8"/>
  <c r="P121" i="8"/>
  <c r="P33" i="8"/>
  <c r="P65" i="8"/>
  <c r="P62" i="8"/>
  <c r="P24" i="8"/>
  <c r="P44" i="8"/>
  <c r="P21" i="8"/>
  <c r="P63" i="8"/>
  <c r="P18" i="8"/>
  <c r="P41" i="8"/>
  <c r="P50" i="8"/>
  <c r="P69" i="8"/>
  <c r="P14" i="8"/>
  <c r="P76" i="8"/>
  <c r="P64" i="8"/>
  <c r="P22" i="8"/>
  <c r="P29" i="8"/>
  <c r="P40" i="8"/>
  <c r="P20" i="8"/>
  <c r="P16" i="8"/>
  <c r="P5" i="8"/>
  <c r="P3" i="8"/>
  <c r="P19" i="8"/>
  <c r="P11" i="8"/>
  <c r="P35" i="8"/>
  <c r="P15" i="8"/>
  <c r="Q106" i="8" l="1"/>
  <c r="R106" i="8" s="1" a="1"/>
  <c r="R106" i="8" s="1"/>
  <c r="Q92" i="8"/>
  <c r="R92" i="8" s="1" a="1"/>
  <c r="R92" i="8" s="1"/>
  <c r="Q124" i="8"/>
  <c r="R124" i="8" s="1" a="1"/>
  <c r="R124" i="8" s="1"/>
  <c r="Q126" i="8"/>
  <c r="R126" i="8" s="1" a="1"/>
  <c r="R126" i="8" s="1"/>
  <c r="Q78" i="8"/>
  <c r="R78" i="8" s="1" a="1"/>
  <c r="R78" i="8" s="1"/>
  <c r="Q128" i="8"/>
  <c r="R128" i="8" s="1" a="1"/>
  <c r="R128" i="8" s="1"/>
  <c r="Q8" i="8"/>
  <c r="R8" i="8" s="1" a="1"/>
  <c r="R8" i="8" s="1"/>
  <c r="Q17" i="8"/>
  <c r="R17" i="8" s="1" a="1"/>
  <c r="R17" i="8" s="1"/>
  <c r="Q2" i="8"/>
  <c r="R2" i="8" s="1" a="1"/>
  <c r="R2" i="8" s="1"/>
  <c r="Q23" i="8"/>
  <c r="R23" i="8" s="1" a="1"/>
  <c r="R23" i="8" s="1"/>
  <c r="Q10" i="8"/>
  <c r="R10" i="8" s="1" a="1"/>
  <c r="R10" i="8" s="1"/>
  <c r="Q13" i="8"/>
  <c r="R13" i="8" s="1" a="1"/>
  <c r="R13" i="8" s="1"/>
  <c r="Q34" i="8"/>
  <c r="R34" i="8" s="1" a="1"/>
  <c r="R34" i="8" s="1"/>
  <c r="Q36" i="8"/>
  <c r="R36" i="8" s="1" a="1"/>
  <c r="R36" i="8" s="1"/>
  <c r="Q26" i="8"/>
  <c r="R26" i="8" s="1" a="1"/>
  <c r="R26" i="8" s="1"/>
  <c r="Q59" i="8"/>
  <c r="R59" i="8" s="1" a="1"/>
  <c r="R59" i="8" s="1"/>
  <c r="Q72" i="8"/>
  <c r="R72" i="8" s="1" a="1"/>
  <c r="R72" i="8" s="1"/>
  <c r="Q55" i="8"/>
  <c r="R55" i="8" s="1" a="1"/>
  <c r="R55" i="8" s="1"/>
  <c r="Q56" i="8"/>
  <c r="R56" i="8" s="1" a="1"/>
  <c r="R56" i="8" s="1"/>
  <c r="Q60" i="8"/>
  <c r="R60" i="8" s="1" a="1"/>
  <c r="R60" i="8" s="1"/>
  <c r="Q61" i="8"/>
  <c r="R61" i="8" s="1" a="1"/>
  <c r="R61" i="8" s="1"/>
  <c r="Q144" i="8"/>
  <c r="R144" i="8" s="1" a="1"/>
  <c r="R144" i="8" s="1"/>
  <c r="Q85" i="8"/>
  <c r="R85" i="8" s="1" a="1"/>
  <c r="R85" i="8" s="1"/>
  <c r="Q134" i="8"/>
  <c r="R134" i="8" s="1" a="1"/>
  <c r="R134" i="8" s="1"/>
  <c r="Q88" i="8"/>
  <c r="R88" i="8" s="1" a="1"/>
  <c r="R88" i="8" s="1"/>
  <c r="Q66" i="8"/>
  <c r="R66" i="8" s="1" a="1"/>
  <c r="R66" i="8" s="1"/>
  <c r="Q136" i="8"/>
  <c r="R136" i="8" s="1" a="1"/>
  <c r="R136" i="8" s="1"/>
  <c r="Q68" i="8"/>
  <c r="R68" i="8" s="1" a="1"/>
  <c r="R68" i="8" s="1"/>
  <c r="Q74" i="8"/>
  <c r="R74" i="8" s="1" a="1"/>
  <c r="R74" i="8" s="1"/>
  <c r="Q93" i="8"/>
  <c r="R93" i="8" s="1" a="1"/>
  <c r="R93" i="8" s="1"/>
  <c r="Q75" i="8"/>
  <c r="R75" i="8" s="1" a="1"/>
  <c r="R75" i="8" s="1"/>
  <c r="Q79" i="8"/>
  <c r="R79" i="8" s="1" a="1"/>
  <c r="R79" i="8" s="1"/>
  <c r="Q80" i="8"/>
  <c r="R80" i="8" s="1" a="1"/>
  <c r="R80" i="8" s="1"/>
  <c r="Q4" i="8"/>
  <c r="R4" i="8" s="1" a="1"/>
  <c r="R4" i="8" s="1"/>
  <c r="Q83" i="8"/>
  <c r="R83" i="8" s="1" a="1"/>
  <c r="R83" i="8" s="1"/>
  <c r="Q37" i="8"/>
  <c r="R37" i="8" s="1" a="1"/>
  <c r="R37" i="8" s="1"/>
  <c r="Q12" i="8"/>
  <c r="R12" i="8" s="1" a="1"/>
  <c r="R12" i="8" s="1"/>
  <c r="Q9" i="8"/>
  <c r="R9" i="8" s="1" a="1"/>
  <c r="R9" i="8" s="1"/>
  <c r="Q57" i="8"/>
  <c r="R57" i="8" s="1" a="1"/>
  <c r="R57" i="8" s="1"/>
  <c r="Q47" i="8"/>
  <c r="R47" i="8" s="1" a="1"/>
  <c r="R47" i="8" s="1"/>
  <c r="Q43" i="8"/>
  <c r="R43" i="8" s="1" a="1"/>
  <c r="R43" i="8" s="1"/>
  <c r="Q39" i="8"/>
  <c r="R39" i="8" s="1" a="1"/>
  <c r="R39" i="8" s="1"/>
  <c r="Q81" i="8"/>
  <c r="R81" i="8" s="1" a="1"/>
  <c r="R81" i="8" s="1"/>
  <c r="Q86" i="8"/>
  <c r="R86" i="8" s="1" a="1"/>
  <c r="R86" i="8" s="1"/>
  <c r="Q87" i="8"/>
  <c r="R87" i="8" s="1" a="1"/>
  <c r="R87" i="8" s="1"/>
  <c r="Q125" i="8"/>
  <c r="R125" i="8" s="1" a="1"/>
  <c r="R125" i="8" s="1"/>
  <c r="Q116" i="8"/>
  <c r="R116" i="8" s="1" a="1"/>
  <c r="R116" i="8" s="1"/>
  <c r="Q131" i="8"/>
  <c r="R131" i="8" s="1" a="1"/>
  <c r="R131" i="8" s="1"/>
  <c r="Q120" i="8"/>
  <c r="R120" i="8" s="1" a="1"/>
  <c r="R120" i="8" s="1"/>
  <c r="Q94" i="8"/>
  <c r="R94" i="8" s="1" a="1"/>
  <c r="R94" i="8" s="1"/>
  <c r="Q89" i="8"/>
  <c r="R89" i="8" s="1" a="1"/>
  <c r="R89" i="8" s="1"/>
  <c r="Q127" i="8"/>
  <c r="R127" i="8" s="1" a="1"/>
  <c r="R127" i="8" s="1"/>
  <c r="Q95" i="8"/>
  <c r="R95" i="8" s="1" a="1"/>
  <c r="R95" i="8" s="1"/>
  <c r="Q90" i="8"/>
  <c r="R90" i="8" s="1" a="1"/>
  <c r="R90" i="8" s="1"/>
  <c r="Q122" i="8"/>
  <c r="R122" i="8" s="1" a="1"/>
  <c r="R122" i="8" s="1"/>
  <c r="Q97" i="8"/>
  <c r="R97" i="8" s="1" a="1"/>
  <c r="R97" i="8" s="1"/>
  <c r="Q91" i="8"/>
  <c r="R91" i="8" s="1" a="1"/>
  <c r="R91" i="8" s="1"/>
  <c r="Q96" i="8"/>
  <c r="R96" i="8" s="1" a="1"/>
  <c r="R96" i="8" s="1"/>
  <c r="Q98" i="8"/>
  <c r="R98" i="8" s="1" a="1"/>
  <c r="R98" i="8" s="1"/>
  <c r="Q99" i="8"/>
  <c r="R99" i="8" s="1" a="1"/>
  <c r="R99" i="8" s="1"/>
  <c r="Q100" i="8"/>
  <c r="R100" i="8" s="1" a="1"/>
  <c r="R100" i="8" s="1"/>
  <c r="Q142" i="8"/>
  <c r="R142" i="8" s="1" a="1"/>
  <c r="R142" i="8" s="1"/>
  <c r="Q102" i="8"/>
  <c r="R102" i="8" s="1" a="1"/>
  <c r="R102" i="8" s="1"/>
  <c r="Q138" i="8"/>
  <c r="R138" i="8" s="1" a="1"/>
  <c r="R138" i="8" s="1"/>
  <c r="Q103" i="8"/>
  <c r="R103" i="8" s="1" a="1"/>
  <c r="R103" i="8" s="1"/>
  <c r="Q101" i="8"/>
  <c r="R101" i="8" s="1" a="1"/>
  <c r="R101" i="8" s="1"/>
  <c r="Q143" i="8"/>
  <c r="R143" i="8" s="1" a="1"/>
  <c r="R143" i="8" s="1"/>
  <c r="Q107" i="8"/>
  <c r="R107" i="8" s="1" a="1"/>
  <c r="R107" i="8" s="1"/>
  <c r="Q112" i="8"/>
  <c r="R112" i="8" s="1" a="1"/>
  <c r="R112" i="8" s="1"/>
  <c r="Q130" i="8"/>
  <c r="R130" i="8" s="1" a="1"/>
  <c r="R130" i="8" s="1"/>
  <c r="Q108" i="8"/>
  <c r="R108" i="8" s="1" a="1"/>
  <c r="R108" i="8" s="1"/>
  <c r="Q109" i="8"/>
  <c r="R109" i="8" s="1" a="1"/>
  <c r="R109" i="8" s="1"/>
  <c r="Q105" i="8"/>
  <c r="R105" i="8" s="1" a="1"/>
  <c r="R105" i="8" s="1"/>
  <c r="Q110" i="8"/>
  <c r="R110" i="8" s="1" a="1"/>
  <c r="R110" i="8" s="1"/>
  <c r="Q111" i="8"/>
  <c r="R111" i="8" s="1" a="1"/>
  <c r="R111" i="8" s="1"/>
  <c r="Q113" i="8"/>
  <c r="R113" i="8" s="1" a="1"/>
  <c r="R113" i="8" s="1"/>
  <c r="Q117" i="8"/>
  <c r="R117" i="8" s="1" a="1"/>
  <c r="R117" i="8" s="1"/>
  <c r="Q140" i="8"/>
  <c r="R140" i="8" s="1" a="1"/>
  <c r="R140" i="8" s="1"/>
  <c r="Q133" i="8"/>
  <c r="R133" i="8" s="1" a="1"/>
  <c r="R133" i="8" s="1"/>
  <c r="Q135" i="8"/>
  <c r="R135" i="8" s="1" a="1"/>
  <c r="R135" i="8" s="1"/>
  <c r="Q139" i="8"/>
  <c r="R139" i="8" s="1" a="1"/>
  <c r="R139" i="8" s="1"/>
  <c r="Q67" i="8"/>
  <c r="R67" i="8" s="1" a="1"/>
  <c r="R67" i="8" s="1"/>
  <c r="Q25" i="8"/>
  <c r="R25" i="8" s="1" a="1"/>
  <c r="R25" i="8" s="1"/>
  <c r="Q7" i="8"/>
  <c r="R7" i="8" s="1" a="1"/>
  <c r="R7" i="8" s="1"/>
  <c r="Q71" i="8"/>
  <c r="R71" i="8" s="1" a="1"/>
  <c r="R71" i="8" s="1"/>
  <c r="Q114" i="8"/>
  <c r="R114" i="8" s="1" a="1"/>
  <c r="R114" i="8" s="1"/>
  <c r="Q6" i="8"/>
  <c r="R6" i="8" s="1" a="1"/>
  <c r="R6" i="8" s="1"/>
  <c r="Q31" i="8"/>
  <c r="R31" i="8" s="1" a="1"/>
  <c r="R31" i="8" s="1"/>
  <c r="Q38" i="8"/>
  <c r="R38" i="8" s="1" a="1"/>
  <c r="R38" i="8" s="1"/>
  <c r="Q48" i="8"/>
  <c r="R48" i="8" s="1" a="1"/>
  <c r="R48" i="8" s="1"/>
  <c r="Q58" i="8"/>
  <c r="R58" i="8" s="1" a="1"/>
  <c r="R58" i="8" s="1"/>
  <c r="Q51" i="8"/>
  <c r="R51" i="8" s="1" a="1"/>
  <c r="R51" i="8" s="1"/>
  <c r="Q104" i="8"/>
  <c r="R104" i="8" s="1" a="1"/>
  <c r="R104" i="8" s="1"/>
  <c r="Q132" i="8"/>
  <c r="R132" i="8" s="1" a="1"/>
  <c r="R132" i="8" s="1"/>
  <c r="Q77" i="8"/>
  <c r="R77" i="8" s="1" a="1"/>
  <c r="R77" i="8" s="1"/>
  <c r="Q82" i="8"/>
  <c r="R82" i="8" s="1" a="1"/>
  <c r="R82" i="8" s="1"/>
  <c r="Q45" i="8"/>
  <c r="R45" i="8" s="1" a="1"/>
  <c r="R45" i="8" s="1"/>
  <c r="Q42" i="8"/>
  <c r="R42" i="8" s="1" a="1"/>
  <c r="R42" i="8" s="1"/>
  <c r="Q119" i="8"/>
  <c r="R119" i="8" s="1" a="1"/>
  <c r="R119" i="8" s="1"/>
  <c r="Q54" i="8"/>
  <c r="R54" i="8" s="1" a="1"/>
  <c r="R54" i="8" s="1"/>
  <c r="Q52" i="8"/>
  <c r="R52" i="8" s="1" a="1"/>
  <c r="R52" i="8" s="1"/>
  <c r="Q141" i="8"/>
  <c r="R141" i="8" s="1" a="1"/>
  <c r="R141" i="8" s="1"/>
  <c r="Q49" i="8"/>
  <c r="R49" i="8" s="1" a="1"/>
  <c r="R49" i="8" s="1"/>
  <c r="Q73" i="8"/>
  <c r="R73" i="8" s="1" a="1"/>
  <c r="R73" i="8" s="1"/>
  <c r="Q123" i="8"/>
  <c r="R123" i="8" s="1" a="1"/>
  <c r="R123" i="8" s="1"/>
  <c r="Q46" i="8"/>
  <c r="R46" i="8" s="1" a="1"/>
  <c r="R46" i="8" s="1"/>
  <c r="Q53" i="8"/>
  <c r="R53" i="8" s="1" a="1"/>
  <c r="R53" i="8" s="1"/>
  <c r="Q137" i="8"/>
  <c r="R137" i="8" s="1" a="1"/>
  <c r="R137" i="8" s="1"/>
  <c r="Q70" i="8"/>
  <c r="R70" i="8" s="1" a="1"/>
  <c r="R70" i="8" s="1"/>
  <c r="Q129" i="8"/>
  <c r="R129" i="8" s="1" a="1"/>
  <c r="R129" i="8" s="1"/>
  <c r="Q32" i="8"/>
  <c r="R32" i="8" s="1" a="1"/>
  <c r="R32" i="8" s="1"/>
  <c r="Q118" i="8"/>
  <c r="R118" i="8" s="1" a="1"/>
  <c r="R118" i="8" s="1"/>
  <c r="Q28" i="8"/>
  <c r="R28" i="8" s="1" a="1"/>
  <c r="R28" i="8" s="1"/>
  <c r="Q121" i="8"/>
  <c r="R121" i="8" s="1" a="1"/>
  <c r="R121" i="8" s="1"/>
  <c r="Q33" i="8"/>
  <c r="R33" i="8" s="1" a="1"/>
  <c r="R33" i="8" s="1"/>
  <c r="Q65" i="8"/>
  <c r="R65" i="8" s="1" a="1"/>
  <c r="R65" i="8" s="1"/>
  <c r="Q62" i="8"/>
  <c r="R62" i="8" s="1" a="1"/>
  <c r="R62" i="8" s="1"/>
  <c r="Q24" i="8"/>
  <c r="R24" i="8" s="1" a="1"/>
  <c r="R24" i="8" s="1"/>
  <c r="Q44" i="8"/>
  <c r="R44" i="8" s="1" a="1"/>
  <c r="R44" i="8" s="1"/>
  <c r="Q21" i="8"/>
  <c r="R21" i="8" s="1" a="1"/>
  <c r="R21" i="8" s="1"/>
  <c r="Q63" i="8"/>
  <c r="R63" i="8" s="1" a="1"/>
  <c r="R63" i="8" s="1"/>
  <c r="Q18" i="8"/>
  <c r="R18" i="8" s="1" a="1"/>
  <c r="R18" i="8" s="1"/>
  <c r="Q41" i="8"/>
  <c r="R41" i="8" s="1" a="1"/>
  <c r="R41" i="8" s="1"/>
  <c r="Q50" i="8"/>
  <c r="R50" i="8" s="1" a="1"/>
  <c r="R50" i="8" s="1"/>
  <c r="Q69" i="8"/>
  <c r="R69" i="8" s="1" a="1"/>
  <c r="R69" i="8" s="1"/>
  <c r="Q14" i="8"/>
  <c r="R14" i="8" s="1" a="1"/>
  <c r="R14" i="8" s="1"/>
  <c r="Q76" i="8"/>
  <c r="R76" i="8" s="1" a="1"/>
  <c r="R76" i="8" s="1"/>
  <c r="Q64" i="8"/>
  <c r="R64" i="8" s="1" a="1"/>
  <c r="R64" i="8" s="1"/>
  <c r="Q22" i="8"/>
  <c r="R22" i="8" s="1" a="1"/>
  <c r="R22" i="8" s="1"/>
  <c r="Q29" i="8"/>
  <c r="R29" i="8" s="1" a="1"/>
  <c r="R29" i="8" s="1"/>
  <c r="Q40" i="8"/>
  <c r="R40" i="8" s="1" a="1"/>
  <c r="R40" i="8" s="1"/>
  <c r="Q20" i="8"/>
  <c r="R20" i="8" s="1" a="1"/>
  <c r="R20" i="8" s="1"/>
  <c r="Q16" i="8"/>
  <c r="R16" i="8" s="1" a="1"/>
  <c r="R16" i="8" s="1"/>
  <c r="Q5" i="8"/>
  <c r="R5" i="8" s="1" a="1"/>
  <c r="R5" i="8" s="1"/>
  <c r="Q3" i="8"/>
  <c r="R3" i="8" s="1" a="1"/>
  <c r="R3" i="8" s="1"/>
  <c r="Q19" i="8"/>
  <c r="R19" i="8" s="1" a="1"/>
  <c r="R19" i="8" s="1"/>
  <c r="Q11" i="8"/>
  <c r="R11" i="8" s="1" a="1"/>
  <c r="R11" i="8" s="1"/>
  <c r="Q35" i="8"/>
  <c r="R35" i="8" s="1" a="1"/>
  <c r="R35" i="8" s="1"/>
  <c r="Q15" i="8"/>
  <c r="R15" i="8" s="1" a="1"/>
  <c r="R15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<sst xmlns="http://schemas.openxmlformats.org/spreadsheetml/2006/main" count="8081" uniqueCount="1911">
  <si>
    <t>Grade</t>
  </si>
  <si>
    <t>PE</t>
  </si>
  <si>
    <t>Lucario</t>
  </si>
  <si>
    <t>Metagross</t>
  </si>
  <si>
    <t>Charizard</t>
  </si>
  <si>
    <t>Pikachu</t>
  </si>
  <si>
    <t>Alolan Sandslash</t>
  </si>
  <si>
    <t>Blastoise</t>
  </si>
  <si>
    <t>Gengar</t>
  </si>
  <si>
    <t>Vaporeon</t>
  </si>
  <si>
    <t>Gardevoir</t>
  </si>
  <si>
    <t>Empoleon</t>
  </si>
  <si>
    <t>Darkrai</t>
  </si>
  <si>
    <t>Piplup</t>
  </si>
  <si>
    <t>Alakazam</t>
  </si>
  <si>
    <t>Raichu</t>
  </si>
  <si>
    <t>Golurk</t>
  </si>
  <si>
    <t>Glaceon</t>
  </si>
  <si>
    <t>Dodrio</t>
  </si>
  <si>
    <t>Tyranitar</t>
  </si>
  <si>
    <t>Infernape</t>
  </si>
  <si>
    <t>Venusaur</t>
  </si>
  <si>
    <t>Greninja</t>
  </si>
  <si>
    <t>Inteleon</t>
  </si>
  <si>
    <t>Slowbro</t>
  </si>
  <si>
    <t>Number</t>
  </si>
  <si>
    <t>Pokémon</t>
  </si>
  <si>
    <t>Type</t>
  </si>
  <si>
    <t>Version</t>
  </si>
  <si>
    <t>1-1-001</t>
  </si>
  <si>
    <t>6-star</t>
  </si>
  <si>
    <t>Mewtwo</t>
  </si>
  <si>
    <t>Psychic</t>
  </si>
  <si>
    <t>Stardust V1</t>
  </si>
  <si>
    <t>1-1-002</t>
  </si>
  <si>
    <t>Mew</t>
  </si>
  <si>
    <t>1-1-003</t>
  </si>
  <si>
    <t>Zacian</t>
  </si>
  <si>
    <t>Fairy/Steel</t>
  </si>
  <si>
    <t>1-1-004</t>
  </si>
  <si>
    <t>Zamazenta</t>
  </si>
  <si>
    <t>Fight/Steel</t>
  </si>
  <si>
    <t>1-1-005</t>
  </si>
  <si>
    <t>Rock/Dark</t>
  </si>
  <si>
    <t>1-1-006</t>
  </si>
  <si>
    <t>Steel/Psychic</t>
  </si>
  <si>
    <t>1-1-007</t>
  </si>
  <si>
    <t>Miraidon</t>
  </si>
  <si>
    <t>Elec/Dragon</t>
  </si>
  <si>
    <t>1-1-008</t>
  </si>
  <si>
    <t>Grass/Poison</t>
  </si>
  <si>
    <t>1-1-009</t>
  </si>
  <si>
    <t>Fire/Flying</t>
  </si>
  <si>
    <t>1-1-010</t>
  </si>
  <si>
    <t>Water</t>
  </si>
  <si>
    <t>1-1-011</t>
  </si>
  <si>
    <t>5-star</t>
  </si>
  <si>
    <t>1-1-012</t>
  </si>
  <si>
    <t>Flareon</t>
  </si>
  <si>
    <t>Fire</t>
  </si>
  <si>
    <t>1-1-013</t>
  </si>
  <si>
    <t>Umbreon</t>
  </si>
  <si>
    <t>Dark</t>
  </si>
  <si>
    <t>1-1-014</t>
  </si>
  <si>
    <t>Ice</t>
  </si>
  <si>
    <t>1-1-015</t>
  </si>
  <si>
    <t>Pidgeot</t>
  </si>
  <si>
    <t>Normal/Flying</t>
  </si>
  <si>
    <t>1-1-016</t>
  </si>
  <si>
    <t>Ghost/Poison</t>
  </si>
  <si>
    <t>1-1-017</t>
  </si>
  <si>
    <t>Arcanine</t>
  </si>
  <si>
    <t>1-1-018</t>
  </si>
  <si>
    <t>Rhyperior</t>
  </si>
  <si>
    <t>Ground/Rock</t>
  </si>
  <si>
    <t>1-1-019</t>
  </si>
  <si>
    <t>Electric</t>
  </si>
  <si>
    <t>1-1-020</t>
  </si>
  <si>
    <t>Flygon</t>
  </si>
  <si>
    <t>Ground/Dragon</t>
  </si>
  <si>
    <t>1-1-021</t>
  </si>
  <si>
    <t>Rillaboom</t>
  </si>
  <si>
    <t>Grass</t>
  </si>
  <si>
    <t>1-1-022</t>
  </si>
  <si>
    <t>Cinderace</t>
  </si>
  <si>
    <t>1-1-023</t>
  </si>
  <si>
    <t>1-1-024</t>
  </si>
  <si>
    <t>Obstagoon</t>
  </si>
  <si>
    <t>Dark/Normal</t>
  </si>
  <si>
    <t>1-1-025</t>
  </si>
  <si>
    <t>Keldeo</t>
  </si>
  <si>
    <t>Water/Fighting</t>
  </si>
  <si>
    <t>1-1-026</t>
  </si>
  <si>
    <t>2-star</t>
  </si>
  <si>
    <t>Sprigatito</t>
  </si>
  <si>
    <t>1-1-027</t>
  </si>
  <si>
    <t>3-star</t>
  </si>
  <si>
    <t>Floragato</t>
  </si>
  <si>
    <t>1-1-028</t>
  </si>
  <si>
    <t>Fuecoco</t>
  </si>
  <si>
    <t>1-1-029</t>
  </si>
  <si>
    <t>Crocalor</t>
  </si>
  <si>
    <t>1-1-030</t>
  </si>
  <si>
    <t>Quaxly</t>
  </si>
  <si>
    <t>1-1-031</t>
  </si>
  <si>
    <t>Quaxwell</t>
  </si>
  <si>
    <t>1-1-032</t>
  </si>
  <si>
    <t>Grookey</t>
  </si>
  <si>
    <t>1-1-033</t>
  </si>
  <si>
    <t>Thwackey</t>
  </si>
  <si>
    <t>1-1-034</t>
  </si>
  <si>
    <t>4-star</t>
  </si>
  <si>
    <t>1-1-035</t>
  </si>
  <si>
    <t>Scorbunny</t>
  </si>
  <si>
    <t>1-1-036</t>
  </si>
  <si>
    <t>Raboot</t>
  </si>
  <si>
    <t>1-1-037</t>
  </si>
  <si>
    <t>1-1-038</t>
  </si>
  <si>
    <t>Sobble</t>
  </si>
  <si>
    <t>1-1-039</t>
  </si>
  <si>
    <t>Drizzile</t>
  </si>
  <si>
    <t>1-1-040</t>
  </si>
  <si>
    <t>1-1-041</t>
  </si>
  <si>
    <t>Dedenne</t>
  </si>
  <si>
    <t>Elec/Fairy</t>
  </si>
  <si>
    <t>1-1-042</t>
  </si>
  <si>
    <t>1-1-043</t>
  </si>
  <si>
    <t>1-1-044</t>
  </si>
  <si>
    <t>Eevee</t>
  </si>
  <si>
    <t>Normal</t>
  </si>
  <si>
    <t>1-1-045</t>
  </si>
  <si>
    <t>Jolteon</t>
  </si>
  <si>
    <t>1-1-046</t>
  </si>
  <si>
    <t>Espeon</t>
  </si>
  <si>
    <t>1-1-047</t>
  </si>
  <si>
    <t>Leafeon</t>
  </si>
  <si>
    <t>1-1-048</t>
  </si>
  <si>
    <t>Sylveon</t>
  </si>
  <si>
    <t>Fairy</t>
  </si>
  <si>
    <t>1-1-049</t>
  </si>
  <si>
    <t>Sneasel</t>
  </si>
  <si>
    <t>Dark/Ice</t>
  </si>
  <si>
    <t>1-1-050</t>
  </si>
  <si>
    <t>Weavile</t>
  </si>
  <si>
    <t>1-1-051</t>
  </si>
  <si>
    <t>Golett</t>
  </si>
  <si>
    <t>Ground/Ghost</t>
  </si>
  <si>
    <t>1-1-052</t>
  </si>
  <si>
    <t>1-1-053</t>
  </si>
  <si>
    <t>Slowpoke</t>
  </si>
  <si>
    <t>Water/Psychic</t>
  </si>
  <si>
    <t>1-1-054</t>
  </si>
  <si>
    <t>1-1-055</t>
  </si>
  <si>
    <t>Mudbray</t>
  </si>
  <si>
    <t>Ground</t>
  </si>
  <si>
    <t>1-1-056</t>
  </si>
  <si>
    <t>Mudsdale</t>
  </si>
  <si>
    <t>1-1-057</t>
  </si>
  <si>
    <t>Galarian Zigzagoon</t>
  </si>
  <si>
    <t>1-1-058</t>
  </si>
  <si>
    <t>Galarian Linoone</t>
  </si>
  <si>
    <t>1-1-059</t>
  </si>
  <si>
    <t>1-1-060</t>
  </si>
  <si>
    <t>Grubbin</t>
  </si>
  <si>
    <t>Bug</t>
  </si>
  <si>
    <t>1-1-061</t>
  </si>
  <si>
    <t>Charjabug</t>
  </si>
  <si>
    <t>Bug/Elec</t>
  </si>
  <si>
    <t>1-1-062</t>
  </si>
  <si>
    <t>Vikavolt</t>
  </si>
  <si>
    <t>1-1-063</t>
  </si>
  <si>
    <t>Doduo</t>
  </si>
  <si>
    <t>1-1-064</t>
  </si>
  <si>
    <t>1-1-065</t>
  </si>
  <si>
    <t>Gossifleur</t>
  </si>
  <si>
    <t>1-1-066</t>
  </si>
  <si>
    <t>Eldegoss</t>
  </si>
  <si>
    <t>1-1-067</t>
  </si>
  <si>
    <t>Turtonator</t>
  </si>
  <si>
    <t>Fire/Dragon</t>
  </si>
  <si>
    <t>1-1-068</t>
  </si>
  <si>
    <t>Cramorant</t>
  </si>
  <si>
    <t>Water/Flying</t>
  </si>
  <si>
    <t>1-1-069</t>
  </si>
  <si>
    <t>Snom</t>
  </si>
  <si>
    <t>Ice/Bug</t>
  </si>
  <si>
    <t>1-1-070</t>
  </si>
  <si>
    <t>Frosmoth</t>
  </si>
  <si>
    <t>1-2-001</t>
  </si>
  <si>
    <t>Kyogre</t>
  </si>
  <si>
    <t>Stardust V2</t>
  </si>
  <si>
    <t>1-2-002</t>
  </si>
  <si>
    <t>Groudon</t>
  </si>
  <si>
    <t>1-2-003</t>
  </si>
  <si>
    <t>Koraidon</t>
  </si>
  <si>
    <t>Fighting/Dragon</t>
  </si>
  <si>
    <t>1-2-004</t>
  </si>
  <si>
    <t>1-2-005</t>
  </si>
  <si>
    <t>Snorlax</t>
  </si>
  <si>
    <t>1-2-006</t>
  </si>
  <si>
    <t>Kommo-o</t>
  </si>
  <si>
    <t>Dragon/Fighting</t>
  </si>
  <si>
    <t>1-2-007</t>
  </si>
  <si>
    <t>Psychic/Fairy</t>
  </si>
  <si>
    <t>1-2-008</t>
  </si>
  <si>
    <t>Reshiram</t>
  </si>
  <si>
    <t>Dragon/Fire</t>
  </si>
  <si>
    <t>1-2-009</t>
  </si>
  <si>
    <t>Zekrom</t>
  </si>
  <si>
    <t>Dragon/Electric</t>
  </si>
  <si>
    <t>1-2-010</t>
  </si>
  <si>
    <t>Kyurem</t>
  </si>
  <si>
    <t>Dragon/Ice</t>
  </si>
  <si>
    <t>1-2-011</t>
  </si>
  <si>
    <t>1-2-012</t>
  </si>
  <si>
    <t>1-2-013</t>
  </si>
  <si>
    <t>1-2-014</t>
  </si>
  <si>
    <t>1-2-015</t>
  </si>
  <si>
    <t>Fighting/Steel</t>
  </si>
  <si>
    <t>1-2-016</t>
  </si>
  <si>
    <t>Torterra</t>
  </si>
  <si>
    <t>Grass/Ground</t>
  </si>
  <si>
    <t>1-2-017</t>
  </si>
  <si>
    <t>Fire/Fighting</t>
  </si>
  <si>
    <t>1-2-018</t>
  </si>
  <si>
    <t>Water/Steel</t>
  </si>
  <si>
    <t>1-2-019</t>
  </si>
  <si>
    <t>Alolan Ninetales</t>
  </si>
  <si>
    <t>Ice/Fairy</t>
  </si>
  <si>
    <t>1-2-020</t>
  </si>
  <si>
    <t>1-2-021</t>
  </si>
  <si>
    <t>1-2-022</t>
  </si>
  <si>
    <t>Flapple</t>
  </si>
  <si>
    <t>Grass/Dragon</t>
  </si>
  <si>
    <t>1-2-023</t>
  </si>
  <si>
    <t>Appletun</t>
  </si>
  <si>
    <t>1-2-024</t>
  </si>
  <si>
    <t>Alcremie</t>
  </si>
  <si>
    <t>1-2-025</t>
  </si>
  <si>
    <t>Drednaw</t>
  </si>
  <si>
    <t>Water/Rock</t>
  </si>
  <si>
    <t>1-2-026</t>
  </si>
  <si>
    <t>Meowscarada</t>
  </si>
  <si>
    <t>Grass/Dark</t>
  </si>
  <si>
    <t>1-2-027</t>
  </si>
  <si>
    <t>Skeledirge</t>
  </si>
  <si>
    <t>Fire/Ghost</t>
  </si>
  <si>
    <t>1-2-028</t>
  </si>
  <si>
    <t>Quaquaval</t>
  </si>
  <si>
    <t>1-2-029</t>
  </si>
  <si>
    <t>Charcadet</t>
  </si>
  <si>
    <t>1-2-030</t>
  </si>
  <si>
    <t>Frigibax</t>
  </si>
  <si>
    <t>1-2-031</t>
  </si>
  <si>
    <t>Pawmi</t>
  </si>
  <si>
    <t>1-2-032</t>
  </si>
  <si>
    <t>Turtwig</t>
  </si>
  <si>
    <t>1-2-033</t>
  </si>
  <si>
    <t>Grotle</t>
  </si>
  <si>
    <t>1-2-034</t>
  </si>
  <si>
    <t>1-2-035</t>
  </si>
  <si>
    <t>Chimchar</t>
  </si>
  <si>
    <t>1-2-036</t>
  </si>
  <si>
    <t>Monferno</t>
  </si>
  <si>
    <t>1-2-037</t>
  </si>
  <si>
    <t>1-2-038</t>
  </si>
  <si>
    <t>1-2-039</t>
  </si>
  <si>
    <t>Prinplup</t>
  </si>
  <si>
    <t>1-2-040</t>
  </si>
  <si>
    <t>1-2-041</t>
  </si>
  <si>
    <t>1-2-042</t>
  </si>
  <si>
    <t>1-2-043</t>
  </si>
  <si>
    <t>1-2-044</t>
  </si>
  <si>
    <t>1-2-045</t>
  </si>
  <si>
    <t>Yamper</t>
  </si>
  <si>
    <t>1-2-046</t>
  </si>
  <si>
    <t>Boltund</t>
  </si>
  <si>
    <t>1-2-047</t>
  </si>
  <si>
    <t>Pidgey</t>
  </si>
  <si>
    <t>1-2-048</t>
  </si>
  <si>
    <t>Pidgeotto</t>
  </si>
  <si>
    <t>1-2-049</t>
  </si>
  <si>
    <t>1-2-050</t>
  </si>
  <si>
    <t>Alolan Sandshrew</t>
  </si>
  <si>
    <t>Ice/Steel</t>
  </si>
  <si>
    <t>1-2-051</t>
  </si>
  <si>
    <t>1-2-052</t>
  </si>
  <si>
    <t>Bronzor</t>
  </si>
  <si>
    <t>1-2-053</t>
  </si>
  <si>
    <t>Bronzong</t>
  </si>
  <si>
    <t>1-2-054</t>
  </si>
  <si>
    <t>Trapinch</t>
  </si>
  <si>
    <t>1-2-055</t>
  </si>
  <si>
    <t>Vibrava</t>
  </si>
  <si>
    <t>1-2-056</t>
  </si>
  <si>
    <t>1-2-057</t>
  </si>
  <si>
    <t>Wingull</t>
  </si>
  <si>
    <t>1-2-058</t>
  </si>
  <si>
    <t>Pelipper</t>
  </si>
  <si>
    <t>1-2-059</t>
  </si>
  <si>
    <t>Jynx</t>
  </si>
  <si>
    <t>Ice/Psychic</t>
  </si>
  <si>
    <t>1-2-060</t>
  </si>
  <si>
    <t>Abra</t>
  </si>
  <si>
    <t>1-2-061</t>
  </si>
  <si>
    <t>Kadabra</t>
  </si>
  <si>
    <t>1-2-062</t>
  </si>
  <si>
    <t>1-2-063</t>
  </si>
  <si>
    <t>Drifloon</t>
  </si>
  <si>
    <t>Ghost/Flying</t>
  </si>
  <si>
    <t>1-2-064</t>
  </si>
  <si>
    <t>Drifblim</t>
  </si>
  <si>
    <t>1-2-065</t>
  </si>
  <si>
    <t>Mareanie</t>
  </si>
  <si>
    <t>Poison/Water</t>
  </si>
  <si>
    <t>1-2-066</t>
  </si>
  <si>
    <t>Togedemaru</t>
  </si>
  <si>
    <t>Electric/Steel</t>
  </si>
  <si>
    <t>1-2-067</t>
  </si>
  <si>
    <t>Ralts</t>
  </si>
  <si>
    <t>1-2-068</t>
  </si>
  <si>
    <t>Kirlia</t>
  </si>
  <si>
    <t>1-2-069</t>
  </si>
  <si>
    <t>1-2-070</t>
  </si>
  <si>
    <t>Onix</t>
  </si>
  <si>
    <t>Rock/Ground</t>
  </si>
  <si>
    <t>R-1-1</t>
  </si>
  <si>
    <t>Special</t>
  </si>
  <si>
    <t>R-1-2</t>
  </si>
  <si>
    <t>R-1-3</t>
  </si>
  <si>
    <t>½× Resists</t>
  </si>
  <si>
    <t>¼×</t>
  </si>
  <si>
    <t>0× Immune</t>
  </si>
  <si>
    <t>Fighting, Psychic</t>
  </si>
  <si>
    <t>–</t>
  </si>
  <si>
    <t>Fighting, Bug, Dark</t>
  </si>
  <si>
    <t>Dragon</t>
  </si>
  <si>
    <t>Fighting</t>
  </si>
  <si>
    <t>Rock, Bug, Dark</t>
  </si>
  <si>
    <t>Normal, Flying, Poison, Fire, Dark</t>
  </si>
  <si>
    <t>Normal, Flying, Rock, Grass, Ice, Dragon, Steel, Fairy</t>
  </si>
  <si>
    <t>Poison</t>
  </si>
  <si>
    <t>Electric/Dragon</t>
  </si>
  <si>
    <t>Fire, Water, Grass, Electric, Flying, Steel</t>
  </si>
  <si>
    <t>Water, Electric, Fighting, Fairy</t>
  </si>
  <si>
    <t>Fire, Fighting, Steel, Fairy</t>
  </si>
  <si>
    <t>Fire, Water, Ice, Steel</t>
  </si>
  <si>
    <t>Fire, Grass, Ice, Bug, Steel, Fairy</t>
  </si>
  <si>
    <t>Ghost, Dark</t>
  </si>
  <si>
    <t>Grass, Bug</t>
  </si>
  <si>
    <t>Grass, Poison, Fairy, Bug</t>
  </si>
  <si>
    <t>Normal, Fighting</t>
  </si>
  <si>
    <t>Normal, Flying, Fire, Poison, Rock</t>
  </si>
  <si>
    <t>Pikachu (5☆)</t>
  </si>
  <si>
    <t>Electric, Flying, Steel</t>
  </si>
  <si>
    <t>Fire, Poison, Rock</t>
  </si>
  <si>
    <t>Water, Electric, Grass, Ground</t>
  </si>
  <si>
    <t>Psychic, Ghost</t>
  </si>
  <si>
    <t>Fire, Water, Ice, Rock, Bug, Dark, Steel</t>
  </si>
  <si>
    <t>Bug/Electric</t>
  </si>
  <si>
    <t>Electric, Fighting, Grass, Steel</t>
  </si>
  <si>
    <t>Electric/Fairy</t>
  </si>
  <si>
    <t>Electric, Flying, Fighting, Bug, Dark</t>
  </si>
  <si>
    <t>Ghost</t>
  </si>
  <si>
    <t>Ice, Ghost, Dark</t>
  </si>
  <si>
    <t>Poison, Rock, Bug</t>
  </si>
  <si>
    <t>Normal, Fighting, Electric</t>
  </si>
  <si>
    <t>Fire, Water, Ice, Steel, Fighting, Psychic</t>
  </si>
  <si>
    <t>Poison, Rock</t>
  </si>
  <si>
    <t>Fighting, Grass, Ground</t>
  </si>
  <si>
    <t>Fire, Electric, Bug, Steel</t>
  </si>
  <si>
    <t>Flying/Water</t>
  </si>
  <si>
    <t>Fire, Water, Fighting, Bug, Steel</t>
  </si>
  <si>
    <t>Ice, Ground, Grass</t>
  </si>
  <si>
    <t>Fire, Water, Grass, Rock, Bug, Dark</t>
  </si>
  <si>
    <t>Fire, Water, Grass, Electric, Rock, Bug, Dark</t>
  </si>
  <si>
    <t>Fire, Electric, Grass, Bug, Steel</t>
  </si>
  <si>
    <t>¼× Grass</t>
  </si>
  <si>
    <t>Water, Grass, Electric</t>
  </si>
  <si>
    <t>Normal, Grass, Ice, Rock, Dark, Steel</t>
  </si>
  <si>
    <t>Ground, Rock</t>
  </si>
  <si>
    <t>Fire, Grass, Ice, Bug, Dark, Steel</t>
  </si>
  <si>
    <t>Normal, Flying, Rock, Bug, Water, Psychic, Ice, Dragon, Steel, Fairy</t>
  </si>
  <si>
    <t>Ice, Bug, Dark</t>
  </si>
  <si>
    <t>¼× Psychic</t>
  </si>
  <si>
    <t>Water, Electric, Grass</t>
  </si>
  <si>
    <t>Normal, Flying, Poison, Ice, Fire</t>
  </si>
  <si>
    <t>Water, Electric, Grass, Ground, Ghost, Dark</t>
  </si>
  <si>
    <t>Normal, Flying, Grass, Ice, Psychic, Bug, Dragon, Fairy</t>
  </si>
  <si>
    <t>Ice, Psychic</t>
  </si>
  <si>
    <t>Poison, Bug</t>
  </si>
  <si>
    <t>Normal, Fighting, Ground</t>
  </si>
  <si>
    <t>Fire, Water, Ice, Fighting, Poison, Bug, Steel, Fairy</t>
  </si>
  <si>
    <t>Normal, Flying, Rock, Bug, Grass, Ice, Dragon, Fairy, Electric, Psychic</t>
  </si>
  <si>
    <t>Tag ID</t>
  </si>
  <si>
    <t>Star Rarity</t>
  </si>
  <si>
    <t>Pikachu(5☆)</t>
  </si>
  <si>
    <t>Move Name</t>
  </si>
  <si>
    <t>Damage Class</t>
  </si>
  <si>
    <t>Power</t>
  </si>
  <si>
    <t>Accuracy</t>
  </si>
  <si>
    <t>PP</t>
  </si>
  <si>
    <t>Effect</t>
  </si>
  <si>
    <t>Pound</t>
  </si>
  <si>
    <t>Physical</t>
  </si>
  <si>
    <t>Inflicts regular damage with no additional effect.</t>
  </si>
  <si>
    <t>Karate Chop</t>
  </si>
  <si>
    <t>Has an increased chance for a critical hit.</t>
  </si>
  <si>
    <t>Double Slap</t>
  </si>
  <si>
    <t>Hits 2-5 times in one turn.</t>
  </si>
  <si>
    <t>Comet Punch</t>
  </si>
  <si>
    <t>Mega Punch</t>
  </si>
  <si>
    <t>Pay Day</t>
  </si>
  <si>
    <t>Scatters money on the ground worth five times the user’s level.</t>
  </si>
  <si>
    <t>Fire Punch</t>
  </si>
  <si>
    <t>Has a $effect_chance% chance to burn the target.</t>
  </si>
  <si>
    <t>Ice Punch</t>
  </si>
  <si>
    <t>Has a $effect_chance% chance to freeze the target.</t>
  </si>
  <si>
    <t>Thunder Punch</t>
  </si>
  <si>
    <t>Has a $effect_chance% chance to paralyze the target.</t>
  </si>
  <si>
    <t>Scratch</t>
  </si>
  <si>
    <t>Vice Grip</t>
  </si>
  <si>
    <t>Guillotine</t>
  </si>
  <si>
    <t>Causes a one-hit KO.</t>
  </si>
  <si>
    <t>Razor Wind</t>
  </si>
  <si>
    <t>Requires a turn to charge before attacking.</t>
  </si>
  <si>
    <t>Swords Dance</t>
  </si>
  <si>
    <t>Status</t>
  </si>
  <si>
    <t>Raises the user’s Attack by two stages.</t>
  </si>
  <si>
    <t>Cut</t>
  </si>
  <si>
    <t>Gust</t>
  </si>
  <si>
    <t>Flying</t>
  </si>
  <si>
    <t>Inflicts regular damage and can hit Pokémon in the air.</t>
  </si>
  <si>
    <t>Wing Attack</t>
  </si>
  <si>
    <t>Whirlwind</t>
  </si>
  <si>
    <t>Immediately ends wild battles.  Forces trainers to switch Pokémon.</t>
  </si>
  <si>
    <t>Fly</t>
  </si>
  <si>
    <t>User flies high into the air, dodging all attacks, and hits next turn.</t>
  </si>
  <si>
    <t>Bind</t>
  </si>
  <si>
    <t>Prevents the target from fleeing and inflicts damage for 2-5 turns.</t>
  </si>
  <si>
    <t>Slam</t>
  </si>
  <si>
    <t>Vine Whip</t>
  </si>
  <si>
    <t>Stomp</t>
  </si>
  <si>
    <t>Has a $effect_chance% chance to make the target flinch.</t>
  </si>
  <si>
    <t>Double Kick</t>
  </si>
  <si>
    <t>Hits twice in one turn.</t>
  </si>
  <si>
    <t>Mega Kick</t>
  </si>
  <si>
    <t>Jump Kick</t>
  </si>
  <si>
    <t>If the user misses, it takes half the damage it would have inflicted in recoil.</t>
  </si>
  <si>
    <t>Rolling Kick</t>
  </si>
  <si>
    <t>Sand Attack</t>
  </si>
  <si>
    <t>Lowers the target’s accuracy by one stage.</t>
  </si>
  <si>
    <t>Headbutt</t>
  </si>
  <si>
    <t>Horn Attack</t>
  </si>
  <si>
    <t>Fury Attack</t>
  </si>
  <si>
    <t>Horn Drill</t>
  </si>
  <si>
    <t>Tackle</t>
  </si>
  <si>
    <t>Body Slam</t>
  </si>
  <si>
    <t>Wrap</t>
  </si>
  <si>
    <t>Take Down</t>
  </si>
  <si>
    <t>User receives 1/4 the damage it inflicts in recoil.</t>
  </si>
  <si>
    <t>Thrash</t>
  </si>
  <si>
    <t>Hits every turn for 2-3 turns, then confuses the user.</t>
  </si>
  <si>
    <t>Double Edge</t>
  </si>
  <si>
    <t>User receives 1/3 the damage inflicted in recoil.</t>
  </si>
  <si>
    <t>Tail Whip</t>
  </si>
  <si>
    <t>Lowers the target’s Defense by one stage.</t>
  </si>
  <si>
    <t>Poison Sting</t>
  </si>
  <si>
    <t>Has a $effect_chance% chance to poison the target.</t>
  </si>
  <si>
    <t>Twineedle</t>
  </si>
  <si>
    <t>Hits twice in the same turn.  Has a $effect_chance% chance to poison the target.</t>
  </si>
  <si>
    <t>Pin Missile</t>
  </si>
  <si>
    <t>Leer</t>
  </si>
  <si>
    <t>Bite</t>
  </si>
  <si>
    <t>Growl</t>
  </si>
  <si>
    <t>Lowers the target’s Attack by one stage.</t>
  </si>
  <si>
    <t>Roar</t>
  </si>
  <si>
    <t>Sing</t>
  </si>
  <si>
    <t>Puts the target to sleep.</t>
  </si>
  <si>
    <t>Supersonic</t>
  </si>
  <si>
    <t>Confuses the target.</t>
  </si>
  <si>
    <t>Sonic Boom</t>
  </si>
  <si>
    <t>Inflicts 20 points of damage.</t>
  </si>
  <si>
    <t>Disable</t>
  </si>
  <si>
    <t>Disables the target’s last used move for 1-8 turns.</t>
  </si>
  <si>
    <t>Acid</t>
  </si>
  <si>
    <t>Has a $effect_chance% chance to lower the target’s Special Defense by one stage.</t>
  </si>
  <si>
    <t>Ember</t>
  </si>
  <si>
    <t>Flamethrower</t>
  </si>
  <si>
    <t>Mist</t>
  </si>
  <si>
    <t>Protects the user’s stats from being changed by enemy moves.</t>
  </si>
  <si>
    <t>Water Gun</t>
  </si>
  <si>
    <t>Hydro Pump</t>
  </si>
  <si>
    <t>Surf</t>
  </si>
  <si>
    <t>Inflicts regular damage and can hit Dive users.</t>
  </si>
  <si>
    <t>Ice Beam</t>
  </si>
  <si>
    <t>Blizzard</t>
  </si>
  <si>
    <t>Psybeam</t>
  </si>
  <si>
    <t>Has a $effect_chance% chance to confuse the target.</t>
  </si>
  <si>
    <t>Bubble Beam</t>
  </si>
  <si>
    <t>Has a $effect_chance% chance to lower the target’s Speed by one stage.</t>
  </si>
  <si>
    <t>Aurora Beam</t>
  </si>
  <si>
    <t>Has a $effect_chance% chance to lower the target’s Attack by one stage.</t>
  </si>
  <si>
    <t>Hyper Beam</t>
  </si>
  <si>
    <t>User foregoes its next turn to recharge.</t>
  </si>
  <si>
    <t>Peck</t>
  </si>
  <si>
    <t>Drill Peck</t>
  </si>
  <si>
    <t>Submission</t>
  </si>
  <si>
    <t>Low Kick</t>
  </si>
  <si>
    <t>Inflicts more damage to heavier targets, with a maximum of 120 power.</t>
  </si>
  <si>
    <t>Counter</t>
  </si>
  <si>
    <t>Inflicts twice the damage the user received from the last physical hit it took.</t>
  </si>
  <si>
    <t>Seismic Toss</t>
  </si>
  <si>
    <t>Inflicts damage equal to the user’s level.</t>
  </si>
  <si>
    <t>Strength</t>
  </si>
  <si>
    <t>Absorb</t>
  </si>
  <si>
    <t>Drains half the damage inflicted to heal the user.</t>
  </si>
  <si>
    <t>Mega Drain</t>
  </si>
  <si>
    <t>Leech Seed</t>
  </si>
  <si>
    <t>Seeds the target, stealing HP from it every turn.</t>
  </si>
  <si>
    <t>Growth</t>
  </si>
  <si>
    <t>Raises the user’s Attack and Special Attack by one stage.</t>
  </si>
  <si>
    <t>Razor Leaf</t>
  </si>
  <si>
    <t>Solar Beam</t>
  </si>
  <si>
    <t>Poison Powder</t>
  </si>
  <si>
    <t>Poisons the target.</t>
  </si>
  <si>
    <t>Stun Spore</t>
  </si>
  <si>
    <t>Paralyzes the target.</t>
  </si>
  <si>
    <t>Sleep Powder</t>
  </si>
  <si>
    <t>Petal Dance</t>
  </si>
  <si>
    <t>String Shot</t>
  </si>
  <si>
    <t>Lowers the target’s Speed by two stages.</t>
  </si>
  <si>
    <t>Dragon Rage</t>
  </si>
  <si>
    <t>Inflicts 40 points of damage.</t>
  </si>
  <si>
    <t>Fire Spin</t>
  </si>
  <si>
    <t>Thunder Shock</t>
  </si>
  <si>
    <t>Thunderbolt</t>
  </si>
  <si>
    <t>Thunder Wave</t>
  </si>
  <si>
    <t>Thunder</t>
  </si>
  <si>
    <t>Rock Throw</t>
  </si>
  <si>
    <t>Rock</t>
  </si>
  <si>
    <t>Earthquake</t>
  </si>
  <si>
    <t>Inflicts regular damage and can hit Dig users.</t>
  </si>
  <si>
    <t>Fissure</t>
  </si>
  <si>
    <t>Dig</t>
  </si>
  <si>
    <t>User digs underground, dodging all attacks, and hits next turn.</t>
  </si>
  <si>
    <t>Toxic</t>
  </si>
  <si>
    <t>Badly poisons the target, inflicting more damage every turn.</t>
  </si>
  <si>
    <t>Confusion</t>
  </si>
  <si>
    <t>Hypnosis</t>
  </si>
  <si>
    <t>Meditate</t>
  </si>
  <si>
    <t>Raises the user’s Attack by one stage.</t>
  </si>
  <si>
    <t>Agility</t>
  </si>
  <si>
    <t>Raises the user’s Speed by two stages.</t>
  </si>
  <si>
    <t>Quick Attack</t>
  </si>
  <si>
    <t>Rage</t>
  </si>
  <si>
    <t>If the user is hit after using this move, its Attack rises by one stage.</t>
  </si>
  <si>
    <t>Teleport</t>
  </si>
  <si>
    <t>Immediately ends wild battles.  No effect otherwise.</t>
  </si>
  <si>
    <t>Night Shade</t>
  </si>
  <si>
    <t>Mimic</t>
  </si>
  <si>
    <t>Copies the target’s last used move.</t>
  </si>
  <si>
    <t>Screech</t>
  </si>
  <si>
    <t>Lowers the target’s Defense by two stages.</t>
  </si>
  <si>
    <t>Double Team</t>
  </si>
  <si>
    <t>Raises the user’s evasion by one stage.</t>
  </si>
  <si>
    <t>Recover</t>
  </si>
  <si>
    <t>Heals the user by half its max HP.</t>
  </si>
  <si>
    <t>Harden</t>
  </si>
  <si>
    <t>Raises the user’s Defense by one stage.</t>
  </si>
  <si>
    <t>Minimize</t>
  </si>
  <si>
    <t>Raises the user’s evasion by two stages.</t>
  </si>
  <si>
    <t>Smokescreen</t>
  </si>
  <si>
    <t>Confuse Ray</t>
  </si>
  <si>
    <t>Withdraw</t>
  </si>
  <si>
    <t>Defense Curl</t>
  </si>
  <si>
    <t>Raises user’s Defense by one stage.</t>
  </si>
  <si>
    <t>Barrier</t>
  </si>
  <si>
    <t>Raises the user’s Defense by two stages.</t>
  </si>
  <si>
    <t>Light Screen</t>
  </si>
  <si>
    <t>Reduces damage from special attacks by 50% for five turns.</t>
  </si>
  <si>
    <t>Haze</t>
  </si>
  <si>
    <t>Resets all Pokémon’s stats, accuracy, and evasion.</t>
  </si>
  <si>
    <t>Reflect</t>
  </si>
  <si>
    <t>Reduces damage from physical attacks by half.</t>
  </si>
  <si>
    <t>Focus Energy</t>
  </si>
  <si>
    <t>Increases the user’s chance to score a critical hit.</t>
  </si>
  <si>
    <t>Bide</t>
  </si>
  <si>
    <t>User waits for two turns, then hits back for twice the damage it took.</t>
  </si>
  <si>
    <t>Metronome</t>
  </si>
  <si>
    <t>Randomly selects and uses any move in the game.</t>
  </si>
  <si>
    <t>Mirror Move</t>
  </si>
  <si>
    <t>Uses the target’s last used move.</t>
  </si>
  <si>
    <t>Self Destruct</t>
  </si>
  <si>
    <t>User faints.</t>
  </si>
  <si>
    <t>Egg Bomb</t>
  </si>
  <si>
    <t>Lick</t>
  </si>
  <si>
    <t>Smog</t>
  </si>
  <si>
    <t>Sludge</t>
  </si>
  <si>
    <t>Bone Club</t>
  </si>
  <si>
    <t>Fire Blast</t>
  </si>
  <si>
    <t>Waterfall</t>
  </si>
  <si>
    <t>Clamp</t>
  </si>
  <si>
    <t>Swift</t>
  </si>
  <si>
    <t>Never misses.</t>
  </si>
  <si>
    <t>Skull Bash</t>
  </si>
  <si>
    <t>Raises the user’s Defense by one stage.  User charges for one turn before attacking.</t>
  </si>
  <si>
    <t>Spike Cannon</t>
  </si>
  <si>
    <t>Constrict</t>
  </si>
  <si>
    <t>Amnesia</t>
  </si>
  <si>
    <t>Raises the user’s Special Defense by two stages.</t>
  </si>
  <si>
    <t>Kinesis</t>
  </si>
  <si>
    <t>Soft Boiled</t>
  </si>
  <si>
    <t>High Jump Kick</t>
  </si>
  <si>
    <t>Glare</t>
  </si>
  <si>
    <t>Dream Eater</t>
  </si>
  <si>
    <t>Only works on sleeping Pokémon.  Drains half the damage inflicted to heal the user.</t>
  </si>
  <si>
    <t>Poison Gas</t>
  </si>
  <si>
    <t>Barrage</t>
  </si>
  <si>
    <t>Leech Life</t>
  </si>
  <si>
    <t>Lovely Kiss</t>
  </si>
  <si>
    <t>Sky Attack</t>
  </si>
  <si>
    <t>User charges for one turn before attacking.  Has a $effect_chance% chance to make the target flinch.</t>
  </si>
  <si>
    <t>Transform</t>
  </si>
  <si>
    <t>User becomes a copy of the target until it leaves battle.</t>
  </si>
  <si>
    <t>Bubble</t>
  </si>
  <si>
    <t>Dizzy Punch</t>
  </si>
  <si>
    <t>Spore</t>
  </si>
  <si>
    <t>Flash</t>
  </si>
  <si>
    <t>Psywave</t>
  </si>
  <si>
    <t>Inflicts damage between 50% and 150% of the user’s level.</t>
  </si>
  <si>
    <t>Splash</t>
  </si>
  <si>
    <t>Does nothing.</t>
  </si>
  <si>
    <t>Acid Armor</t>
  </si>
  <si>
    <t>Crabhammer</t>
  </si>
  <si>
    <t>Explosion</t>
  </si>
  <si>
    <t>Fury Swipes</t>
  </si>
  <si>
    <t>Bonemerang</t>
  </si>
  <si>
    <t>Rest</t>
  </si>
  <si>
    <t>User sleeps for two turns, completely healing itself.</t>
  </si>
  <si>
    <t>Rock Slide</t>
  </si>
  <si>
    <t>Hyper Fang</t>
  </si>
  <si>
    <t>Sharpen</t>
  </si>
  <si>
    <t>Conversion</t>
  </si>
  <si>
    <t>User’s type changes to the type of one of its moves at random.</t>
  </si>
  <si>
    <t>Tri Attack</t>
  </si>
  <si>
    <t>Has a $effect_chance% chance to burn, freeze, or paralyze the target.</t>
  </si>
  <si>
    <t>Super Fang</t>
  </si>
  <si>
    <t>Inflicts damage equal to half the target’s HP.</t>
  </si>
  <si>
    <t>Slash</t>
  </si>
  <si>
    <t>Substitute</t>
  </si>
  <si>
    <t>Transfers 1/4 of the user’s max HP into a doll, protecting the user from further damage or status changes until it breaks.</t>
  </si>
  <si>
    <t>Struggle</t>
  </si>
  <si>
    <t>User takes 1/4 its max HP in recoil.</t>
  </si>
  <si>
    <t>Sketch</t>
  </si>
  <si>
    <t>Permanently becomes the target’s last used move.</t>
  </si>
  <si>
    <t>Triple Kick</t>
  </si>
  <si>
    <t>Hits three times, increasing power by 100% with each successful hit.</t>
  </si>
  <si>
    <t>Thief</t>
  </si>
  <si>
    <t>Takes the target’s item.</t>
  </si>
  <si>
    <t>Spider Web</t>
  </si>
  <si>
    <t>Prevents the target from leaving battle.</t>
  </si>
  <si>
    <t>Mind Reader</t>
  </si>
  <si>
    <t>Ensures that the user’s next move will hit the target.</t>
  </si>
  <si>
    <t>Nightmare</t>
  </si>
  <si>
    <t>Target loses 1/4 its max HP every turn as long as it’s asleep.</t>
  </si>
  <si>
    <t>Flame Wheel</t>
  </si>
  <si>
    <t>Has a $effect_chance% chance to burn the target.  Lets frozen Pokémon thaw themselves.</t>
  </si>
  <si>
    <t>Snore</t>
  </si>
  <si>
    <t>Has a $effect_chance% chance to make the target flinch.  Only works if the user is sleeping.</t>
  </si>
  <si>
    <t>Curse</t>
  </si>
  <si>
    <t>Ghosts pay half their max HP to hurt the target every turn.  Others decrease Speed but raise Attack and Defense.</t>
  </si>
  <si>
    <t>Flail</t>
  </si>
  <si>
    <t>Inflicts more damage when the user has less HP remaining, with a maximum of 200 power.</t>
  </si>
  <si>
    <t>Conversion 2</t>
  </si>
  <si>
    <t>Changes the user’s type to a random type either resistant or immune to the last move used against it.</t>
  </si>
  <si>
    <t>Aeroblast</t>
  </si>
  <si>
    <t>Cotton Spore</t>
  </si>
  <si>
    <t>Reversal</t>
  </si>
  <si>
    <t>Spite</t>
  </si>
  <si>
    <t>Lowers the PP of the target’s last used move by 4.</t>
  </si>
  <si>
    <t>Powder Snow</t>
  </si>
  <si>
    <t>Protect</t>
  </si>
  <si>
    <t>Prevents any moves from hitting the user this turn.</t>
  </si>
  <si>
    <t>Mach Punch</t>
  </si>
  <si>
    <t>Scary Face</t>
  </si>
  <si>
    <t>Feint Attack</t>
  </si>
  <si>
    <t>Sweet Kiss</t>
  </si>
  <si>
    <t>Belly Drum</t>
  </si>
  <si>
    <t>User pays half its max HP to max out its Attack.</t>
  </si>
  <si>
    <t>Sludge Bomb</t>
  </si>
  <si>
    <t>Mud Slap</t>
  </si>
  <si>
    <t>Has a $effect_chance% chance to lower the target’s accuracy by one stage.</t>
  </si>
  <si>
    <t>Octazooka</t>
  </si>
  <si>
    <t>Spikes</t>
  </si>
  <si>
    <t>Scatters Spikes, hurting opposing Pokémon that switch in.</t>
  </si>
  <si>
    <t>Zap Cannon</t>
  </si>
  <si>
    <t>Foresight</t>
  </si>
  <si>
    <t>Forces the target to have no Evade, and allows it to be hit by Normal and Fighting moves even if it’s a Ghost.</t>
  </si>
  <si>
    <t>Destiny Bond</t>
  </si>
  <si>
    <t>If the user faints this turn, the target automatically will, too.</t>
  </si>
  <si>
    <t>Perish Song</t>
  </si>
  <si>
    <t>User and target both faint after three turns.</t>
  </si>
  <si>
    <t>Icy Wind</t>
  </si>
  <si>
    <t>Detect</t>
  </si>
  <si>
    <t>Bone Rush</t>
  </si>
  <si>
    <t>Lock On</t>
  </si>
  <si>
    <t>Outrage</t>
  </si>
  <si>
    <t>Sandstorm</t>
  </si>
  <si>
    <t>Changes the weather to a sandstorm for five turns.</t>
  </si>
  <si>
    <t>Giga Drain</t>
  </si>
  <si>
    <t>Endure</t>
  </si>
  <si>
    <t>Prevents the user’s HP from lowering below 1 this turn.</t>
  </si>
  <si>
    <t>Charm</t>
  </si>
  <si>
    <t>Lowers the target’s Attack by two stages.</t>
  </si>
  <si>
    <t>Rollout</t>
  </si>
  <si>
    <t>Power doubles every turn this move is used in succession after the first, resetting after five turns.</t>
  </si>
  <si>
    <t>False Swipe</t>
  </si>
  <si>
    <t>Cannot lower the target’s HP below 1.</t>
  </si>
  <si>
    <t>Swagger</t>
  </si>
  <si>
    <t>Raises the target’s Attack by two stages and confuses the target.</t>
  </si>
  <si>
    <t>Milk Drink</t>
  </si>
  <si>
    <t>Spark</t>
  </si>
  <si>
    <t>Fury Cutter</t>
  </si>
  <si>
    <t>Power doubles every turn this move is used in succession after the first, maxing out after five turns.</t>
  </si>
  <si>
    <t>Steel Wing</t>
  </si>
  <si>
    <t>Steel</t>
  </si>
  <si>
    <t>Has a 10% chance to raise the user’s Defense by one stage.</t>
  </si>
  <si>
    <t>Mean Look</t>
  </si>
  <si>
    <t>Attract</t>
  </si>
  <si>
    <t>Target falls in love if it has the opposite gender, and has a 50% chance to refuse attacking the user.</t>
  </si>
  <si>
    <t>Sleep Talk</t>
  </si>
  <si>
    <t>Randomly uses one of the user’s other three moves.  Only works if the user is sleeping.</t>
  </si>
  <si>
    <t>Heal Bell</t>
  </si>
  <si>
    <t>Cures the entire party of major status effects.</t>
  </si>
  <si>
    <t>Return</t>
  </si>
  <si>
    <t>Power increases with happiness, up to a maximum of 102.</t>
  </si>
  <si>
    <t>Present</t>
  </si>
  <si>
    <t>Randomly inflicts damage with power from 40 to 120 or heals the target for 1/4 its max HP.</t>
  </si>
  <si>
    <t>Frustration</t>
  </si>
  <si>
    <t>Power increases as happiness decreases, up to a maximum of 102.</t>
  </si>
  <si>
    <t>Safeguard</t>
  </si>
  <si>
    <t>Protects the user’s field from major status ailments and confusion for five turns.</t>
  </si>
  <si>
    <t>Pain Split</t>
  </si>
  <si>
    <t>Sets the user’s and targets’s HP to the average of their current HP.</t>
  </si>
  <si>
    <t>Sacred Fire</t>
  </si>
  <si>
    <t>Magnitude</t>
  </si>
  <si>
    <t>Power varies randomly from 10 to 150.</t>
  </si>
  <si>
    <t>Dynamic Punch</t>
  </si>
  <si>
    <t>Megahorn</t>
  </si>
  <si>
    <t>Dragon Breath</t>
  </si>
  <si>
    <t>Baton Pass</t>
  </si>
  <si>
    <t>Allows the trainer to switch out the user and pass effects along to its replacement.</t>
  </si>
  <si>
    <t>Encore</t>
  </si>
  <si>
    <t>Forces the target to repeat its last used move every turn for 2 to 6 turns.</t>
  </si>
  <si>
    <t>Pursuit</t>
  </si>
  <si>
    <t>Has double power against, and can hit, Pokémon attempting to switch out.</t>
  </si>
  <si>
    <t>Rapid Spin</t>
  </si>
  <si>
    <t>Frees the user from binding moves, removes Leech Seed, and blows away Spikes.</t>
  </si>
  <si>
    <t>Sweet Scent</t>
  </si>
  <si>
    <t>Lowers the target’s evasion by one stage.</t>
  </si>
  <si>
    <t>Iron Tail</t>
  </si>
  <si>
    <t>Has a $effect_chance% chance to lower the target’s Defense by one stage.</t>
  </si>
  <si>
    <t>Metal Claw</t>
  </si>
  <si>
    <t>Has a $effect_chance% chance to raise the user’s Attack by one stage.</t>
  </si>
  <si>
    <t>Vital Throw</t>
  </si>
  <si>
    <t>Morning Sun</t>
  </si>
  <si>
    <t>Heals the user by half its max HP.  Affected by weather.</t>
  </si>
  <si>
    <t>Synthesis</t>
  </si>
  <si>
    <t>Moonlight</t>
  </si>
  <si>
    <t>Hidden Power</t>
  </si>
  <si>
    <t>Power and type depend upon user’s IVs.  Power can range from 30 to 70.</t>
  </si>
  <si>
    <t>Cross Chop</t>
  </si>
  <si>
    <t>Twister</t>
  </si>
  <si>
    <t>Rain Dance</t>
  </si>
  <si>
    <t>Changes the weather to rain for five turns.</t>
  </si>
  <si>
    <t>Sunny Day</t>
  </si>
  <si>
    <t>Changes the weather to sunny for five turns.</t>
  </si>
  <si>
    <t>Crunch</t>
  </si>
  <si>
    <t>Mirror Coat</t>
  </si>
  <si>
    <t>Inflicts twice the damage the user received from the last special hit it took.</t>
  </si>
  <si>
    <t>Psych Up</t>
  </si>
  <si>
    <t>Discards the user’s stat changes and copies the target’s.</t>
  </si>
  <si>
    <t>Extreme Speed</t>
  </si>
  <si>
    <t>Ancient Power</t>
  </si>
  <si>
    <t>Has a $effect_chance% chance to raise all of the user’s stats by one stage.</t>
  </si>
  <si>
    <t>Shadow Ball</t>
  </si>
  <si>
    <t>Future Sight</t>
  </si>
  <si>
    <t>Hits the target two turns later.</t>
  </si>
  <si>
    <t>Rock Smash</t>
  </si>
  <si>
    <t>Whirlpool</t>
  </si>
  <si>
    <t>Prevents the target from leaving battle and inflicts 1/16 its max HP in damage for 2-5 turns.</t>
  </si>
  <si>
    <t>Beat Up</t>
  </si>
  <si>
    <t>Hits once for every conscious Pokémon the trainer has.</t>
  </si>
  <si>
    <t>Fake Out</t>
  </si>
  <si>
    <t>Can only be used as the first move after the user enters battle.  Causes the target to flinch.</t>
  </si>
  <si>
    <t>Uproar</t>
  </si>
  <si>
    <t>Forced to use this move for several turns.  Pokémon cannot fall asleep in that time.</t>
  </si>
  <si>
    <t>Stockpile</t>
  </si>
  <si>
    <t>Stores energy up to three times for use with Spit Up and Swallow.</t>
  </si>
  <si>
    <t>Spit Up</t>
  </si>
  <si>
    <t>Power is 100 times the amount of energy Stockpiled.</t>
  </si>
  <si>
    <t>Swallow</t>
  </si>
  <si>
    <t>Recovers 1/4 HP after one Stockpile, 1/2 HP after two Stockpiles, or full HP after three Stockpiles.</t>
  </si>
  <si>
    <t>Heat Wave</t>
  </si>
  <si>
    <t>Hail</t>
  </si>
  <si>
    <t>Changes the weather to a hailstorm for five turns.</t>
  </si>
  <si>
    <t>Torment</t>
  </si>
  <si>
    <t>Prevents the target from using the same move twice in a row.</t>
  </si>
  <si>
    <t>Flatter</t>
  </si>
  <si>
    <t>Raises the target’s Special Attack by one stage and confuses the target.</t>
  </si>
  <si>
    <t>Will O Wisp</t>
  </si>
  <si>
    <t>Burns the target.</t>
  </si>
  <si>
    <t>Memento</t>
  </si>
  <si>
    <t>Lowers the target’s Attack and Special Attack by two stages.  User faints.</t>
  </si>
  <si>
    <t>Facade</t>
  </si>
  <si>
    <t>Power doubles if user is burned, paralyzed, or poisoned.</t>
  </si>
  <si>
    <t>Focus Punch</t>
  </si>
  <si>
    <t>If the user takes damage before attacking, the attack is canceled.</t>
  </si>
  <si>
    <t>Smelling Salts</t>
  </si>
  <si>
    <t>If the target is paralyzed, inflicts double damage and cures the paralysis.</t>
  </si>
  <si>
    <t>Follow Me</t>
  </si>
  <si>
    <t>Redirects the target’s single-target effects to the user for this turn.</t>
  </si>
  <si>
    <t>Nature Power</t>
  </si>
  <si>
    <t>Uses a move which depends upon the terrain.</t>
  </si>
  <si>
    <t>Charge</t>
  </si>
  <si>
    <t>Raises the user’s Special Defense by one stage.  User’s Electric moves have doubled power next turn.</t>
  </si>
  <si>
    <t>Taunt</t>
  </si>
  <si>
    <t>For the next few turns, the target can only use damaging moves.</t>
  </si>
  <si>
    <t>Helping Hand</t>
  </si>
  <si>
    <t>Ally’s next move inflicts half more damage.</t>
  </si>
  <si>
    <t>Trick</t>
  </si>
  <si>
    <t>User and target swap items.</t>
  </si>
  <si>
    <t>Role Play</t>
  </si>
  <si>
    <t>Copies the target’s ability.</t>
  </si>
  <si>
    <t>Wish</t>
  </si>
  <si>
    <t>User will recover half its max HP at the end of the next turn.</t>
  </si>
  <si>
    <t>Assist</t>
  </si>
  <si>
    <t>Randomly selects and uses one of the trainer’s other Pokémon’s moves.</t>
  </si>
  <si>
    <t>Ingrain</t>
  </si>
  <si>
    <t>Prevents the user from leaving battle.  User regains 1/16 of its max HP every turn.</t>
  </si>
  <si>
    <t>Superpower</t>
  </si>
  <si>
    <t>Lowers the user’s Attack and Defense by one stage after inflicting damage.</t>
  </si>
  <si>
    <t>Magic Coat</t>
  </si>
  <si>
    <t>Reflects back the first effect move used on the user this turn.</t>
  </si>
  <si>
    <t>Recycle</t>
  </si>
  <si>
    <t>User recovers the item it last used up.</t>
  </si>
  <si>
    <t>Revenge</t>
  </si>
  <si>
    <t>Inflicts double damage if the user takes damage before attacking this turn.</t>
  </si>
  <si>
    <t>Brick Break</t>
  </si>
  <si>
    <t>Destroys Reflect and Light Screen.</t>
  </si>
  <si>
    <t>Yawn</t>
  </si>
  <si>
    <t>Target sleeps at the end of the next turn.</t>
  </si>
  <si>
    <t>Knock Off</t>
  </si>
  <si>
    <t>Target drops its held item.</t>
  </si>
  <si>
    <t>Endeavor</t>
  </si>
  <si>
    <t>Lowers the target’s HP to equal the user’s.</t>
  </si>
  <si>
    <t>Eruption</t>
  </si>
  <si>
    <t>Inflicts more damage when the user has more HP remaining, with a maximum of 150 power.</t>
  </si>
  <si>
    <t>Skill Swap</t>
  </si>
  <si>
    <t>User and target swap abilities.</t>
  </si>
  <si>
    <t>Imprison</t>
  </si>
  <si>
    <t>Prevents the target from using any moves that the user also knows.</t>
  </si>
  <si>
    <t>Refresh</t>
  </si>
  <si>
    <t>Cleanses the user of a burn, paralysis, or poison.</t>
  </si>
  <si>
    <t>Grudge</t>
  </si>
  <si>
    <t>If the user faints this turn, the PP of the move that fainted it drops to 0.</t>
  </si>
  <si>
    <t>Snatch</t>
  </si>
  <si>
    <t>Steals the target’s move, if it’s self-targeted.</t>
  </si>
  <si>
    <t>Secret Power</t>
  </si>
  <si>
    <t>Has a $effect_chance% chance to inflict a status effect which depends upon the terrain.</t>
  </si>
  <si>
    <t>Dive</t>
  </si>
  <si>
    <t>User dives underwater, dodging all attacks, and hits next turn.</t>
  </si>
  <si>
    <t>Arm Thrust</t>
  </si>
  <si>
    <t>Camouflage</t>
  </si>
  <si>
    <t>User’s type changes to match the terrain.</t>
  </si>
  <si>
    <t>Tail Glow</t>
  </si>
  <si>
    <t>Raises the user’s Special Attack by three stages.</t>
  </si>
  <si>
    <t>Luster Purge</t>
  </si>
  <si>
    <t>Mist Ball</t>
  </si>
  <si>
    <t>Has a $effect_chance% chance to lower the target’s Special Attack by one stage.</t>
  </si>
  <si>
    <t>Feather Dance</t>
  </si>
  <si>
    <t>Teeter Dance</t>
  </si>
  <si>
    <t>Blaze Kick</t>
  </si>
  <si>
    <t>Has an increased chance for a critical hit and a $effect_chance% chance to burn the target.</t>
  </si>
  <si>
    <t>Mud Sport</t>
  </si>
  <si>
    <t>Halves all Electric-type damage.</t>
  </si>
  <si>
    <t>Ice Ball</t>
  </si>
  <si>
    <t>Needle Arm</t>
  </si>
  <si>
    <t>Slack Off</t>
  </si>
  <si>
    <t>Hyper Voice</t>
  </si>
  <si>
    <t>Poison Fang</t>
  </si>
  <si>
    <t>Has a $effect_chance% chance to badly poison the target.</t>
  </si>
  <si>
    <t>Crush Claw</t>
  </si>
  <si>
    <t>Blast Burn</t>
  </si>
  <si>
    <t>Hydro Cannon</t>
  </si>
  <si>
    <t>Meteor Mash</t>
  </si>
  <si>
    <t>Astonish</t>
  </si>
  <si>
    <t>Weather Ball</t>
  </si>
  <si>
    <t>If there be weather, this move has doubled power and the weather’s type.</t>
  </si>
  <si>
    <t>Aromatherapy</t>
  </si>
  <si>
    <t>Fake Tears</t>
  </si>
  <si>
    <t>Lowers the target’s Special Defense by two stages.</t>
  </si>
  <si>
    <t>Air Cutter</t>
  </si>
  <si>
    <t>Overheat</t>
  </si>
  <si>
    <t>Lowers the user’s Special Attack by two stages after inflicting damage.</t>
  </si>
  <si>
    <t>Odor Sleuth</t>
  </si>
  <si>
    <t>Rock Tomb</t>
  </si>
  <si>
    <t>Silver Wind</t>
  </si>
  <si>
    <t>Metal Sound</t>
  </si>
  <si>
    <t>Grass Whistle</t>
  </si>
  <si>
    <t>Tickle</t>
  </si>
  <si>
    <t>Lowers the target’s Attack and Defense by one stage.</t>
  </si>
  <si>
    <t>Cosmic Power</t>
  </si>
  <si>
    <t>Raises the user’s Defense and Special Defense by one stage.</t>
  </si>
  <si>
    <t>Water Spout</t>
  </si>
  <si>
    <t>Signal Beam</t>
  </si>
  <si>
    <t>Shadow Punch</t>
  </si>
  <si>
    <t>Extrasensory</t>
  </si>
  <si>
    <t>Sky Uppercut</t>
  </si>
  <si>
    <t>Inflicts regular damage and can hit Bounce and Fly users.</t>
  </si>
  <si>
    <t>Sand Tomb</t>
  </si>
  <si>
    <t>Sheer Cold</t>
  </si>
  <si>
    <t>Muddy Water</t>
  </si>
  <si>
    <t>Bullet Seed</t>
  </si>
  <si>
    <t>Aerial Ace</t>
  </si>
  <si>
    <t>Icicle Spear</t>
  </si>
  <si>
    <t>Iron Defense</t>
  </si>
  <si>
    <t>Block</t>
  </si>
  <si>
    <t>Howl</t>
  </si>
  <si>
    <t>Dragon Claw</t>
  </si>
  <si>
    <t>Frenzy Plant</t>
  </si>
  <si>
    <t>Bulk Up</t>
  </si>
  <si>
    <t>Raises the user’s Attack and Defense by one stage.</t>
  </si>
  <si>
    <t>Bounce</t>
  </si>
  <si>
    <t>User bounces high into the air, dodging all attacks, and hits next turn.</t>
  </si>
  <si>
    <t>Mud Shot</t>
  </si>
  <si>
    <t>Poison Tail</t>
  </si>
  <si>
    <t>Has an increased chance for a critical hit and a $effect_chance% chance to poison the target.</t>
  </si>
  <si>
    <t>Covet</t>
  </si>
  <si>
    <t>Volt Tackle</t>
  </si>
  <si>
    <t>User takes 1/3 the damage inflicted in recoil.  Has a $effect_chance% chance to paralyze the target.</t>
  </si>
  <si>
    <t>Magical Leaf</t>
  </si>
  <si>
    <t>Water Sport</t>
  </si>
  <si>
    <t>Halves all Fire-type damage.</t>
  </si>
  <si>
    <t>Calm Mind</t>
  </si>
  <si>
    <t>Raises the user’s Special Attack and Special Defense by one stage.</t>
  </si>
  <si>
    <t>Leaf Blade</t>
  </si>
  <si>
    <t>Dragon Dance</t>
  </si>
  <si>
    <t>Raises the user’s Attack and Speed by one stage.</t>
  </si>
  <si>
    <t>Rock Blast</t>
  </si>
  <si>
    <t>Shock Wave</t>
  </si>
  <si>
    <t>Water Pulse</t>
  </si>
  <si>
    <t>Doom Desire</t>
  </si>
  <si>
    <t>Psycho Boost</t>
  </si>
  <si>
    <t>Roost</t>
  </si>
  <si>
    <t>Gravity</t>
  </si>
  <si>
    <t>Disables moves and immunities that involve flying or levitating for five turns.</t>
  </si>
  <si>
    <t>Miracle Eye</t>
  </si>
  <si>
    <t>Forces the target to have no evasion, and allows it to be hit by Psychic moves even if it’s Dark.</t>
  </si>
  <si>
    <t>Wake Up Slap</t>
  </si>
  <si>
    <t>If the target is asleep, has double power and wakes it up.</t>
  </si>
  <si>
    <t>Hammer Arm</t>
  </si>
  <si>
    <t>Lowers user’s Speed by one stage.</t>
  </si>
  <si>
    <t>Gyro Ball</t>
  </si>
  <si>
    <t>Power raises when the user has lower Speed, up to a maximum of 150.</t>
  </si>
  <si>
    <t>Healing Wish</t>
  </si>
  <si>
    <t>User faints.  Its replacement has its HP fully restored and any major status effect removed.</t>
  </si>
  <si>
    <t>Brine</t>
  </si>
  <si>
    <t>Has double power against Pokémon that have less than half their max HP remaining.</t>
  </si>
  <si>
    <t>Natural Gift</t>
  </si>
  <si>
    <t>Power and type depend on the held berry.</t>
  </si>
  <si>
    <t>Feint</t>
  </si>
  <si>
    <t>Hits through Protect and Detect.</t>
  </si>
  <si>
    <t>Pluck</t>
  </si>
  <si>
    <t>If target has a berry, inflicts double damage and uses the berry.</t>
  </si>
  <si>
    <t>Tailwind</t>
  </si>
  <si>
    <t>For three turns, friendly Pokémon have doubled Speed.</t>
  </si>
  <si>
    <t>Acupressure</t>
  </si>
  <si>
    <t>Raises one of a friendly Pokémon’s stats at random by two stages.</t>
  </si>
  <si>
    <t>Metal Burst</t>
  </si>
  <si>
    <t>Strikes back at the last Pokémon to hit the user this turn with 1.5× the damage.</t>
  </si>
  <si>
    <t>U Turn</t>
  </si>
  <si>
    <t>User must switch out after attacking.</t>
  </si>
  <si>
    <t>Close Combat</t>
  </si>
  <si>
    <t>Lowers the user’s Defense and Special Defense by one stage after inflicting damage.</t>
  </si>
  <si>
    <t>Payback</t>
  </si>
  <si>
    <t>Power is doubled if the target has already moved this turn.</t>
  </si>
  <si>
    <t>Assurance</t>
  </si>
  <si>
    <t>Power is doubled if the target has already received damage this turn.</t>
  </si>
  <si>
    <t>Embargo</t>
  </si>
  <si>
    <t>Target cannot use held items.</t>
  </si>
  <si>
    <t>Fling</t>
  </si>
  <si>
    <t>Throws held item at the target; power depends on the item.</t>
  </si>
  <si>
    <t>Psycho Shift</t>
  </si>
  <si>
    <t>Transfers the user’s major status effect to the target.</t>
  </si>
  <si>
    <t>Trump Card</t>
  </si>
  <si>
    <t>Power increases when this move has less PP, up to a maximum of 200.</t>
  </si>
  <si>
    <t>Heal Block</t>
  </si>
  <si>
    <t>Prevents target from restoring its HP for five turns.</t>
  </si>
  <si>
    <t>Wring Out</t>
  </si>
  <si>
    <t>Power increases against targets with more HP remaining, up to a maximum of 121 power.</t>
  </si>
  <si>
    <t>Power Trick</t>
  </si>
  <si>
    <t>User swaps Attack and Defense.</t>
  </si>
  <si>
    <t>Gastro Acid</t>
  </si>
  <si>
    <t>Nullifies target’s ability until it leaves battle.</t>
  </si>
  <si>
    <t>Lucky Chant</t>
  </si>
  <si>
    <t>Prevents the target from scoring critical hits for five turns.</t>
  </si>
  <si>
    <t>Me First</t>
  </si>
  <si>
    <t>Uses the target’s move against it before it attacks, with power increased by half.</t>
  </si>
  <si>
    <t>Copycat</t>
  </si>
  <si>
    <t>Power Swap</t>
  </si>
  <si>
    <t>User swaps Attack and Special Attack changes with the target.</t>
  </si>
  <si>
    <t>Guard Swap</t>
  </si>
  <si>
    <t>User swaps Defense and Special Defense changes with the target.</t>
  </si>
  <si>
    <t>Punishment</t>
  </si>
  <si>
    <t>Power increases against targets with more raised stats, up to a maximum of 200.</t>
  </si>
  <si>
    <t>Last Resort</t>
  </si>
  <si>
    <t>Can only be used after all of the user’s other moves have been used.</t>
  </si>
  <si>
    <t>Worry Seed</t>
  </si>
  <si>
    <t>Changes the target’s ability to Insomnia.</t>
  </si>
  <si>
    <t>Sucker Punch</t>
  </si>
  <si>
    <t>Only works if the target is about to use a damaging move.</t>
  </si>
  <si>
    <t>Toxic Spikes</t>
  </si>
  <si>
    <t>Scatters poisoned spikes, poisoning opposing Pokémon that switch in.</t>
  </si>
  <si>
    <t>Heart Swap</t>
  </si>
  <si>
    <t>User and target swap stat changes.</t>
  </si>
  <si>
    <t>Aqua Ring</t>
  </si>
  <si>
    <t>Restores 1/16 of the user’s max HP each turn.</t>
  </si>
  <si>
    <t>Magnet Rise</t>
  </si>
  <si>
    <t>User is immune to Ground moves and effects for five turns.</t>
  </si>
  <si>
    <t>Flare Blitz</t>
  </si>
  <si>
    <t>User takes 1/3 the damage inflicted in recoil.  Has a $effect_chance% chance to burn the target.</t>
  </si>
  <si>
    <t>Force Palm</t>
  </si>
  <si>
    <t>Aura Sphere</t>
  </si>
  <si>
    <t>Rock Polish</t>
  </si>
  <si>
    <t>Poison Jab</t>
  </si>
  <si>
    <t>Dark Pulse</t>
  </si>
  <si>
    <t>Night Slash</t>
  </si>
  <si>
    <t>Aqua Tail</t>
  </si>
  <si>
    <t>Seed Bomb</t>
  </si>
  <si>
    <t>Air Slash</t>
  </si>
  <si>
    <t>X Scissor</t>
  </si>
  <si>
    <t>Bug Buzz</t>
  </si>
  <si>
    <t>Dragon Pulse</t>
  </si>
  <si>
    <t>Dragon Rush</t>
  </si>
  <si>
    <t>Power Gem</t>
  </si>
  <si>
    <t>Drain Punch</t>
  </si>
  <si>
    <t>Vacuum Wave</t>
  </si>
  <si>
    <t>Focus Blast</t>
  </si>
  <si>
    <t>Energy Ball</t>
  </si>
  <si>
    <t>Brave Bird</t>
  </si>
  <si>
    <t>Earth Power</t>
  </si>
  <si>
    <t>Switcheroo</t>
  </si>
  <si>
    <t>Giga Impact</t>
  </si>
  <si>
    <t>Nasty Plot</t>
  </si>
  <si>
    <t>Raises the user’s Special Attack by two stages.</t>
  </si>
  <si>
    <t>Bullet Punch</t>
  </si>
  <si>
    <t>Avalanche</t>
  </si>
  <si>
    <t>Ice Shard</t>
  </si>
  <si>
    <t>Shadow Claw</t>
  </si>
  <si>
    <t>Thunder Fang</t>
  </si>
  <si>
    <t>Has a $effect_chance% chance to paralyze the target and a $effect_chance% chance to make the target flinch.</t>
  </si>
  <si>
    <t>Ice Fang</t>
  </si>
  <si>
    <t>Has a $effect_chance% chance to freeze the target and a $effect_chance% chance to make the target flinch.</t>
  </si>
  <si>
    <t>Fire Fang</t>
  </si>
  <si>
    <t>Has a $effect_chance% chance to burn the target and a $effect_chance% chance to make the target flinch.</t>
  </si>
  <si>
    <t>Shadow Sneak</t>
  </si>
  <si>
    <t>Mud Bomb</t>
  </si>
  <si>
    <t>Psycho Cut</t>
  </si>
  <si>
    <t>Zen Headbutt</t>
  </si>
  <si>
    <t>Mirror Shot</t>
  </si>
  <si>
    <t>Flash Cannon</t>
  </si>
  <si>
    <t>Rock Climb</t>
  </si>
  <si>
    <t>Defog</t>
  </si>
  <si>
    <t>Lowers the target’s evasion by one stage.  Removes field effects from the enemy field.</t>
  </si>
  <si>
    <t>Trick Room</t>
  </si>
  <si>
    <t>For five turns, slower Pokémon will act before faster Pokémon.</t>
  </si>
  <si>
    <t>Draco Meteor</t>
  </si>
  <si>
    <t>Discharge</t>
  </si>
  <si>
    <t>Lava Plume</t>
  </si>
  <si>
    <t>Leaf Storm</t>
  </si>
  <si>
    <t>Power Whip</t>
  </si>
  <si>
    <t>Rock Wrecker</t>
  </si>
  <si>
    <t>Cross Poison</t>
  </si>
  <si>
    <t>Gunk Shot</t>
  </si>
  <si>
    <t>Iron Head</t>
  </si>
  <si>
    <t>Magnet Bomb</t>
  </si>
  <si>
    <t>Stone Edge</t>
  </si>
  <si>
    <t>Captivate</t>
  </si>
  <si>
    <t>Lowers the target’s Special Attack by two stages if it’s the opposite gender.</t>
  </si>
  <si>
    <t>Stealth Rock</t>
  </si>
  <si>
    <t>Causes damage when opposing Pokémon switch in.</t>
  </si>
  <si>
    <t>Grass Knot</t>
  </si>
  <si>
    <t>Chatter</t>
  </si>
  <si>
    <t>Has a higher chance to confuse the target when the recorded sound is louder.</t>
  </si>
  <si>
    <t>Judgment</t>
  </si>
  <si>
    <t>If the user is holding a appropriate plate or drive, the damage inflicted will match it.</t>
  </si>
  <si>
    <t>Bug Bite</t>
  </si>
  <si>
    <t>Charge Beam</t>
  </si>
  <si>
    <t>Has a $effect_chance% chance to raise the user’s Special Attack by one stage.</t>
  </si>
  <si>
    <t>Wood Hammer</t>
  </si>
  <si>
    <t>Aqua Jet</t>
  </si>
  <si>
    <t>Attack Order</t>
  </si>
  <si>
    <t>Defend Order</t>
  </si>
  <si>
    <t>Heal Order</t>
  </si>
  <si>
    <t>Head Smash</t>
  </si>
  <si>
    <t>User receives 1/2 the damage inflicted in recoil.</t>
  </si>
  <si>
    <t>Double Hit</t>
  </si>
  <si>
    <t>Roar Of Time</t>
  </si>
  <si>
    <t>Spacial Rend</t>
  </si>
  <si>
    <t>Lunar Dance</t>
  </si>
  <si>
    <t>User faints, and its replacement is fully healed.</t>
  </si>
  <si>
    <t>Crush Grip</t>
  </si>
  <si>
    <t>Magma Storm</t>
  </si>
  <si>
    <t>Dark Void</t>
  </si>
  <si>
    <t>Seed Flare</t>
  </si>
  <si>
    <t>Has a $effect_chance% chance to lower the target’s Special Defense by two stages.</t>
  </si>
  <si>
    <t>Ominous Wind</t>
  </si>
  <si>
    <t>Shadow Force</t>
  </si>
  <si>
    <t>User vanishes, dodging all attacks, and hits next turn.  Hits through Protect and Detect.</t>
  </si>
  <si>
    <t>Hone Claws</t>
  </si>
  <si>
    <t>Raises the user’s Attack and accuracy by one stage.</t>
  </si>
  <si>
    <t>Wide Guard</t>
  </si>
  <si>
    <t>Prevents any multi-target moves from hitting friendly Pokémon this turn.</t>
  </si>
  <si>
    <t>Guard Split</t>
  </si>
  <si>
    <t>Averages Defense and Special Defense with the target.</t>
  </si>
  <si>
    <t>Power Split</t>
  </si>
  <si>
    <t>Averages Attack and Special Attack with the target.</t>
  </si>
  <si>
    <t>Wonder Room</t>
  </si>
  <si>
    <t>All Pokémon’s Defense and Special Defense are swapped for 5 turns.</t>
  </si>
  <si>
    <t>Psyshock</t>
  </si>
  <si>
    <t>Inflicts damage based on the target’s Defense, not Special Defense.</t>
  </si>
  <si>
    <t>Venoshock</t>
  </si>
  <si>
    <t>Inflicts double damage if the target is Poisoned.</t>
  </si>
  <si>
    <t>Autotomize</t>
  </si>
  <si>
    <t>Raises the user’s Speed by two stages and halves the user’s weight.</t>
  </si>
  <si>
    <t>Rage Powder</t>
  </si>
  <si>
    <t>Telekinesis</t>
  </si>
  <si>
    <t>Moves have 100% accuracy against the target for three turns.</t>
  </si>
  <si>
    <t>Magic Room</t>
  </si>
  <si>
    <t>Negates held items for five turns.</t>
  </si>
  <si>
    <t>Smack Down</t>
  </si>
  <si>
    <t>Removes any immunity to Ground damage.</t>
  </si>
  <si>
    <t>Storm Throw</t>
  </si>
  <si>
    <t>Always scores a critical hit.</t>
  </si>
  <si>
    <t>Flame Burst</t>
  </si>
  <si>
    <t>Deals splash damage to Pokémon next to the target.</t>
  </si>
  <si>
    <t>Sludge Wave</t>
  </si>
  <si>
    <t>Quiver Dance</t>
  </si>
  <si>
    <t>Raises the user’s Special Attack, Special Defense, and Speed by one stage each.</t>
  </si>
  <si>
    <t>Heavy Slam</t>
  </si>
  <si>
    <t>Power is higher when the user weighs more than the target, up to a maximum of 120.</t>
  </si>
  <si>
    <t>Synchronoise</t>
  </si>
  <si>
    <t>Hits any Pokémon that shares a type with the user.</t>
  </si>
  <si>
    <t>Electro Ball</t>
  </si>
  <si>
    <t>Power is higher when the user has greater Speed than the target, up to a maximum of 150.</t>
  </si>
  <si>
    <t>Soak</t>
  </si>
  <si>
    <t>Changes the target’s type to Water.</t>
  </si>
  <si>
    <t>Flame Charge</t>
  </si>
  <si>
    <t>Inflicts regular damage.  Raises the user’s Speed by one stage.</t>
  </si>
  <si>
    <t>Coil</t>
  </si>
  <si>
    <t>Raises the user’s Attack, Defense, and accuracy by one stage each.</t>
  </si>
  <si>
    <t>Low Sweep</t>
  </si>
  <si>
    <t>Lowers the target’s Speed by one stage.</t>
  </si>
  <si>
    <t>Acid Spray</t>
  </si>
  <si>
    <t>Foul Play</t>
  </si>
  <si>
    <t>Calculates damage with the target’s attacking stat.</t>
  </si>
  <si>
    <t>Simple Beam</t>
  </si>
  <si>
    <t>Changes the target’s ability to Simple.</t>
  </si>
  <si>
    <t>Entrainment</t>
  </si>
  <si>
    <t>Copies the user’s ability onto the target.</t>
  </si>
  <si>
    <t>After You</t>
  </si>
  <si>
    <t>Makes the target act next this turn.</t>
  </si>
  <si>
    <t>Round</t>
  </si>
  <si>
    <t>Has double power if it’s used more than once per turn.</t>
  </si>
  <si>
    <t>Echoed Voice</t>
  </si>
  <si>
    <t>Power increases by 100% for each consecutive use by any friendly Pokémon, to a maximum of 200.</t>
  </si>
  <si>
    <t>Chip Away</t>
  </si>
  <si>
    <t>Ignores the target’s stat modifiers.</t>
  </si>
  <si>
    <t>Clear Smog</t>
  </si>
  <si>
    <t>Removes all of the target’s stat modifiers.</t>
  </si>
  <si>
    <t>Stored Power</t>
  </si>
  <si>
    <t>Power is higher the more the user’s stats have been raised, to a maximum of 31×.</t>
  </si>
  <si>
    <t>Quick Guard</t>
  </si>
  <si>
    <t>Prevents any priority moves from hitting friendly Pokémon this turn.</t>
  </si>
  <si>
    <t>Ally Switch</t>
  </si>
  <si>
    <t>User switches places with the friendly Pokémon opposite it.</t>
  </si>
  <si>
    <t>Scald</t>
  </si>
  <si>
    <t>Shell Smash</t>
  </si>
  <si>
    <t>Raises user’s Attack, Special Attack, and Speed by two stages.  Lower user’s Defense and Special Defense by one stage.</t>
  </si>
  <si>
    <t>Heal Pulse</t>
  </si>
  <si>
    <t>Heals the target for half its max HP.</t>
  </si>
  <si>
    <t>Hex</t>
  </si>
  <si>
    <t>Has double power if the target has a major status ailment.</t>
  </si>
  <si>
    <t>Sky Drop</t>
  </si>
  <si>
    <t>Carries the target high into the air, dodging all attacks against either, and drops it next turn.</t>
  </si>
  <si>
    <t>Shift Gear</t>
  </si>
  <si>
    <t>Raises the user’s Attack by one stage and its Speed by two stages.</t>
  </si>
  <si>
    <t>Circle Throw</t>
  </si>
  <si>
    <t>Ends wild battles.  Forces trainers to switch Pokémon.</t>
  </si>
  <si>
    <t>Incinerate</t>
  </si>
  <si>
    <t>Destroys the target’s held berry.</t>
  </si>
  <si>
    <t>Quash</t>
  </si>
  <si>
    <t>Makes the target act last this turn.</t>
  </si>
  <si>
    <t>Acrobatics</t>
  </si>
  <si>
    <t>Has double power if the user has no held item.</t>
  </si>
  <si>
    <t>Reflect Type</t>
  </si>
  <si>
    <t>User becomes the target’s type.</t>
  </si>
  <si>
    <t>Retaliate</t>
  </si>
  <si>
    <t>Has double power if a friendly Pokémon fainted last turn.</t>
  </si>
  <si>
    <t>Final Gambit</t>
  </si>
  <si>
    <t>Inflicts damage equal to the user’s remaining HP.  User faints.</t>
  </si>
  <si>
    <t>Bestow</t>
  </si>
  <si>
    <t>Gives the user’s held item to the target.</t>
  </si>
  <si>
    <t>Inferno</t>
  </si>
  <si>
    <t>Water Pledge</t>
  </si>
  <si>
    <t>With Grass Pledge, halves opposing Pokémon’s Speed for four turns.</t>
  </si>
  <si>
    <t>Fire Pledge</t>
  </si>
  <si>
    <t>With Water Pledge, doubles the effect chance of friendly Pokémon’s moves for four turns.</t>
  </si>
  <si>
    <t>Grass Pledge</t>
  </si>
  <si>
    <t>With Fire Pledge, damages opposing Pokémon for 1/8 their max HP every turn for four turns.</t>
  </si>
  <si>
    <t>Volt Switch</t>
  </si>
  <si>
    <t>Struggle Bug</t>
  </si>
  <si>
    <t>Bulldoze</t>
  </si>
  <si>
    <t>Frost Breath</t>
  </si>
  <si>
    <t>Dragon Tail</t>
  </si>
  <si>
    <t>Work Up</t>
  </si>
  <si>
    <t>Raises the user’s Attack and Special Attack by one stage each.</t>
  </si>
  <si>
    <t>Electroweb</t>
  </si>
  <si>
    <t>Wild Charge</t>
  </si>
  <si>
    <t>Drill Run</t>
  </si>
  <si>
    <t>Dual Chop</t>
  </si>
  <si>
    <t>Heart Stamp</t>
  </si>
  <si>
    <t>Horn Leech</t>
  </si>
  <si>
    <t>Sacred Sword</t>
  </si>
  <si>
    <t>Razor Shell</t>
  </si>
  <si>
    <t>Heat Crash</t>
  </si>
  <si>
    <t>Leaf Tornado</t>
  </si>
  <si>
    <t>Steamroller</t>
  </si>
  <si>
    <t>Cotton Guard</t>
  </si>
  <si>
    <t>Raises the user’s Defense by three stages.</t>
  </si>
  <si>
    <t>Night Daze</t>
  </si>
  <si>
    <t>Psystrike</t>
  </si>
  <si>
    <t>Tail Slap</t>
  </si>
  <si>
    <t>Hurricane</t>
  </si>
  <si>
    <t>Head Charge</t>
  </si>
  <si>
    <t>Gear Grind</t>
  </si>
  <si>
    <t>Searing Shot</t>
  </si>
  <si>
    <t>Techno Blast</t>
  </si>
  <si>
    <t>Relic Song</t>
  </si>
  <si>
    <t>Has a $effect_chance% chance to put the target to sleep.</t>
  </si>
  <si>
    <t>Secret Sword</t>
  </si>
  <si>
    <t>Glaciate</t>
  </si>
  <si>
    <t>Bolt Strike</t>
  </si>
  <si>
    <t>Blue Flare</t>
  </si>
  <si>
    <t>Fiery Dance</t>
  </si>
  <si>
    <t>Freeze Shock</t>
  </si>
  <si>
    <t>Requires a turn to charge before attacking.  Has a $effect_chance% chance to paralyze the target.</t>
  </si>
  <si>
    <t>Ice Burn</t>
  </si>
  <si>
    <t>Requires a turn to charge before attacking.  Has a $effect_chance% chance to burn the target.</t>
  </si>
  <si>
    <t>Snarl</t>
  </si>
  <si>
    <t>Icicle Crash</t>
  </si>
  <si>
    <t>V Create</t>
  </si>
  <si>
    <t>Lowers the user’s Defense, Special Defense, and Speed by one stage each.</t>
  </si>
  <si>
    <t>Fusion Flare</t>
  </si>
  <si>
    <t>With Fusion Bolt, inflicts double damage.</t>
  </si>
  <si>
    <t>Fusion Bolt</t>
  </si>
  <si>
    <t>With Fusion Flare, inflicts double damage.</t>
  </si>
  <si>
    <t>Flying Press</t>
  </si>
  <si>
    <t>Deals both fighting and flying-type damage.</t>
  </si>
  <si>
    <t>Mat Block</t>
  </si>
  <si>
    <t>Protects all friendly Pokémon from damaging moves.  Only works on the first turn after the user is sent out.</t>
  </si>
  <si>
    <t>Belch</t>
  </si>
  <si>
    <t>Can only be used after the user has eaten a berry.</t>
  </si>
  <si>
    <t>Rototiller</t>
  </si>
  <si>
    <t>Raises the Attack and Special Attack of all grass Pokémon in battle.</t>
  </si>
  <si>
    <t>Sticky Web</t>
  </si>
  <si>
    <t>Covers the opposing field, lowering opponents’ Speed by one stage upon switching in.</t>
  </si>
  <si>
    <t>Fell Stinger</t>
  </si>
  <si>
    <t>Raises the user’s Attack by two stages if it KOs the target.</t>
  </si>
  <si>
    <t>Phantom Force</t>
  </si>
  <si>
    <t>Trick Or Treat</t>
  </si>
  <si>
    <t>Adds ghost to the target’s types.</t>
  </si>
  <si>
    <t>Noble Roar</t>
  </si>
  <si>
    <t>Lowers the target’s Attack and Special Attack by one stage.</t>
  </si>
  <si>
    <t>Ion Deluge</t>
  </si>
  <si>
    <t>Changes all normal moves to electric moves for the rest of the turn.</t>
  </si>
  <si>
    <t>Parabolic Charge</t>
  </si>
  <si>
    <t>Heals the user for half the total damage dealt to all targets.</t>
  </si>
  <si>
    <t>Forests Curse</t>
  </si>
  <si>
    <t>Adds grass to the target’s types.</t>
  </si>
  <si>
    <t>Petal Blizzard</t>
  </si>
  <si>
    <t>Inflicts regular damage.</t>
  </si>
  <si>
    <t>Freeze Dry</t>
  </si>
  <si>
    <t>Super-effective against water.</t>
  </si>
  <si>
    <t>Disarming Voice</t>
  </si>
  <si>
    <t>Parting Shot</t>
  </si>
  <si>
    <t>Lowers all targets’ Attack and Special Attack by one stage.  Makes the user switch out.</t>
  </si>
  <si>
    <t>Topsy Turvy</t>
  </si>
  <si>
    <t>Inverts the target’s stat modifiers.</t>
  </si>
  <si>
    <t>Draining Kiss</t>
  </si>
  <si>
    <t>Drains 75% of the damage inflicted to heal the user.</t>
  </si>
  <si>
    <t>Crafty Shield</t>
  </si>
  <si>
    <t>Protects all friendly Pokémon from non-damaging moves.</t>
  </si>
  <si>
    <t>Flower Shield</t>
  </si>
  <si>
    <t>Raises the Defense of all grass Pokémon in battle.</t>
  </si>
  <si>
    <t>Grassy Terrain</t>
  </si>
  <si>
    <t>For five turns, heals all Pokémon on the ground for 1/16 max HP each turn and strengthens their grass moves to 1.5× their power.</t>
  </si>
  <si>
    <t>Misty Terrain</t>
  </si>
  <si>
    <t>For five turns, protects all Pokémon on the ground from major status ailments and confusion, and halves the power of incoming dragon moves.</t>
  </si>
  <si>
    <t>Electrify</t>
  </si>
  <si>
    <t>Changes the target’s move’s type to electric if it hasn’t moved yet this turn.</t>
  </si>
  <si>
    <t>Play Rough</t>
  </si>
  <si>
    <t>Fairy Wind</t>
  </si>
  <si>
    <t>Moonblast</t>
  </si>
  <si>
    <t>Boomburst</t>
  </si>
  <si>
    <t>Fairy Lock</t>
  </si>
  <si>
    <t>Prevents all Pokémon from fleeing or switching out during the next turn.</t>
  </si>
  <si>
    <t>Kings Shield</t>
  </si>
  <si>
    <t>Blocks damaging attacks and lowers attacking Pokémon’s Attack by two stages on contact.  Switches Aegislash to Shield Forme.</t>
  </si>
  <si>
    <t>Play Nice</t>
  </si>
  <si>
    <t>Confide</t>
  </si>
  <si>
    <t>Lowers the target’s Special Attack by one stage.</t>
  </si>
  <si>
    <t>Diamond Storm</t>
  </si>
  <si>
    <t>Has a $effect_chance% chance to raise the user’s Defense by two stages for each target hit.</t>
  </si>
  <si>
    <t>Steam Eruption</t>
  </si>
  <si>
    <t>Hyperspace Hole</t>
  </si>
  <si>
    <t>Ignores and destroys protection effects.</t>
  </si>
  <si>
    <t>Water Shuriken</t>
  </si>
  <si>
    <t>Hits 2–5 times.</t>
  </si>
  <si>
    <t>Mystical Fire</t>
  </si>
  <si>
    <t>Spiky Shield</t>
  </si>
  <si>
    <t>Blocks damaging attacks and damages attacking Pokémon for 1/8 their max HP.</t>
  </si>
  <si>
    <t>Aromatic Mist</t>
  </si>
  <si>
    <t>Raises a selected ally’s Special Defense by one stage.</t>
  </si>
  <si>
    <t>Eerie Impulse</t>
  </si>
  <si>
    <t>Lowers the target’s Special Attack by two stages.</t>
  </si>
  <si>
    <t>Venom Drench</t>
  </si>
  <si>
    <t>Lowers the target’s Attack, Special Attack, and Speed by one stage if it is poisoned.</t>
  </si>
  <si>
    <t>Powder</t>
  </si>
  <si>
    <t>Explodes if the target uses a fire move this turn, damaging it for 1/4 its max HP and preventing the move.</t>
  </si>
  <si>
    <t>Geomancy</t>
  </si>
  <si>
    <t>Takes one turn to charge, then raises the user’s Special Attack, Special Defense, and Speed by two stages.</t>
  </si>
  <si>
    <t>Magnetic Flux</t>
  </si>
  <si>
    <t>Raises the Defense and Special Defense of all friendly Pokémon with plus or minus by one stage.</t>
  </si>
  <si>
    <t>Happy Hour</t>
  </si>
  <si>
    <t>Doubles prize money.</t>
  </si>
  <si>
    <t>Electric Terrain</t>
  </si>
  <si>
    <t>For five turns, prevents all Pokémon on the ground from sleeping and strengthens their electric moves to 1.5× their power.</t>
  </si>
  <si>
    <t>Dazzling Gleam</t>
  </si>
  <si>
    <t>Celebrate</t>
  </si>
  <si>
    <t>Hold Hands</t>
  </si>
  <si>
    <t>Baby Doll Eyes</t>
  </si>
  <si>
    <t>Nuzzle</t>
  </si>
  <si>
    <t>Hold Back</t>
  </si>
  <si>
    <t>Infestation</t>
  </si>
  <si>
    <t>Power Up Punch</t>
  </si>
  <si>
    <t>Raises the user’s Attack by one stage after inflicting damage.</t>
  </si>
  <si>
    <t>Oblivion Wing</t>
  </si>
  <si>
    <t>Thousand Arrows</t>
  </si>
  <si>
    <t>Grounds the target, and hits even Flying-type or levitating Pokémon.</t>
  </si>
  <si>
    <t>Thousand Waves</t>
  </si>
  <si>
    <t>Lands Wrath</t>
  </si>
  <si>
    <t>Light Of Ruin</t>
  </si>
  <si>
    <t>Origin Pulse</t>
  </si>
  <si>
    <t>Precipice Blades</t>
  </si>
  <si>
    <t>Dragon Ascent</t>
  </si>
  <si>
    <t>Hyperspace Fury</t>
  </si>
  <si>
    <t>Breakneck Blitz  Physical</t>
  </si>
  <si>
    <t>Breakneck Blitz  Special</t>
  </si>
  <si>
    <t>All Out Pummeling  Physical</t>
  </si>
  <si>
    <t>All Out Pummeling  Special</t>
  </si>
  <si>
    <t>Supersonic Skystrike  Physical</t>
  </si>
  <si>
    <t>Supersonic Skystrike  Special</t>
  </si>
  <si>
    <t>Acid Downpour  Physical</t>
  </si>
  <si>
    <t>Acid Downpour  Special</t>
  </si>
  <si>
    <t>Tectonic Rage  Physical</t>
  </si>
  <si>
    <t>Tectonic Rage  Special</t>
  </si>
  <si>
    <t>Continental Crush  Physical</t>
  </si>
  <si>
    <t>Continental Crush  Special</t>
  </si>
  <si>
    <t>Savage Spin Out  Physical</t>
  </si>
  <si>
    <t>Savage Spin Out  Special</t>
  </si>
  <si>
    <t>Never Ending Nightmare  Physical</t>
  </si>
  <si>
    <t>Never Ending Nightmare  Special</t>
  </si>
  <si>
    <t>Corkscrew Crash  Physical</t>
  </si>
  <si>
    <t>Corkscrew Crash  Special</t>
  </si>
  <si>
    <t>Inferno Overdrive  Physical</t>
  </si>
  <si>
    <t>Inferno Overdrive  Special</t>
  </si>
  <si>
    <t>Hydro Vortex  Physical</t>
  </si>
  <si>
    <t>Hydro Vortex  Special</t>
  </si>
  <si>
    <t>Bloom Doom  Physical</t>
  </si>
  <si>
    <t>Bloom Doom  Special</t>
  </si>
  <si>
    <t>Gigavolt Havoc  Physical</t>
  </si>
  <si>
    <t>Gigavolt Havoc  Special</t>
  </si>
  <si>
    <t>Shattered Psyche  Physical</t>
  </si>
  <si>
    <t>Shattered Psyche  Special</t>
  </si>
  <si>
    <t>Subzero Slammer  Physical</t>
  </si>
  <si>
    <t>Subzero Slammer  Special</t>
  </si>
  <si>
    <t>Devastating Drake  Physical</t>
  </si>
  <si>
    <t>Devastating Drake  Special</t>
  </si>
  <si>
    <t>Black Hole Eclipse  Physical</t>
  </si>
  <si>
    <t>Black Hole Eclipse  Special</t>
  </si>
  <si>
    <t>Twinkle Tackle  Physical</t>
  </si>
  <si>
    <t>Twinkle Tackle  Special</t>
  </si>
  <si>
    <t>Catastropika</t>
  </si>
  <si>
    <t>Shore Up</t>
  </si>
  <si>
    <t>Heals the user for ½ its max HP, or ⅔ during a sandstorm.</t>
  </si>
  <si>
    <t>First Impression</t>
  </si>
  <si>
    <t>Can only be used as the first move after the user enters battle.</t>
  </si>
  <si>
    <t>Baneful Bunker</t>
  </si>
  <si>
    <t>Grants the user protection for the rest of the turn and poisons any Pokémon that tries to use a contact move on it.</t>
  </si>
  <si>
    <t>Spirit Shackle</t>
  </si>
  <si>
    <t>Traps the target.</t>
  </si>
  <si>
    <t>Darkest Lariat</t>
  </si>
  <si>
    <t>Sparkling Aria</t>
  </si>
  <si>
    <t>Cures the target of burns.</t>
  </si>
  <si>
    <t>Ice Hammer</t>
  </si>
  <si>
    <t>Floral Healing</t>
  </si>
  <si>
    <t>Heals the target for ½ its max HP, or ⅔ on Grassy Terrain.</t>
  </si>
  <si>
    <t>High Horsepower</t>
  </si>
  <si>
    <t>Strength Sap</t>
  </si>
  <si>
    <t>Heals the user by the target’s current Attack stat and lowers the target’s Attack by one stage.</t>
  </si>
  <si>
    <t>Solar Blade</t>
  </si>
  <si>
    <t>Leafage</t>
  </si>
  <si>
    <t>Spotlight</t>
  </si>
  <si>
    <t>Forces the target’s opponents to aim at the target for the rest of the turn.</t>
  </si>
  <si>
    <t>Toxic Thread</t>
  </si>
  <si>
    <t>Poisons the target and lowers its Speed by one stage.</t>
  </si>
  <si>
    <t>Laser Focus</t>
  </si>
  <si>
    <t>Guarantees a critical hit with the user’s next move.</t>
  </si>
  <si>
    <t>Gear Up</t>
  </si>
  <si>
    <t>Raises the Attack and Special Attack of all friendly Pokémon with plus or minus by one stage.</t>
  </si>
  <si>
    <t>Throat Chop</t>
  </si>
  <si>
    <t>Prevents the target from using sound-based moves for two turns.</t>
  </si>
  <si>
    <t>Pollen Puff</t>
  </si>
  <si>
    <t>Damages opponents, but heals allies for 50% of their max HP.</t>
  </si>
  <si>
    <t>Anchor Shot</t>
  </si>
  <si>
    <t>Psychic Terrain</t>
  </si>
  <si>
    <t>Protects Pokémon on the ground from priority moves and increases the power of their  Psychic moves by 50%.</t>
  </si>
  <si>
    <t>Lunge</t>
  </si>
  <si>
    <t>Lowers the target’s Attack by one stage after inflicting damage.</t>
  </si>
  <si>
    <t>Fire Lash</t>
  </si>
  <si>
    <t>Lowers the target’s Defense by one stage after inflicting damage.</t>
  </si>
  <si>
    <t>Power Trip</t>
  </si>
  <si>
    <t>Burn Up</t>
  </si>
  <si>
    <t>Removes the user’s fire type after inflicting damage.</t>
  </si>
  <si>
    <t>Speed Swap</t>
  </si>
  <si>
    <t>Exchanges the user’s Speed with the target’s.</t>
  </si>
  <si>
    <t>Smart Strike</t>
  </si>
  <si>
    <t>Purify</t>
  </si>
  <si>
    <t>Cures the target of a major status ailment and heals the user for 50% of its max HP.</t>
  </si>
  <si>
    <t>Revelation Dance</t>
  </si>
  <si>
    <t>Has the same type as the user.</t>
  </si>
  <si>
    <t>Core Enforcer</t>
  </si>
  <si>
    <t>Nullifies the target’s ability if it moves earlier.</t>
  </si>
  <si>
    <t>Trop Kick</t>
  </si>
  <si>
    <t>Instruct</t>
  </si>
  <si>
    <t>Forces the target to repeat its last used move.</t>
  </si>
  <si>
    <t>Beak Blast</t>
  </si>
  <si>
    <t>Inflicts a burn on any Pokémon that makes contact before the attack.</t>
  </si>
  <si>
    <t>Clanging Scales</t>
  </si>
  <si>
    <t>Lowers the user’s Defense by one stage after inflicting damage.</t>
  </si>
  <si>
    <t>Dragon Hammer</t>
  </si>
  <si>
    <t>Brutal Swing</t>
  </si>
  <si>
    <t>Aurora Veil</t>
  </si>
  <si>
    <t>Reduces damage five turns, but must be used during hail.</t>
  </si>
  <si>
    <t>Sinister Arrow Raid</t>
  </si>
  <si>
    <t>Malicious Moonsault</t>
  </si>
  <si>
    <t>Oceanic Operetta</t>
  </si>
  <si>
    <t>Guardian Of Alola</t>
  </si>
  <si>
    <t>Damages the target for 75% of its remaining HP.</t>
  </si>
  <si>
    <t>Soul Stealing 7 Star Strike</t>
  </si>
  <si>
    <t>Stoked Sparksurfer</t>
  </si>
  <si>
    <t>Pulverizing Pancake</t>
  </si>
  <si>
    <t>Extreme Evoboost</t>
  </si>
  <si>
    <t>Raises all of the user’s stats by two stages.</t>
  </si>
  <si>
    <t>Genesis Supernova</t>
  </si>
  <si>
    <t>Changes the terrain to Psychic Terrain after inflicting damage.</t>
  </si>
  <si>
    <t>Shell Trap</t>
  </si>
  <si>
    <t>Only inflicts damage if the user was hit by a physical move this turn.</t>
  </si>
  <si>
    <t>Fleur Cannon</t>
  </si>
  <si>
    <t>Psychic Fangs</t>
  </si>
  <si>
    <t>Stomping Tantrum</t>
  </si>
  <si>
    <t>Has double power if the user’s last move failed.</t>
  </si>
  <si>
    <t>Shadow Bone</t>
  </si>
  <si>
    <t>Accelerock</t>
  </si>
  <si>
    <t>Liquidation</t>
  </si>
  <si>
    <t>Prismatic Laser</t>
  </si>
  <si>
    <t>Spectral Thief</t>
  </si>
  <si>
    <t>Steals the target’s stat increases, then inflicts damage.</t>
  </si>
  <si>
    <t>Sunsteel Strike</t>
  </si>
  <si>
    <t>Cannot be disrupted by abilities.</t>
  </si>
  <si>
    <t>Moongeist Beam</t>
  </si>
  <si>
    <t>Tearful Look</t>
  </si>
  <si>
    <t>Zing Zap</t>
  </si>
  <si>
    <t>Natures Madness</t>
  </si>
  <si>
    <t>Multi Attack</t>
  </si>
  <si>
    <t>10 000 000 Volt Thunderbolt</t>
  </si>
  <si>
    <t>Mind Blown</t>
  </si>
  <si>
    <t>Inflicts damage, and the user takes damage equal to half of its max HP, rounded up.</t>
  </si>
  <si>
    <t>Plasma Fists</t>
  </si>
  <si>
    <t>After inflicting damage, causes all Normal-type moves to become Electric-type for the remainder of the turn.</t>
  </si>
  <si>
    <t>Photon Geyser</t>
  </si>
  <si>
    <t>Light That Burns The Sky</t>
  </si>
  <si>
    <t>Inflicts damage using either Attack or Special Attack stat, whichever is higher.</t>
  </si>
  <si>
    <t>Searing Sunraze Smash</t>
  </si>
  <si>
    <t>Menacing Moonraze Maelstrom</t>
  </si>
  <si>
    <t>Lets Snuggle Forever</t>
  </si>
  <si>
    <t>Splintered Stormshards</t>
  </si>
  <si>
    <t>Inflicts damage and removes any terrain present on the battlefield.</t>
  </si>
  <si>
    <t>Clangorous Soulblaze</t>
  </si>
  <si>
    <t>Inflicts damage to all opposing Pokémon and increases the user’s Attack, Defense, Special Attack, Special Defense, and Speed by one stage each.</t>
  </si>
  <si>
    <t>Zippy Zap</t>
  </si>
  <si>
    <t>Splishy Splash</t>
  </si>
  <si>
    <t>Floaty Fall</t>
  </si>
  <si>
    <t>Pika Papow</t>
  </si>
  <si>
    <t>Bouncy Bubble</t>
  </si>
  <si>
    <t>Buzzy Buzz</t>
  </si>
  <si>
    <t>Sizzly Slide</t>
  </si>
  <si>
    <t>Glitzy Glow</t>
  </si>
  <si>
    <t>Baddy Bad</t>
  </si>
  <si>
    <t>Sappy Seed</t>
  </si>
  <si>
    <t>Freezy Frost</t>
  </si>
  <si>
    <t>Sparkly Swirl</t>
  </si>
  <si>
    <t>Veevee Volley</t>
  </si>
  <si>
    <t>Double Iron Bash</t>
  </si>
  <si>
    <t>Max Guard</t>
  </si>
  <si>
    <t>Dynamax Cannon</t>
  </si>
  <si>
    <t>Sets Light Screen on the user’s side of the field after inflicting damage.</t>
  </si>
  <si>
    <t>Snipe Shot</t>
  </si>
  <si>
    <t>Sets Reflect on the user’s side of the field after inflicting damage.</t>
  </si>
  <si>
    <t>Jaw Lock</t>
  </si>
  <si>
    <t>Seeds the target after inflicting damage.</t>
  </si>
  <si>
    <t>Stuff Cheeks</t>
  </si>
  <si>
    <t>Cures the entire party of major status effects after inflicting damage.</t>
  </si>
  <si>
    <t>No Retreat</t>
  </si>
  <si>
    <t>Hits twice in one turn, with a $effect_chance% chance to make the target flinch.</t>
  </si>
  <si>
    <t>Tar Shot</t>
  </si>
  <si>
    <t>No description</t>
  </si>
  <si>
    <t>Magic Powder</t>
  </si>
  <si>
    <t>Dragon Darts</t>
  </si>
  <si>
    <t>Teatime</t>
  </si>
  <si>
    <t>Octolock</t>
  </si>
  <si>
    <t>Bolt Beak</t>
  </si>
  <si>
    <t>Fishious Rend</t>
  </si>
  <si>
    <t>Court Change</t>
  </si>
  <si>
    <t>Max Flare</t>
  </si>
  <si>
    <t>Max Flutterby</t>
  </si>
  <si>
    <t>Max Lightning</t>
  </si>
  <si>
    <t>Max Strike</t>
  </si>
  <si>
    <t>Max Knuckle</t>
  </si>
  <si>
    <t>Max Phantasm</t>
  </si>
  <si>
    <t>Max Hailstorm</t>
  </si>
  <si>
    <t>Max Ooze</t>
  </si>
  <si>
    <t>Max Geyser</t>
  </si>
  <si>
    <t>Max Airstream</t>
  </si>
  <si>
    <t>Max Starfall</t>
  </si>
  <si>
    <t>Max Wyrmwind</t>
  </si>
  <si>
    <t>Max Mindstorm</t>
  </si>
  <si>
    <t>Max Rockfall</t>
  </si>
  <si>
    <t>Max Quake</t>
  </si>
  <si>
    <t>Max Darkness</t>
  </si>
  <si>
    <t>Max Overgrowth</t>
  </si>
  <si>
    <t>Max Steelspike</t>
  </si>
  <si>
    <t>Clangorous Soul</t>
  </si>
  <si>
    <t>Body Press</t>
  </si>
  <si>
    <t>Decorate</t>
  </si>
  <si>
    <t>Drum Beating</t>
  </si>
  <si>
    <t>Snap Trap</t>
  </si>
  <si>
    <t>Pyro Ball</t>
  </si>
  <si>
    <t>Behemoth Blade</t>
  </si>
  <si>
    <t>Behemoth Bash</t>
  </si>
  <si>
    <t>Aura Wheel</t>
  </si>
  <si>
    <t>Breaking Swipe</t>
  </si>
  <si>
    <t>Branch Poke</t>
  </si>
  <si>
    <t>Overdrive</t>
  </si>
  <si>
    <t>Apple Acid</t>
  </si>
  <si>
    <t>Grav Apple</t>
  </si>
  <si>
    <t>Spirit Break</t>
  </si>
  <si>
    <t>Strange Steam</t>
  </si>
  <si>
    <t>Life Dew</t>
  </si>
  <si>
    <t>Obstruct</t>
  </si>
  <si>
    <t>False Surrender</t>
  </si>
  <si>
    <t>Meteor Assault</t>
  </si>
  <si>
    <t>Eternabeam</t>
  </si>
  <si>
    <t>Steel Beam</t>
  </si>
  <si>
    <t>Expanding Force</t>
  </si>
  <si>
    <t>Steel Roller</t>
  </si>
  <si>
    <t>Scale Shot</t>
  </si>
  <si>
    <t>Boosts the user’s Speed and lowers their Defense by one stage after inflicting damage two to five times in a row.</t>
  </si>
  <si>
    <t>Meteor Beam</t>
  </si>
  <si>
    <t>Shell Side Arm</t>
  </si>
  <si>
    <t>Misty Explosion</t>
  </si>
  <si>
    <t>Grassy Glide</t>
  </si>
  <si>
    <t>Rising Voltage</t>
  </si>
  <si>
    <t>Terrain Pulse</t>
  </si>
  <si>
    <t>Skitter Smack</t>
  </si>
  <si>
    <t>Burning Jealousy</t>
  </si>
  <si>
    <t>Lash Out</t>
  </si>
  <si>
    <t>Poltergeist</t>
  </si>
  <si>
    <t>Corrosive Gas</t>
  </si>
  <si>
    <t>Coaching</t>
  </si>
  <si>
    <t>Flip Turn</t>
  </si>
  <si>
    <t>Triple Axel</t>
  </si>
  <si>
    <t>Dual Wingbeat</t>
  </si>
  <si>
    <t>Scorching Sands</t>
  </si>
  <si>
    <t>Jungle Healing</t>
  </si>
  <si>
    <t>Wicked Blow</t>
  </si>
  <si>
    <t>Surging Strikes</t>
  </si>
  <si>
    <t>Thunder Cage</t>
  </si>
  <si>
    <t>Dragon Energy</t>
  </si>
  <si>
    <t>Freezing Glare</t>
  </si>
  <si>
    <t>Fiery Wrath</t>
  </si>
  <si>
    <t>Thunderous Kick</t>
  </si>
  <si>
    <t>Glacial Lance</t>
  </si>
  <si>
    <t>Astral Barrage</t>
  </si>
  <si>
    <t>Eerie Spell</t>
  </si>
  <si>
    <t>Dire Claw</t>
  </si>
  <si>
    <t>Psyshield Bash</t>
  </si>
  <si>
    <t>Power Shift</t>
  </si>
  <si>
    <t>Stone Axe</t>
  </si>
  <si>
    <t>Springtide Storm</t>
  </si>
  <si>
    <t>Mystical Power</t>
  </si>
  <si>
    <t>Raging Fury</t>
  </si>
  <si>
    <t>Wave Crash</t>
  </si>
  <si>
    <t>Chloroblast</t>
  </si>
  <si>
    <t>Mountain Gale</t>
  </si>
  <si>
    <t>Victory Dance</t>
  </si>
  <si>
    <t>Headlong Rush</t>
  </si>
  <si>
    <t>Barb Barrage</t>
  </si>
  <si>
    <t>Esper Wing</t>
  </si>
  <si>
    <t>Bitter Malice</t>
  </si>
  <si>
    <t>Shelter</t>
  </si>
  <si>
    <t>Triple Arrows</t>
  </si>
  <si>
    <t>Infernal Parade</t>
  </si>
  <si>
    <t>Ceaseless Edge</t>
  </si>
  <si>
    <t>Bleakwind Storm</t>
  </si>
  <si>
    <t>Wildbolt Storm</t>
  </si>
  <si>
    <t>Sandsear Storm</t>
  </si>
  <si>
    <t>Lunar Blessing</t>
  </si>
  <si>
    <t>Take Heart</t>
  </si>
  <si>
    <t>Tera Blast</t>
  </si>
  <si>
    <t>Silk Trap</t>
  </si>
  <si>
    <t>Axe Kick</t>
  </si>
  <si>
    <t>Last Respects</t>
  </si>
  <si>
    <t>Lumina Crash</t>
  </si>
  <si>
    <t>Order Up</t>
  </si>
  <si>
    <t>Jet Punch</t>
  </si>
  <si>
    <t>Spicy Extract</t>
  </si>
  <si>
    <t>Spin Out</t>
  </si>
  <si>
    <t>Population Bomb</t>
  </si>
  <si>
    <t>Ice Spinner</t>
  </si>
  <si>
    <t>Glaive Rush</t>
  </si>
  <si>
    <t>Revival Blessing</t>
  </si>
  <si>
    <t>Salt Cure</t>
  </si>
  <si>
    <t>Triple Dive</t>
  </si>
  <si>
    <t>Mortal Spin</t>
  </si>
  <si>
    <t>Doodle</t>
  </si>
  <si>
    <t>Fillet Away</t>
  </si>
  <si>
    <t>Kowtow Cleave</t>
  </si>
  <si>
    <t>Flower Trick</t>
  </si>
  <si>
    <t>Torch Song</t>
  </si>
  <si>
    <t>Aqua Step</t>
  </si>
  <si>
    <t>Raging Bull</t>
  </si>
  <si>
    <t>Make It Rain</t>
  </si>
  <si>
    <t>Psyblade</t>
  </si>
  <si>
    <t>Hydro Steam</t>
  </si>
  <si>
    <t>Ruination</t>
  </si>
  <si>
    <t>Collision Course</t>
  </si>
  <si>
    <t>Electro Drift</t>
  </si>
  <si>
    <t>Shed Tail</t>
  </si>
  <si>
    <t>Chilly Reception</t>
  </si>
  <si>
    <t>Tidy Up</t>
  </si>
  <si>
    <t>Snowscape</t>
  </si>
  <si>
    <t>Pounce</t>
  </si>
  <si>
    <t>Trailblaze</t>
  </si>
  <si>
    <t>Chilling Water</t>
  </si>
  <si>
    <t>Hyper Drill</t>
  </si>
  <si>
    <t>Twin Beam</t>
  </si>
  <si>
    <t>Rage Fist</t>
  </si>
  <si>
    <t>Armor Cannon</t>
  </si>
  <si>
    <t>Bitter Blade</t>
  </si>
  <si>
    <t>Double Shock</t>
  </si>
  <si>
    <t>Gigaton Hammer</t>
  </si>
  <si>
    <t>Comeuppance</t>
  </si>
  <si>
    <t>Aqua Cutter</t>
  </si>
  <si>
    <t>Blazing Torque</t>
  </si>
  <si>
    <t>Wicked Torque</t>
  </si>
  <si>
    <t>Noxious Torque</t>
  </si>
  <si>
    <t>Combat Torque</t>
  </si>
  <si>
    <t>Magical Torque</t>
  </si>
  <si>
    <t>Blood Moon</t>
  </si>
  <si>
    <t>Matcha Gotcha</t>
  </si>
  <si>
    <t>Syrup Bomb</t>
  </si>
  <si>
    <t>Ivy Cudgel</t>
  </si>
  <si>
    <t>Electro Shot</t>
  </si>
  <si>
    <t>Tera Starstorm</t>
  </si>
  <si>
    <t>Fickle Beam</t>
  </si>
  <si>
    <t>Burning Bulwark</t>
  </si>
  <si>
    <t>Thunderclap</t>
  </si>
  <si>
    <t>Mighty Cleave</t>
  </si>
  <si>
    <t>Tachyon Cutter</t>
  </si>
  <si>
    <t>Hard Press</t>
  </si>
  <si>
    <t>Dragon Cheer</t>
  </si>
  <si>
    <t>Alluring Voice</t>
  </si>
  <si>
    <t>Temper Flare</t>
  </si>
  <si>
    <t>Supercell Slam</t>
  </si>
  <si>
    <t>Psychic Noise</t>
  </si>
  <si>
    <t>Upper Hand</t>
  </si>
  <si>
    <t>Malignant Chain</t>
  </si>
  <si>
    <t>Shadow Rush</t>
  </si>
  <si>
    <t>Shadow</t>
  </si>
  <si>
    <t>Has an increased chance for a critical hit in Hyper Mode.</t>
  </si>
  <si>
    <t>Shadow Blast</t>
  </si>
  <si>
    <t>Shadow Blitz</t>
  </si>
  <si>
    <t>Shadow Bolt</t>
  </si>
  <si>
    <t>Shadow Break</t>
  </si>
  <si>
    <t>Shadow Chill</t>
  </si>
  <si>
    <t>Shadow End</t>
  </si>
  <si>
    <t>User receives 1/2 its HP in recoil.</t>
  </si>
  <si>
    <t>Shadow Fire</t>
  </si>
  <si>
    <t>Shadow Rave</t>
  </si>
  <si>
    <t>Shadow Storm</t>
  </si>
  <si>
    <t>Shadow Wave</t>
  </si>
  <si>
    <t>Shadow Down</t>
  </si>
  <si>
    <t>Shadow Half</t>
  </si>
  <si>
    <t>Halves HP of all Pokémon on the field.  Must recharge</t>
  </si>
  <si>
    <t>Shadow Hold</t>
  </si>
  <si>
    <t>Shadow Mist</t>
  </si>
  <si>
    <t>Lowers the target’s evasion by two stages.</t>
  </si>
  <si>
    <t>Shadow Panic</t>
  </si>
  <si>
    <t>Shadow Shed</t>
  </si>
  <si>
    <t>Removes Light Screen, Reflect, and Safeguard.</t>
  </si>
  <si>
    <t>Shadow Sky</t>
  </si>
  <si>
    <t>Changes the weather to Shadow Sky for five turns.</t>
  </si>
  <si>
    <t>Category</t>
  </si>
  <si>
    <t>Adjusted Power</t>
  </si>
  <si>
    <t>Inferno Overdrive</t>
  </si>
  <si>
    <t>Z-Move</t>
  </si>
  <si>
    <t>Tectonic Rage</t>
  </si>
  <si>
    <t>Gigavolt Havoc</t>
  </si>
  <si>
    <t>All-Out Pummeling</t>
  </si>
  <si>
    <t>Corkscrew Crash</t>
  </si>
  <si>
    <t>Dynamax</t>
  </si>
  <si>
    <t>Earthquake (Dra)</t>
  </si>
  <si>
    <t>Scald (Wtr/Sp)</t>
  </si>
  <si>
    <t>Scald (Wtr/Ph)</t>
  </si>
  <si>
    <t>Power-Up Punch</t>
  </si>
  <si>
    <t>Mud-Slap</t>
  </si>
  <si>
    <t>Pokemon</t>
  </si>
  <si>
    <t>Star</t>
  </si>
  <si>
    <t>Normal/Special Move</t>
  </si>
  <si>
    <t>Gimmick Move</t>
  </si>
  <si>
    <t>Move Accuracy</t>
  </si>
  <si>
    <t>SPD</t>
  </si>
  <si>
    <t>Sp.A</t>
  </si>
  <si>
    <t>Sp.D</t>
  </si>
  <si>
    <t>ATK</t>
  </si>
  <si>
    <t>DEF</t>
  </si>
  <si>
    <t>HP</t>
  </si>
  <si>
    <t>Normal Damage</t>
  </si>
  <si>
    <t>Gimmick Move Damage</t>
  </si>
  <si>
    <t>Survivability</t>
  </si>
  <si>
    <t>Hunt Power</t>
  </si>
  <si>
    <t>PE Efficiency</t>
  </si>
  <si>
    <t>Move Type</t>
  </si>
  <si>
    <t>Spd</t>
  </si>
  <si>
    <t>Move Power</t>
  </si>
  <si>
    <t>Damage type</t>
  </si>
  <si>
    <t>Attack Stat</t>
  </si>
  <si>
    <t>Resistances</t>
  </si>
  <si>
    <t>Damage</t>
  </si>
  <si>
    <t>Strong Against</t>
  </si>
  <si>
    <t>6★Preys</t>
  </si>
  <si>
    <t>5★ Preys</t>
  </si>
  <si>
    <t>Notes</t>
  </si>
  <si>
    <t>Fighting, Steel, Electric, Grass</t>
  </si>
  <si>
    <t xml:space="preserve">Highest Damage </t>
  </si>
  <si>
    <t>Flying, Steel, Electric</t>
  </si>
  <si>
    <t>Poison, Rock, Electric</t>
  </si>
  <si>
    <t>Bug, Steel, Fire, Grass, Ice, Fairy</t>
  </si>
  <si>
    <t>Ground, Water, Electric, Grass</t>
  </si>
  <si>
    <t>Ground, Grass, Ice</t>
  </si>
  <si>
    <t>Ghost, Ice, Dark</t>
  </si>
  <si>
    <t>High Crit Chance</t>
  </si>
  <si>
    <t>Normal, Fighting, Poison, Bug, Rock, Electric</t>
  </si>
  <si>
    <t>Highest "Cannot Miss" Damage</t>
  </si>
  <si>
    <t>Fighting, Ground, Bug, Steel, Fire, Water</t>
  </si>
  <si>
    <t>Ground, Bug, Ghost, Grass</t>
  </si>
  <si>
    <t>Steel, Fire, Water, Ice</t>
  </si>
  <si>
    <t>Fighting, Steel, Fire, Water, Ice, Psychic</t>
  </si>
  <si>
    <t>Fighting, Ground, Grass</t>
  </si>
  <si>
    <t>Bug, Steel, Fire, Electric, Grass</t>
  </si>
  <si>
    <t>?</t>
  </si>
  <si>
    <t>Ghost, Psychic, Dark</t>
  </si>
  <si>
    <t>Lowest PE in the game</t>
  </si>
  <si>
    <t>Fighting, Flying, Bug, Electric, Dark</t>
  </si>
  <si>
    <t>Speed</t>
  </si>
  <si>
    <t>Resistences</t>
  </si>
  <si>
    <t>Highest Damage</t>
  </si>
  <si>
    <t>Best Efficiency</t>
  </si>
  <si>
    <t>Ground, Ghost, Water, Electric, Grass, Psychic, Dark</t>
  </si>
  <si>
    <t>High Crit Chance, 7 Resistances</t>
  </si>
  <si>
    <t>Normal, Fighting, Poison, Bug, Steel, FIre, Grass, Ice, Fairy</t>
  </si>
  <si>
    <t>9 Resistances</t>
  </si>
  <si>
    <t>Bug, Rock, Steel, Fire, Water, Ice, Dark</t>
  </si>
  <si>
    <t>7 Resistances</t>
  </si>
  <si>
    <t>Drains HP</t>
  </si>
  <si>
    <t>Bug, Metal, Fire, Grass, Ice, Dark</t>
  </si>
  <si>
    <t>Normal, Poison, Flying, Bug, Rock, Steel, Water, Ice, Psychic, Dragon, Fairy</t>
  </si>
  <si>
    <t>11 Resistances</t>
  </si>
  <si>
    <t>Normal, Poison, Flying, Bug, Grass, Ice, Psychic, Dragon, Fairy</t>
  </si>
  <si>
    <t>Normal, Poison, Flying, Rock, Steel, Grass, Ice, Psychic, Dragon, Fairy</t>
  </si>
  <si>
    <t>10 Resistances</t>
  </si>
  <si>
    <t>Poison, Rock, Fire, Electric</t>
  </si>
  <si>
    <t>Normal, Fighting, Poison, Ground, Bug, Grass</t>
  </si>
  <si>
    <t>Fighting, Poison, Bug, Steel, Fire, Water, Ice, Fairy</t>
  </si>
  <si>
    <t>8 Resistances</t>
  </si>
  <si>
    <t>Normal. Poison, Flying, Bug, Rock, Steel, Electric, Grass, Ice, Psychic, Dragon, Fairy</t>
  </si>
  <si>
    <t>12 Resistances</t>
  </si>
  <si>
    <t>Cannot Miss</t>
  </si>
  <si>
    <t>Fighting, Psychic, Dragon</t>
  </si>
  <si>
    <t xml:space="preserve">Normal, Poison, Flying, Rock, Fire, Electric, </t>
  </si>
  <si>
    <t>6 or more Resistances</t>
  </si>
  <si>
    <t>Special Move</t>
  </si>
  <si>
    <t>Behemot Blade</t>
  </si>
  <si>
    <t>Rock, Ice, Fairy</t>
  </si>
  <si>
    <t>Behemot Bash</t>
  </si>
  <si>
    <t>Normal, Fire, Water, Grass</t>
  </si>
  <si>
    <t>Normal, Grass, Ice, Psychic</t>
  </si>
  <si>
    <t>Electric, Steel, Flying</t>
  </si>
  <si>
    <t>Fire, Grass, Bug, Steel</t>
  </si>
  <si>
    <t>Bug, Steel, Fire, Grass, Ice</t>
  </si>
  <si>
    <t>Ground, Grass, Bug</t>
  </si>
  <si>
    <t>Normal, Fighting, Poison, Bug</t>
  </si>
  <si>
    <t>Electric, Poison, Rock, Fire</t>
  </si>
  <si>
    <t>Steel, Fire, Water, Ice, Dark</t>
  </si>
  <si>
    <t>Electric (Immune), Poison, Rock</t>
  </si>
  <si>
    <t>Fire, Water, Electric, Grass, Bug, Rock, Dark</t>
  </si>
  <si>
    <t>Gigavolt Havoc (Z)</t>
  </si>
  <si>
    <t>Max Strike (D)</t>
  </si>
  <si>
    <t>Ghost (Immune)</t>
  </si>
  <si>
    <t>Max Knuckle (D)</t>
  </si>
  <si>
    <t>Fighting, Psychic, Dark (Immune)</t>
  </si>
  <si>
    <t>Fighting, Bug, Dark, Dragon (Immune)</t>
  </si>
  <si>
    <t>Normal, Grass, Ice, Poison, Bug, Rock, Steel</t>
  </si>
  <si>
    <t>Tectonic Rage (Z)</t>
  </si>
  <si>
    <t>All-Out Pummeling (Z)</t>
  </si>
  <si>
    <t>Fire, Grass, Ice, Bug, Steel, Dark</t>
  </si>
  <si>
    <t>Corkscrew Crash (Z)</t>
  </si>
  <si>
    <t>Normal, Water, Grass, Ice, Flying, Psychic, Bug, Rock, Dragon, Steel, Fairy</t>
  </si>
  <si>
    <t>Max Rockfall (D)</t>
  </si>
  <si>
    <t>Normal, Fire, Poison, Flying</t>
  </si>
  <si>
    <t>Max Steelspike (D)</t>
  </si>
  <si>
    <t>Normal, Grass, Ice, Flying, Psychic, Bug, Rock, Dragon, Steel, Fairy</t>
  </si>
  <si>
    <t>Arctibax</t>
  </si>
  <si>
    <t>Pawmo</t>
  </si>
  <si>
    <t>Bug, Rock, Steel, Electric, Dark</t>
  </si>
  <si>
    <t>Treecko</t>
  </si>
  <si>
    <t>Grovyle</t>
  </si>
  <si>
    <t>Torchic</t>
  </si>
  <si>
    <t>Combusken</t>
  </si>
  <si>
    <t>Mudkip</t>
  </si>
  <si>
    <t>Marshtomp</t>
  </si>
  <si>
    <t xml:space="preserve">Poison, Rock, Steel, Fire, Electric, </t>
  </si>
  <si>
    <t>Magby</t>
  </si>
  <si>
    <t>Magmar</t>
  </si>
  <si>
    <t>Koffing</t>
  </si>
  <si>
    <t>Fighting, Poison, Bug, Grass, Fairy</t>
  </si>
  <si>
    <t>Galarian Weezing</t>
  </si>
  <si>
    <t>Beldum</t>
  </si>
  <si>
    <t>Metang</t>
  </si>
  <si>
    <t>Shinx</t>
  </si>
  <si>
    <t>Luxio</t>
  </si>
  <si>
    <t>Blipbug</t>
  </si>
  <si>
    <t>Dottler</t>
  </si>
  <si>
    <t>Fighting, Ground, Grass, Psychic</t>
  </si>
  <si>
    <t>Orbeetle</t>
  </si>
  <si>
    <t>Silicobra</t>
  </si>
  <si>
    <t>Rolycoly</t>
  </si>
  <si>
    <t>Normal, Poison, Flying, Fire</t>
  </si>
  <si>
    <t>Carkol</t>
  </si>
  <si>
    <t>Normal, Poison, Flying, Bug, Fire, Ice, Fairy</t>
  </si>
  <si>
    <t>Coalossal</t>
  </si>
  <si>
    <t>Impidimp</t>
  </si>
  <si>
    <t>Ghost, Psychic, Dragon, Dark</t>
  </si>
  <si>
    <t>Morgrem</t>
  </si>
  <si>
    <t>Grimmsnarl</t>
  </si>
  <si>
    <t>Nickit</t>
  </si>
  <si>
    <t>Thievul</t>
  </si>
  <si>
    <t>Duskull</t>
  </si>
  <si>
    <t>Dusclops</t>
  </si>
  <si>
    <t>Axew</t>
  </si>
  <si>
    <t>Fire, Water, Electric, Grass</t>
  </si>
  <si>
    <t>Fraxure</t>
  </si>
  <si>
    <t>Chikorita</t>
  </si>
  <si>
    <t>Bayleef</t>
  </si>
  <si>
    <t>Cyndaquil</t>
  </si>
  <si>
    <t>Quilava</t>
  </si>
  <si>
    <t>Totodile</t>
  </si>
  <si>
    <t>Crocnaw</t>
  </si>
  <si>
    <t>Dreepy</t>
  </si>
  <si>
    <t xml:space="preserve">Normal, Fighting, Poison, Bug, Fire, Water, Electric, Grass, </t>
  </si>
  <si>
    <t>No Pokemon</t>
  </si>
  <si>
    <t>Dynamax Band Pikachu</t>
  </si>
  <si>
    <t>Regular Pikachu</t>
  </si>
  <si>
    <t>Z-move</t>
  </si>
  <si>
    <t>Normal, Poison, Bug, Rock, Steel, Grass, Ice, Dragon, Dark</t>
  </si>
  <si>
    <t>Ghost, Steel, Fire, Water, Ice, Psychic, Dark</t>
  </si>
  <si>
    <t>#REF!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</si>
</sst>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Google Sans Text"/>
    </font>
    <font>
      <sz val="10"/>
      <color theme="1"/>
      <name val="Google Sans Text"/>
    </font>
    <font>
      <sz val="10"/>
      <color theme="1"/>
      <name val="&quot;Google Sans Text&quot;"/>
    </font>
    <font>
      <sz val="10"/>
      <color rgb="FF1F1F1F"/>
      <name val="&quot;Google Sans Text&quot;"/>
    </font>
    <font>
      <sz val="10"/>
      <color rgb="FF1F1F1F"/>
      <name val="Google Sans Text"/>
    </font>
    <font>
      <b/>
      <sz val="10"/>
      <color theme="1"/>
      <name val="Arial"/>
      <scheme val="minor"/>
    </font>
    <font>
      <sz val="10"/>
      <color rgb="FFFFFFFF"/>
      <name val="Google Sans Text"/>
    </font>
    <font>
      <sz val="10"/>
      <color rgb="FFFFFFFF"/>
      <name val="Arial"/>
      <scheme val="minor"/>
    </font>
    <font>
      <sz val="10"/>
      <color rgb="FF000000"/>
      <name val="Google Sans Text"/>
    </font>
  </fonts>
  <fills count="4">
    <fill>
      <patternFill patternType="none"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49" fontId="2" fillId="0" borderId="0" xfId="0" applyNumberFormat="1" applyFont="1"/>
    <xf numFmtId="0" fontId="2" fillId="0" borderId="0" xfId="0" applyFont="1"/>
    <xf numFmtId="49" fontId="3" fillId="0" borderId="0" xfId="0" applyNumberFormat="1" applyFont="1"/>
    <xf numFmtId="0" fontId="3" fillId="0" borderId="0" xfId="0" applyFont="1"/>
    <xf numFmtId="49" fontId="4" fillId="0" borderId="0" xfId="0" applyNumberFormat="1" applyFont="1"/>
    <xf numFmtId="0" fontId="4" fillId="0" borderId="0" xfId="0" applyFont="1"/>
    <xf numFmtId="49" fontId="1" fillId="0" borderId="0" xfId="0" applyNumberFormat="1" applyFont="1"/>
    <xf numFmtId="0" fontId="2" fillId="0" borderId="0" xfId="0" applyFont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9" fontId="3" fillId="0" borderId="0" xfId="0" applyNumberFormat="1" applyFont="1"/>
    <xf numFmtId="3" fontId="3" fillId="0" borderId="0" xfId="0" applyNumberFormat="1" applyFont="1"/>
    <xf numFmtId="4" fontId="3" fillId="0" borderId="0" xfId="0" applyNumberFormat="1" applyFont="1"/>
    <xf numFmtId="0" fontId="4" fillId="0" borderId="0" xfId="0" applyFont="1" applyAlignment="1">
      <alignment horizontal="left"/>
    </xf>
    <xf numFmtId="0" fontId="6" fillId="0" borderId="0" xfId="0" applyFont="1"/>
    <xf numFmtId="9" fontId="6" fillId="0" borderId="0" xfId="0" applyNumberFormat="1" applyFont="1" applyAlignment="1">
      <alignment horizontal="right"/>
    </xf>
    <xf numFmtId="3" fontId="1" fillId="0" borderId="0" xfId="0" applyNumberFormat="1" applyFont="1"/>
    <xf numFmtId="0" fontId="1" fillId="0" borderId="0" xfId="0" applyFont="1" applyAlignment="1">
      <alignment horizontal="left"/>
    </xf>
    <xf numFmtId="4" fontId="1" fillId="0" borderId="0" xfId="0" applyNumberFormat="1" applyFont="1"/>
    <xf numFmtId="0" fontId="3" fillId="0" borderId="0" xfId="0" applyFont="1" applyAlignment="1">
      <alignment horizontal="left"/>
    </xf>
    <xf numFmtId="0" fontId="7" fillId="0" borderId="0" xfId="0" applyFont="1"/>
    <xf numFmtId="0" fontId="8" fillId="2" borderId="0" xfId="0" applyFont="1" applyFill="1"/>
    <xf numFmtId="9" fontId="1" fillId="0" borderId="0" xfId="0" applyNumberFormat="1" applyFont="1"/>
    <xf numFmtId="0" fontId="9" fillId="2" borderId="0" xfId="0" applyFont="1" applyFill="1"/>
    <xf numFmtId="0" fontId="4" fillId="0" borderId="0" xfId="0" applyFont="1" applyAlignment="1">
      <alignment horizontal="right"/>
    </xf>
    <xf numFmtId="0" fontId="10" fillId="0" borderId="0" xfId="0" applyFont="1"/>
    <xf numFmtId="0" fontId="9" fillId="3" borderId="0" xfId="0" applyFont="1" applyFill="1"/>
    <xf numFmtId="0" fontId="9" fillId="0" borderId="0" xfId="0" applyFont="1"/>
  </cellXfs>
  <cellStyles count="1">
    <cellStyle name="Normal" xfId="0" builtinId="0"/>
  </cellStyles>
  <dxfs count="6"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>
    <tableStyle name="Top5Counters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Top5Counters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998"/>
  <sheetViews>
    <sheetView topLeftCell="A130" workbookViewId="0">
      <selection activeCell="B23" sqref="B23"/>
    </sheetView>
  </sheetViews>
  <sheetFormatPr defaultColWidth="12.5703125" defaultRowHeight="15.75" customHeight="1"/>
  <cols>
    <col min="1" max="2" width="9.7109375" customWidth="1"/>
    <col min="3" max="3" width="15.140625" customWidth="1"/>
    <col min="4" max="5" width="16.85546875" customWidth="1"/>
  </cols>
  <sheetData>
    <row r="1" spans="1:5">
      <c r="A1" s="2" t="s">
        <v>25</v>
      </c>
      <c r="B1" s="3" t="s">
        <v>0</v>
      </c>
      <c r="C1" s="3" t="s">
        <v>26</v>
      </c>
      <c r="D1" s="3" t="s">
        <v>27</v>
      </c>
      <c r="E1" s="3" t="s">
        <v>28</v>
      </c>
    </row>
    <row r="2" spans="1:5">
      <c r="A2" s="4" t="s">
        <v>29</v>
      </c>
      <c r="B2" s="1" t="s">
        <v>30</v>
      </c>
      <c r="C2" s="5" t="s">
        <v>31</v>
      </c>
      <c r="D2" s="5" t="s">
        <v>32</v>
      </c>
      <c r="E2" s="5" t="s">
        <v>33</v>
      </c>
    </row>
    <row r="3" spans="1:5">
      <c r="A3" s="4" t="s">
        <v>34</v>
      </c>
      <c r="B3" s="1" t="s">
        <v>30</v>
      </c>
      <c r="C3" s="5" t="s">
        <v>35</v>
      </c>
      <c r="D3" s="5" t="s">
        <v>32</v>
      </c>
      <c r="E3" s="5" t="s">
        <v>33</v>
      </c>
    </row>
    <row r="4" spans="1:5">
      <c r="A4" s="4" t="s">
        <v>36</v>
      </c>
      <c r="B4" s="1" t="s">
        <v>30</v>
      </c>
      <c r="C4" s="5" t="s">
        <v>37</v>
      </c>
      <c r="D4" s="5" t="s">
        <v>38</v>
      </c>
      <c r="E4" s="5" t="s">
        <v>33</v>
      </c>
    </row>
    <row r="5" spans="1:5">
      <c r="A5" s="4" t="s">
        <v>39</v>
      </c>
      <c r="B5" s="1" t="s">
        <v>30</v>
      </c>
      <c r="C5" s="5" t="s">
        <v>40</v>
      </c>
      <c r="D5" s="5" t="s">
        <v>41</v>
      </c>
      <c r="E5" s="5" t="s">
        <v>33</v>
      </c>
    </row>
    <row r="6" spans="1:5">
      <c r="A6" s="4" t="s">
        <v>42</v>
      </c>
      <c r="B6" s="1" t="s">
        <v>30</v>
      </c>
      <c r="C6" s="5" t="s">
        <v>19</v>
      </c>
      <c r="D6" s="5" t="s">
        <v>43</v>
      </c>
      <c r="E6" s="5" t="s">
        <v>33</v>
      </c>
    </row>
    <row r="7" spans="1:5">
      <c r="A7" s="4" t="s">
        <v>44</v>
      </c>
      <c r="B7" s="1" t="s">
        <v>30</v>
      </c>
      <c r="C7" s="5" t="s">
        <v>3</v>
      </c>
      <c r="D7" s="5" t="s">
        <v>45</v>
      </c>
      <c r="E7" s="5" t="s">
        <v>33</v>
      </c>
    </row>
    <row r="8" spans="1:5">
      <c r="A8" s="4" t="s">
        <v>46</v>
      </c>
      <c r="B8" s="1" t="s">
        <v>30</v>
      </c>
      <c r="C8" s="5" t="s">
        <v>47</v>
      </c>
      <c r="D8" s="5" t="s">
        <v>48</v>
      </c>
      <c r="E8" s="5" t="s">
        <v>33</v>
      </c>
    </row>
    <row r="9" spans="1:5">
      <c r="A9" s="4" t="s">
        <v>49</v>
      </c>
      <c r="B9" s="1" t="s">
        <v>30</v>
      </c>
      <c r="C9" s="5" t="s">
        <v>21</v>
      </c>
      <c r="D9" s="5" t="s">
        <v>50</v>
      </c>
      <c r="E9" s="5" t="s">
        <v>33</v>
      </c>
    </row>
    <row r="10" spans="1:5">
      <c r="A10" s="4" t="s">
        <v>51</v>
      </c>
      <c r="B10" s="1" t="s">
        <v>30</v>
      </c>
      <c r="C10" s="5" t="s">
        <v>4</v>
      </c>
      <c r="D10" s="5" t="s">
        <v>52</v>
      </c>
      <c r="E10" s="5" t="s">
        <v>33</v>
      </c>
    </row>
    <row r="11" spans="1:5">
      <c r="A11" s="4" t="s">
        <v>53</v>
      </c>
      <c r="B11" s="1" t="s">
        <v>30</v>
      </c>
      <c r="C11" s="5" t="s">
        <v>7</v>
      </c>
      <c r="D11" s="5" t="s">
        <v>54</v>
      </c>
      <c r="E11" s="5" t="s">
        <v>33</v>
      </c>
    </row>
    <row r="12" spans="1:5">
      <c r="A12" s="4" t="s">
        <v>55</v>
      </c>
      <c r="B12" s="1" t="s">
        <v>56</v>
      </c>
      <c r="C12" s="5" t="s">
        <v>9</v>
      </c>
      <c r="D12" s="5" t="s">
        <v>54</v>
      </c>
      <c r="E12" s="5" t="s">
        <v>33</v>
      </c>
    </row>
    <row r="13" spans="1:5">
      <c r="A13" s="4" t="s">
        <v>57</v>
      </c>
      <c r="B13" s="1" t="s">
        <v>56</v>
      </c>
      <c r="C13" s="5" t="s">
        <v>58</v>
      </c>
      <c r="D13" s="5" t="s">
        <v>59</v>
      </c>
      <c r="E13" s="5" t="s">
        <v>33</v>
      </c>
    </row>
    <row r="14" spans="1:5">
      <c r="A14" s="4" t="s">
        <v>60</v>
      </c>
      <c r="B14" s="1" t="s">
        <v>56</v>
      </c>
      <c r="C14" s="5" t="s">
        <v>61</v>
      </c>
      <c r="D14" s="5" t="s">
        <v>62</v>
      </c>
      <c r="E14" s="5" t="s">
        <v>33</v>
      </c>
    </row>
    <row r="15" spans="1:5">
      <c r="A15" s="4" t="s">
        <v>63</v>
      </c>
      <c r="B15" s="1" t="s">
        <v>56</v>
      </c>
      <c r="C15" s="5" t="s">
        <v>17</v>
      </c>
      <c r="D15" s="5" t="s">
        <v>64</v>
      </c>
      <c r="E15" s="5" t="s">
        <v>33</v>
      </c>
    </row>
    <row r="16" spans="1:5">
      <c r="A16" s="4" t="s">
        <v>65</v>
      </c>
      <c r="B16" s="1" t="s">
        <v>56</v>
      </c>
      <c r="C16" s="5" t="s">
        <v>66</v>
      </c>
      <c r="D16" s="5" t="s">
        <v>67</v>
      </c>
      <c r="E16" s="5" t="s">
        <v>33</v>
      </c>
    </row>
    <row r="17" spans="1:5">
      <c r="A17" s="4" t="s">
        <v>68</v>
      </c>
      <c r="B17" s="1" t="s">
        <v>56</v>
      </c>
      <c r="C17" s="5" t="s">
        <v>8</v>
      </c>
      <c r="D17" s="5" t="s">
        <v>69</v>
      </c>
      <c r="E17" s="5" t="s">
        <v>33</v>
      </c>
    </row>
    <row r="18" spans="1:5">
      <c r="A18" s="4" t="s">
        <v>70</v>
      </c>
      <c r="B18" s="1" t="s">
        <v>56</v>
      </c>
      <c r="C18" s="5" t="s">
        <v>71</v>
      </c>
      <c r="D18" s="5" t="s">
        <v>59</v>
      </c>
      <c r="E18" s="5" t="s">
        <v>33</v>
      </c>
    </row>
    <row r="19" spans="1:5">
      <c r="A19" s="4" t="s">
        <v>72</v>
      </c>
      <c r="B19" s="1" t="s">
        <v>56</v>
      </c>
      <c r="C19" s="5" t="s">
        <v>73</v>
      </c>
      <c r="D19" s="5" t="s">
        <v>74</v>
      </c>
      <c r="E19" s="5" t="s">
        <v>33</v>
      </c>
    </row>
    <row r="20" spans="1:5">
      <c r="A20" s="4" t="s">
        <v>75</v>
      </c>
      <c r="B20" s="1" t="s">
        <v>56</v>
      </c>
      <c r="C20" s="5" t="s">
        <v>5</v>
      </c>
      <c r="D20" s="5" t="s">
        <v>76</v>
      </c>
      <c r="E20" s="5" t="s">
        <v>33</v>
      </c>
    </row>
    <row r="21" spans="1:5">
      <c r="A21" s="4" t="s">
        <v>77</v>
      </c>
      <c r="B21" s="1" t="s">
        <v>56</v>
      </c>
      <c r="C21" s="5" t="s">
        <v>78</v>
      </c>
      <c r="D21" s="5" t="s">
        <v>79</v>
      </c>
      <c r="E21" s="5" t="s">
        <v>33</v>
      </c>
    </row>
    <row r="22" spans="1:5">
      <c r="A22" s="4" t="s">
        <v>80</v>
      </c>
      <c r="B22" s="1" t="s">
        <v>56</v>
      </c>
      <c r="C22" s="5" t="s">
        <v>81</v>
      </c>
      <c r="D22" s="5" t="s">
        <v>82</v>
      </c>
      <c r="E22" s="5" t="s">
        <v>33</v>
      </c>
    </row>
    <row r="23" spans="1:5">
      <c r="A23" s="4" t="s">
        <v>83</v>
      </c>
      <c r="B23" s="1" t="s">
        <v>56</v>
      </c>
      <c r="C23" s="5" t="s">
        <v>84</v>
      </c>
      <c r="D23" s="5" t="s">
        <v>59</v>
      </c>
      <c r="E23" s="5" t="s">
        <v>33</v>
      </c>
    </row>
    <row r="24" spans="1:5">
      <c r="A24" s="4" t="s">
        <v>85</v>
      </c>
      <c r="B24" s="1" t="s">
        <v>56</v>
      </c>
      <c r="C24" s="5" t="s">
        <v>23</v>
      </c>
      <c r="D24" s="5" t="s">
        <v>54</v>
      </c>
      <c r="E24" s="5" t="s">
        <v>33</v>
      </c>
    </row>
    <row r="25" spans="1:5">
      <c r="A25" s="4" t="s">
        <v>86</v>
      </c>
      <c r="B25" s="1" t="s">
        <v>56</v>
      </c>
      <c r="C25" s="5" t="s">
        <v>87</v>
      </c>
      <c r="D25" s="5" t="s">
        <v>88</v>
      </c>
      <c r="E25" s="5" t="s">
        <v>33</v>
      </c>
    </row>
    <row r="26" spans="1:5">
      <c r="A26" s="4" t="s">
        <v>89</v>
      </c>
      <c r="B26" s="1" t="s">
        <v>56</v>
      </c>
      <c r="C26" s="5" t="s">
        <v>90</v>
      </c>
      <c r="D26" s="5" t="s">
        <v>91</v>
      </c>
      <c r="E26" s="5" t="s">
        <v>33</v>
      </c>
    </row>
    <row r="27" spans="1:5">
      <c r="A27" s="4" t="s">
        <v>92</v>
      </c>
      <c r="B27" s="1" t="s">
        <v>93</v>
      </c>
      <c r="C27" s="5" t="s">
        <v>94</v>
      </c>
      <c r="D27" s="5" t="s">
        <v>82</v>
      </c>
      <c r="E27" s="5" t="s">
        <v>33</v>
      </c>
    </row>
    <row r="28" spans="1:5">
      <c r="A28" s="4" t="s">
        <v>95</v>
      </c>
      <c r="B28" s="1" t="s">
        <v>96</v>
      </c>
      <c r="C28" s="5" t="s">
        <v>97</v>
      </c>
      <c r="D28" s="5" t="s">
        <v>82</v>
      </c>
      <c r="E28" s="5" t="s">
        <v>33</v>
      </c>
    </row>
    <row r="29" spans="1:5">
      <c r="A29" s="4" t="s">
        <v>98</v>
      </c>
      <c r="B29" s="1" t="s">
        <v>93</v>
      </c>
      <c r="C29" s="5" t="s">
        <v>99</v>
      </c>
      <c r="D29" s="5" t="s">
        <v>59</v>
      </c>
      <c r="E29" s="5" t="s">
        <v>33</v>
      </c>
    </row>
    <row r="30" spans="1:5">
      <c r="A30" s="4" t="s">
        <v>100</v>
      </c>
      <c r="B30" s="1" t="s">
        <v>96</v>
      </c>
      <c r="C30" s="5" t="s">
        <v>101</v>
      </c>
      <c r="D30" s="5" t="s">
        <v>59</v>
      </c>
      <c r="E30" s="5" t="s">
        <v>33</v>
      </c>
    </row>
    <row r="31" spans="1:5">
      <c r="A31" s="4" t="s">
        <v>102</v>
      </c>
      <c r="B31" s="1" t="s">
        <v>93</v>
      </c>
      <c r="C31" s="5" t="s">
        <v>103</v>
      </c>
      <c r="D31" s="5" t="s">
        <v>54</v>
      </c>
      <c r="E31" s="5" t="s">
        <v>33</v>
      </c>
    </row>
    <row r="32" spans="1:5">
      <c r="A32" s="4" t="s">
        <v>104</v>
      </c>
      <c r="B32" s="1" t="s">
        <v>96</v>
      </c>
      <c r="C32" s="5" t="s">
        <v>105</v>
      </c>
      <c r="D32" s="5" t="s">
        <v>54</v>
      </c>
      <c r="E32" s="5" t="s">
        <v>33</v>
      </c>
    </row>
    <row r="33" spans="1:5">
      <c r="A33" s="4" t="s">
        <v>106</v>
      </c>
      <c r="B33" s="1" t="s">
        <v>93</v>
      </c>
      <c r="C33" s="5" t="s">
        <v>107</v>
      </c>
      <c r="D33" s="5" t="s">
        <v>82</v>
      </c>
      <c r="E33" s="5" t="s">
        <v>33</v>
      </c>
    </row>
    <row r="34" spans="1:5">
      <c r="A34" s="4" t="s">
        <v>108</v>
      </c>
      <c r="B34" s="1" t="s">
        <v>96</v>
      </c>
      <c r="C34" s="5" t="s">
        <v>109</v>
      </c>
      <c r="D34" s="5" t="s">
        <v>82</v>
      </c>
      <c r="E34" s="5" t="s">
        <v>33</v>
      </c>
    </row>
    <row r="35" spans="1:5">
      <c r="A35" s="4" t="s">
        <v>110</v>
      </c>
      <c r="B35" s="1" t="s">
        <v>111</v>
      </c>
      <c r="C35" s="5" t="s">
        <v>81</v>
      </c>
      <c r="D35" s="5" t="s">
        <v>82</v>
      </c>
      <c r="E35" s="5" t="s">
        <v>33</v>
      </c>
    </row>
    <row r="36" spans="1:5">
      <c r="A36" s="4" t="s">
        <v>112</v>
      </c>
      <c r="B36" s="1" t="s">
        <v>93</v>
      </c>
      <c r="C36" s="5" t="s">
        <v>113</v>
      </c>
      <c r="D36" s="5" t="s">
        <v>59</v>
      </c>
      <c r="E36" s="5" t="s">
        <v>33</v>
      </c>
    </row>
    <row r="37" spans="1:5">
      <c r="A37" s="4" t="s">
        <v>114</v>
      </c>
      <c r="B37" s="1" t="s">
        <v>96</v>
      </c>
      <c r="C37" s="5" t="s">
        <v>115</v>
      </c>
      <c r="D37" s="5" t="s">
        <v>59</v>
      </c>
      <c r="E37" s="5" t="s">
        <v>33</v>
      </c>
    </row>
    <row r="38" spans="1:5">
      <c r="A38" s="4" t="s">
        <v>116</v>
      </c>
      <c r="B38" s="1" t="s">
        <v>111</v>
      </c>
      <c r="C38" s="5" t="s">
        <v>84</v>
      </c>
      <c r="D38" s="5" t="s">
        <v>59</v>
      </c>
      <c r="E38" s="5" t="s">
        <v>33</v>
      </c>
    </row>
    <row r="39" spans="1:5">
      <c r="A39" s="4" t="s">
        <v>117</v>
      </c>
      <c r="B39" s="1" t="s">
        <v>93</v>
      </c>
      <c r="C39" s="5" t="s">
        <v>118</v>
      </c>
      <c r="D39" s="5" t="s">
        <v>54</v>
      </c>
      <c r="E39" s="5" t="s">
        <v>33</v>
      </c>
    </row>
    <row r="40" spans="1:5">
      <c r="A40" s="4" t="s">
        <v>119</v>
      </c>
      <c r="B40" s="1" t="s">
        <v>96</v>
      </c>
      <c r="C40" s="5" t="s">
        <v>120</v>
      </c>
      <c r="D40" s="5" t="s">
        <v>54</v>
      </c>
      <c r="E40" s="5" t="s">
        <v>33</v>
      </c>
    </row>
    <row r="41" spans="1:5">
      <c r="A41" s="4" t="s">
        <v>121</v>
      </c>
      <c r="B41" s="1" t="s">
        <v>111</v>
      </c>
      <c r="C41" s="5" t="s">
        <v>23</v>
      </c>
      <c r="D41" s="5" t="s">
        <v>54</v>
      </c>
      <c r="E41" s="5" t="s">
        <v>33</v>
      </c>
    </row>
    <row r="42" spans="1:5">
      <c r="A42" s="4" t="s">
        <v>122</v>
      </c>
      <c r="B42" s="1" t="s">
        <v>93</v>
      </c>
      <c r="C42" s="5" t="s">
        <v>123</v>
      </c>
      <c r="D42" s="5" t="s">
        <v>124</v>
      </c>
      <c r="E42" s="5" t="s">
        <v>33</v>
      </c>
    </row>
    <row r="43" spans="1:5">
      <c r="A43" s="4" t="s">
        <v>125</v>
      </c>
      <c r="B43" s="1" t="s">
        <v>96</v>
      </c>
      <c r="C43" s="5" t="s">
        <v>5</v>
      </c>
      <c r="D43" s="5" t="s">
        <v>76</v>
      </c>
      <c r="E43" s="5" t="s">
        <v>33</v>
      </c>
    </row>
    <row r="44" spans="1:5">
      <c r="A44" s="4" t="s">
        <v>126</v>
      </c>
      <c r="B44" s="1" t="s">
        <v>111</v>
      </c>
      <c r="C44" s="5" t="s">
        <v>15</v>
      </c>
      <c r="D44" s="5" t="s">
        <v>76</v>
      </c>
      <c r="E44" s="5" t="s">
        <v>33</v>
      </c>
    </row>
    <row r="45" spans="1:5">
      <c r="A45" s="4" t="s">
        <v>127</v>
      </c>
      <c r="B45" s="1" t="s">
        <v>96</v>
      </c>
      <c r="C45" s="5" t="s">
        <v>128</v>
      </c>
      <c r="D45" s="5" t="s">
        <v>129</v>
      </c>
      <c r="E45" s="5" t="s">
        <v>33</v>
      </c>
    </row>
    <row r="46" spans="1:5">
      <c r="A46" s="4" t="s">
        <v>130</v>
      </c>
      <c r="B46" s="1" t="s">
        <v>111</v>
      </c>
      <c r="C46" s="5" t="s">
        <v>131</v>
      </c>
      <c r="D46" s="5" t="s">
        <v>76</v>
      </c>
      <c r="E46" s="5" t="s">
        <v>33</v>
      </c>
    </row>
    <row r="47" spans="1:5">
      <c r="A47" s="4" t="s">
        <v>132</v>
      </c>
      <c r="B47" s="1" t="s">
        <v>111</v>
      </c>
      <c r="C47" s="5" t="s">
        <v>133</v>
      </c>
      <c r="D47" s="5" t="s">
        <v>32</v>
      </c>
      <c r="E47" s="5" t="s">
        <v>33</v>
      </c>
    </row>
    <row r="48" spans="1:5">
      <c r="A48" s="4" t="s">
        <v>134</v>
      </c>
      <c r="B48" s="1" t="s">
        <v>111</v>
      </c>
      <c r="C48" s="5" t="s">
        <v>135</v>
      </c>
      <c r="D48" s="5" t="s">
        <v>82</v>
      </c>
      <c r="E48" s="5" t="s">
        <v>33</v>
      </c>
    </row>
    <row r="49" spans="1:5">
      <c r="A49" s="4" t="s">
        <v>136</v>
      </c>
      <c r="B49" s="1" t="s">
        <v>111</v>
      </c>
      <c r="C49" s="5" t="s">
        <v>137</v>
      </c>
      <c r="D49" s="5" t="s">
        <v>138</v>
      </c>
      <c r="E49" s="5" t="s">
        <v>33</v>
      </c>
    </row>
    <row r="50" spans="1:5">
      <c r="A50" s="4" t="s">
        <v>139</v>
      </c>
      <c r="B50" s="1" t="s">
        <v>96</v>
      </c>
      <c r="C50" s="5" t="s">
        <v>140</v>
      </c>
      <c r="D50" s="5" t="s">
        <v>141</v>
      </c>
      <c r="E50" s="5" t="s">
        <v>33</v>
      </c>
    </row>
    <row r="51" spans="1:5">
      <c r="A51" s="4" t="s">
        <v>142</v>
      </c>
      <c r="B51" s="1" t="s">
        <v>111</v>
      </c>
      <c r="C51" s="5" t="s">
        <v>143</v>
      </c>
      <c r="D51" s="5" t="s">
        <v>141</v>
      </c>
      <c r="E51" s="5" t="s">
        <v>33</v>
      </c>
    </row>
    <row r="52" spans="1:5">
      <c r="A52" s="4" t="s">
        <v>144</v>
      </c>
      <c r="B52" s="1" t="s">
        <v>93</v>
      </c>
      <c r="C52" s="5" t="s">
        <v>145</v>
      </c>
      <c r="D52" s="5" t="s">
        <v>146</v>
      </c>
      <c r="E52" s="5" t="s">
        <v>33</v>
      </c>
    </row>
    <row r="53" spans="1:5">
      <c r="A53" s="4" t="s">
        <v>147</v>
      </c>
      <c r="B53" s="1" t="s">
        <v>96</v>
      </c>
      <c r="C53" s="5" t="s">
        <v>16</v>
      </c>
      <c r="D53" s="5" t="s">
        <v>146</v>
      </c>
      <c r="E53" s="5" t="s">
        <v>33</v>
      </c>
    </row>
    <row r="54" spans="1:5">
      <c r="A54" s="4" t="s">
        <v>148</v>
      </c>
      <c r="B54" s="1" t="s">
        <v>93</v>
      </c>
      <c r="C54" s="5" t="s">
        <v>149</v>
      </c>
      <c r="D54" s="5" t="s">
        <v>150</v>
      </c>
      <c r="E54" s="5" t="s">
        <v>33</v>
      </c>
    </row>
    <row r="55" spans="1:5">
      <c r="A55" s="4" t="s">
        <v>151</v>
      </c>
      <c r="B55" s="1" t="s">
        <v>111</v>
      </c>
      <c r="C55" s="5" t="s">
        <v>24</v>
      </c>
      <c r="D55" s="5" t="s">
        <v>150</v>
      </c>
      <c r="E55" s="5" t="s">
        <v>33</v>
      </c>
    </row>
    <row r="56" spans="1:5">
      <c r="A56" s="4" t="s">
        <v>152</v>
      </c>
      <c r="B56" s="1" t="s">
        <v>96</v>
      </c>
      <c r="C56" s="5" t="s">
        <v>153</v>
      </c>
      <c r="D56" s="5" t="s">
        <v>154</v>
      </c>
      <c r="E56" s="5" t="s">
        <v>33</v>
      </c>
    </row>
    <row r="57" spans="1:5">
      <c r="A57" s="4" t="s">
        <v>155</v>
      </c>
      <c r="B57" s="1" t="s">
        <v>111</v>
      </c>
      <c r="C57" s="5" t="s">
        <v>156</v>
      </c>
      <c r="D57" s="5" t="s">
        <v>154</v>
      </c>
      <c r="E57" s="5" t="s">
        <v>33</v>
      </c>
    </row>
    <row r="58" spans="1:5">
      <c r="A58" s="4" t="s">
        <v>157</v>
      </c>
      <c r="B58" s="1" t="s">
        <v>93</v>
      </c>
      <c r="C58" s="5" t="s">
        <v>158</v>
      </c>
      <c r="D58" s="5" t="s">
        <v>88</v>
      </c>
      <c r="E58" s="5" t="s">
        <v>33</v>
      </c>
    </row>
    <row r="59" spans="1:5">
      <c r="A59" s="4" t="s">
        <v>159</v>
      </c>
      <c r="B59" s="1" t="s">
        <v>96</v>
      </c>
      <c r="C59" s="5" t="s">
        <v>160</v>
      </c>
      <c r="D59" s="5" t="s">
        <v>88</v>
      </c>
      <c r="E59" s="5" t="s">
        <v>33</v>
      </c>
    </row>
    <row r="60" spans="1:5">
      <c r="A60" s="4" t="s">
        <v>161</v>
      </c>
      <c r="B60" s="1" t="s">
        <v>111</v>
      </c>
      <c r="C60" s="5" t="s">
        <v>87</v>
      </c>
      <c r="D60" s="5" t="s">
        <v>88</v>
      </c>
      <c r="E60" s="5" t="s">
        <v>33</v>
      </c>
    </row>
    <row r="61" spans="1:5">
      <c r="A61" s="4" t="s">
        <v>162</v>
      </c>
      <c r="B61" s="1" t="s">
        <v>93</v>
      </c>
      <c r="C61" s="5" t="s">
        <v>163</v>
      </c>
      <c r="D61" s="5" t="s">
        <v>164</v>
      </c>
      <c r="E61" s="5" t="s">
        <v>33</v>
      </c>
    </row>
    <row r="62" spans="1:5">
      <c r="A62" s="4" t="s">
        <v>165</v>
      </c>
      <c r="B62" s="1" t="s">
        <v>96</v>
      </c>
      <c r="C62" s="5" t="s">
        <v>166</v>
      </c>
      <c r="D62" s="5" t="s">
        <v>167</v>
      </c>
      <c r="E62" s="5" t="s">
        <v>33</v>
      </c>
    </row>
    <row r="63" spans="1:5">
      <c r="A63" s="4" t="s">
        <v>168</v>
      </c>
      <c r="B63" s="1" t="s">
        <v>111</v>
      </c>
      <c r="C63" s="5" t="s">
        <v>169</v>
      </c>
      <c r="D63" s="5" t="s">
        <v>167</v>
      </c>
      <c r="E63" s="5" t="s">
        <v>33</v>
      </c>
    </row>
    <row r="64" spans="1:5">
      <c r="A64" s="4" t="s">
        <v>170</v>
      </c>
      <c r="B64" s="1" t="s">
        <v>93</v>
      </c>
      <c r="C64" s="5" t="s">
        <v>171</v>
      </c>
      <c r="D64" s="5" t="s">
        <v>67</v>
      </c>
      <c r="E64" s="5" t="s">
        <v>33</v>
      </c>
    </row>
    <row r="65" spans="1:5">
      <c r="A65" s="4" t="s">
        <v>172</v>
      </c>
      <c r="B65" s="1" t="s">
        <v>111</v>
      </c>
      <c r="C65" s="5" t="s">
        <v>18</v>
      </c>
      <c r="D65" s="5" t="s">
        <v>67</v>
      </c>
      <c r="E65" s="5" t="s">
        <v>33</v>
      </c>
    </row>
    <row r="66" spans="1:5">
      <c r="A66" s="4" t="s">
        <v>173</v>
      </c>
      <c r="B66" s="1" t="s">
        <v>93</v>
      </c>
      <c r="C66" s="5" t="s">
        <v>174</v>
      </c>
      <c r="D66" s="5" t="s">
        <v>82</v>
      </c>
      <c r="E66" s="5" t="s">
        <v>33</v>
      </c>
    </row>
    <row r="67" spans="1:5">
      <c r="A67" s="4" t="s">
        <v>175</v>
      </c>
      <c r="B67" s="1" t="s">
        <v>111</v>
      </c>
      <c r="C67" s="5" t="s">
        <v>176</v>
      </c>
      <c r="D67" s="5" t="s">
        <v>82</v>
      </c>
      <c r="E67" s="5" t="s">
        <v>33</v>
      </c>
    </row>
    <row r="68" spans="1:5">
      <c r="A68" s="4" t="s">
        <v>177</v>
      </c>
      <c r="B68" s="1" t="s">
        <v>111</v>
      </c>
      <c r="C68" s="5" t="s">
        <v>178</v>
      </c>
      <c r="D68" s="5" t="s">
        <v>179</v>
      </c>
      <c r="E68" s="5" t="s">
        <v>33</v>
      </c>
    </row>
    <row r="69" spans="1:5">
      <c r="A69" s="4" t="s">
        <v>180</v>
      </c>
      <c r="B69" s="1" t="s">
        <v>96</v>
      </c>
      <c r="C69" s="5" t="s">
        <v>181</v>
      </c>
      <c r="D69" s="5" t="s">
        <v>182</v>
      </c>
      <c r="E69" s="5" t="s">
        <v>33</v>
      </c>
    </row>
    <row r="70" spans="1:5">
      <c r="A70" s="4" t="s">
        <v>183</v>
      </c>
      <c r="B70" s="1" t="s">
        <v>93</v>
      </c>
      <c r="C70" s="5" t="s">
        <v>184</v>
      </c>
      <c r="D70" s="5" t="s">
        <v>185</v>
      </c>
      <c r="E70" s="5" t="s">
        <v>33</v>
      </c>
    </row>
    <row r="71" spans="1:5">
      <c r="A71" s="4" t="s">
        <v>186</v>
      </c>
      <c r="B71" s="1" t="s">
        <v>111</v>
      </c>
      <c r="C71" s="5" t="s">
        <v>187</v>
      </c>
      <c r="D71" s="5" t="s">
        <v>185</v>
      </c>
      <c r="E71" s="5" t="s">
        <v>33</v>
      </c>
    </row>
    <row r="72" spans="1:5">
      <c r="A72" s="6" t="s">
        <v>188</v>
      </c>
      <c r="B72" s="1" t="s">
        <v>30</v>
      </c>
      <c r="C72" s="7" t="s">
        <v>189</v>
      </c>
      <c r="D72" s="7" t="s">
        <v>54</v>
      </c>
      <c r="E72" s="7" t="s">
        <v>190</v>
      </c>
    </row>
    <row r="73" spans="1:5">
      <c r="A73" s="6" t="s">
        <v>191</v>
      </c>
      <c r="B73" s="1" t="s">
        <v>30</v>
      </c>
      <c r="C73" s="7" t="s">
        <v>192</v>
      </c>
      <c r="D73" s="7" t="s">
        <v>154</v>
      </c>
      <c r="E73" s="7" t="s">
        <v>190</v>
      </c>
    </row>
    <row r="74" spans="1:5">
      <c r="A74" s="6" t="s">
        <v>193</v>
      </c>
      <c r="B74" s="1" t="s">
        <v>30</v>
      </c>
      <c r="C74" s="7" t="s">
        <v>194</v>
      </c>
      <c r="D74" s="7" t="s">
        <v>195</v>
      </c>
      <c r="E74" s="7" t="s">
        <v>190</v>
      </c>
    </row>
    <row r="75" spans="1:5">
      <c r="A75" s="6" t="s">
        <v>196</v>
      </c>
      <c r="B75" s="1" t="s">
        <v>30</v>
      </c>
      <c r="C75" s="7" t="s">
        <v>5</v>
      </c>
      <c r="D75" s="7" t="s">
        <v>76</v>
      </c>
      <c r="E75" s="7" t="s">
        <v>190</v>
      </c>
    </row>
    <row r="76" spans="1:5">
      <c r="A76" s="6" t="s">
        <v>197</v>
      </c>
      <c r="B76" s="1" t="s">
        <v>30</v>
      </c>
      <c r="C76" s="7" t="s">
        <v>198</v>
      </c>
      <c r="D76" s="7" t="s">
        <v>129</v>
      </c>
      <c r="E76" s="7" t="s">
        <v>190</v>
      </c>
    </row>
    <row r="77" spans="1:5">
      <c r="A77" s="6" t="s">
        <v>199</v>
      </c>
      <c r="B77" s="1" t="s">
        <v>30</v>
      </c>
      <c r="C77" s="7" t="s">
        <v>200</v>
      </c>
      <c r="D77" s="7" t="s">
        <v>201</v>
      </c>
      <c r="E77" s="7" t="s">
        <v>190</v>
      </c>
    </row>
    <row r="78" spans="1:5">
      <c r="A78" s="6" t="s">
        <v>202</v>
      </c>
      <c r="B78" s="1" t="s">
        <v>30</v>
      </c>
      <c r="C78" s="7" t="s">
        <v>10</v>
      </c>
      <c r="D78" s="7" t="s">
        <v>203</v>
      </c>
      <c r="E78" s="7" t="s">
        <v>190</v>
      </c>
    </row>
    <row r="79" spans="1:5">
      <c r="A79" s="6" t="s">
        <v>204</v>
      </c>
      <c r="B79" s="1" t="s">
        <v>30</v>
      </c>
      <c r="C79" s="7" t="s">
        <v>205</v>
      </c>
      <c r="D79" s="7" t="s">
        <v>206</v>
      </c>
      <c r="E79" s="7" t="s">
        <v>190</v>
      </c>
    </row>
    <row r="80" spans="1:5">
      <c r="A80" s="6" t="s">
        <v>207</v>
      </c>
      <c r="B80" s="1" t="s">
        <v>30</v>
      </c>
      <c r="C80" s="7" t="s">
        <v>208</v>
      </c>
      <c r="D80" s="7" t="s">
        <v>209</v>
      </c>
      <c r="E80" s="7" t="s">
        <v>190</v>
      </c>
    </row>
    <row r="81" spans="1:5">
      <c r="A81" s="6" t="s">
        <v>210</v>
      </c>
      <c r="B81" s="1" t="s">
        <v>30</v>
      </c>
      <c r="C81" s="7" t="s">
        <v>211</v>
      </c>
      <c r="D81" s="7" t="s">
        <v>212</v>
      </c>
      <c r="E81" s="7" t="s">
        <v>190</v>
      </c>
    </row>
    <row r="82" spans="1:5">
      <c r="A82" s="6" t="s">
        <v>213</v>
      </c>
      <c r="B82" s="1" t="s">
        <v>56</v>
      </c>
      <c r="C82" s="7" t="s">
        <v>131</v>
      </c>
      <c r="D82" s="7" t="s">
        <v>76</v>
      </c>
      <c r="E82" s="7" t="s">
        <v>190</v>
      </c>
    </row>
    <row r="83" spans="1:5">
      <c r="A83" s="6" t="s">
        <v>214</v>
      </c>
      <c r="B83" s="1" t="s">
        <v>56</v>
      </c>
      <c r="C83" s="7" t="s">
        <v>133</v>
      </c>
      <c r="D83" s="7" t="s">
        <v>32</v>
      </c>
      <c r="E83" s="7" t="s">
        <v>190</v>
      </c>
    </row>
    <row r="84" spans="1:5">
      <c r="A84" s="6" t="s">
        <v>215</v>
      </c>
      <c r="B84" s="1" t="s">
        <v>56</v>
      </c>
      <c r="C84" s="7" t="s">
        <v>135</v>
      </c>
      <c r="D84" s="7" t="s">
        <v>82</v>
      </c>
      <c r="E84" s="7" t="s">
        <v>190</v>
      </c>
    </row>
    <row r="85" spans="1:5">
      <c r="A85" s="6" t="s">
        <v>216</v>
      </c>
      <c r="B85" s="1" t="s">
        <v>56</v>
      </c>
      <c r="C85" s="7" t="s">
        <v>137</v>
      </c>
      <c r="D85" s="7" t="s">
        <v>138</v>
      </c>
      <c r="E85" s="7" t="s">
        <v>190</v>
      </c>
    </row>
    <row r="86" spans="1:5">
      <c r="A86" s="6" t="s">
        <v>217</v>
      </c>
      <c r="B86" s="1" t="s">
        <v>56</v>
      </c>
      <c r="C86" s="7" t="s">
        <v>2</v>
      </c>
      <c r="D86" s="7" t="s">
        <v>218</v>
      </c>
      <c r="E86" s="7" t="s">
        <v>190</v>
      </c>
    </row>
    <row r="87" spans="1:5">
      <c r="A87" s="6" t="s">
        <v>219</v>
      </c>
      <c r="B87" s="1" t="s">
        <v>56</v>
      </c>
      <c r="C87" s="7" t="s">
        <v>220</v>
      </c>
      <c r="D87" s="7" t="s">
        <v>221</v>
      </c>
      <c r="E87" s="7" t="s">
        <v>190</v>
      </c>
    </row>
    <row r="88" spans="1:5">
      <c r="A88" s="6" t="s">
        <v>222</v>
      </c>
      <c r="B88" s="1" t="s">
        <v>56</v>
      </c>
      <c r="C88" s="7" t="s">
        <v>20</v>
      </c>
      <c r="D88" s="7" t="s">
        <v>223</v>
      </c>
      <c r="E88" s="7" t="s">
        <v>190</v>
      </c>
    </row>
    <row r="89" spans="1:5">
      <c r="A89" s="6" t="s">
        <v>224</v>
      </c>
      <c r="B89" s="1" t="s">
        <v>56</v>
      </c>
      <c r="C89" s="7" t="s">
        <v>11</v>
      </c>
      <c r="D89" s="7" t="s">
        <v>225</v>
      </c>
      <c r="E89" s="7" t="s">
        <v>190</v>
      </c>
    </row>
    <row r="90" spans="1:5">
      <c r="A90" s="6" t="s">
        <v>226</v>
      </c>
      <c r="B90" s="1" t="s">
        <v>56</v>
      </c>
      <c r="C90" s="7" t="s">
        <v>227</v>
      </c>
      <c r="D90" s="7" t="s">
        <v>228</v>
      </c>
      <c r="E90" s="7" t="s">
        <v>190</v>
      </c>
    </row>
    <row r="91" spans="1:5">
      <c r="A91" s="6" t="s">
        <v>229</v>
      </c>
      <c r="B91" s="1" t="s">
        <v>56</v>
      </c>
      <c r="C91" s="7" t="s">
        <v>19</v>
      </c>
      <c r="D91" s="7" t="s">
        <v>43</v>
      </c>
      <c r="E91" s="7" t="s">
        <v>190</v>
      </c>
    </row>
    <row r="92" spans="1:5">
      <c r="A92" s="6" t="s">
        <v>230</v>
      </c>
      <c r="B92" s="1" t="s">
        <v>56</v>
      </c>
      <c r="C92" s="7" t="s">
        <v>3</v>
      </c>
      <c r="D92" s="7" t="s">
        <v>45</v>
      </c>
      <c r="E92" s="7" t="s">
        <v>190</v>
      </c>
    </row>
    <row r="93" spans="1:5">
      <c r="A93" s="6" t="s">
        <v>231</v>
      </c>
      <c r="B93" s="1" t="s">
        <v>56</v>
      </c>
      <c r="C93" s="7" t="s">
        <v>232</v>
      </c>
      <c r="D93" s="7" t="s">
        <v>233</v>
      </c>
      <c r="E93" s="7" t="s">
        <v>190</v>
      </c>
    </row>
    <row r="94" spans="1:5">
      <c r="A94" s="6" t="s">
        <v>234</v>
      </c>
      <c r="B94" s="1" t="s">
        <v>56</v>
      </c>
      <c r="C94" s="7" t="s">
        <v>235</v>
      </c>
      <c r="D94" s="7" t="s">
        <v>233</v>
      </c>
      <c r="E94" s="7" t="s">
        <v>190</v>
      </c>
    </row>
    <row r="95" spans="1:5">
      <c r="A95" s="6" t="s">
        <v>236</v>
      </c>
      <c r="B95" s="1" t="s">
        <v>56</v>
      </c>
      <c r="C95" s="7" t="s">
        <v>237</v>
      </c>
      <c r="D95" s="7" t="s">
        <v>138</v>
      </c>
      <c r="E95" s="7" t="s">
        <v>190</v>
      </c>
    </row>
    <row r="96" spans="1:5">
      <c r="A96" s="6" t="s">
        <v>238</v>
      </c>
      <c r="B96" s="1" t="s">
        <v>56</v>
      </c>
      <c r="C96" s="7" t="s">
        <v>239</v>
      </c>
      <c r="D96" s="7" t="s">
        <v>240</v>
      </c>
      <c r="E96" s="7" t="s">
        <v>190</v>
      </c>
    </row>
    <row r="97" spans="1:5">
      <c r="A97" s="6" t="s">
        <v>241</v>
      </c>
      <c r="B97" s="1" t="s">
        <v>111</v>
      </c>
      <c r="C97" s="7" t="s">
        <v>242</v>
      </c>
      <c r="D97" s="7" t="s">
        <v>243</v>
      </c>
      <c r="E97" s="7" t="s">
        <v>190</v>
      </c>
    </row>
    <row r="98" spans="1:5">
      <c r="A98" s="6" t="s">
        <v>244</v>
      </c>
      <c r="B98" s="1" t="s">
        <v>111</v>
      </c>
      <c r="C98" s="7" t="s">
        <v>245</v>
      </c>
      <c r="D98" s="7" t="s">
        <v>246</v>
      </c>
      <c r="E98" s="7" t="s">
        <v>190</v>
      </c>
    </row>
    <row r="99" spans="1:5">
      <c r="A99" s="6" t="s">
        <v>247</v>
      </c>
      <c r="B99" s="1" t="s">
        <v>111</v>
      </c>
      <c r="C99" s="7" t="s">
        <v>248</v>
      </c>
      <c r="D99" s="7" t="s">
        <v>91</v>
      </c>
      <c r="E99" s="7" t="s">
        <v>190</v>
      </c>
    </row>
    <row r="100" spans="1:5">
      <c r="A100" s="6" t="s">
        <v>249</v>
      </c>
      <c r="B100" s="1" t="s">
        <v>93</v>
      </c>
      <c r="C100" s="7" t="s">
        <v>250</v>
      </c>
      <c r="D100" s="7" t="s">
        <v>59</v>
      </c>
      <c r="E100" s="7" t="s">
        <v>190</v>
      </c>
    </row>
    <row r="101" spans="1:5">
      <c r="A101" s="6" t="s">
        <v>251</v>
      </c>
      <c r="B101" s="1" t="s">
        <v>93</v>
      </c>
      <c r="C101" s="7" t="s">
        <v>252</v>
      </c>
      <c r="D101" s="7" t="s">
        <v>212</v>
      </c>
      <c r="E101" s="7" t="s">
        <v>190</v>
      </c>
    </row>
    <row r="102" spans="1:5">
      <c r="A102" s="6" t="s">
        <v>253</v>
      </c>
      <c r="B102" s="1" t="s">
        <v>93</v>
      </c>
      <c r="C102" s="7" t="s">
        <v>254</v>
      </c>
      <c r="D102" s="7" t="s">
        <v>76</v>
      </c>
      <c r="E102" s="7" t="s">
        <v>190</v>
      </c>
    </row>
    <row r="103" spans="1:5">
      <c r="A103" s="6" t="s">
        <v>255</v>
      </c>
      <c r="B103" s="1" t="s">
        <v>93</v>
      </c>
      <c r="C103" s="7" t="s">
        <v>256</v>
      </c>
      <c r="D103" s="7" t="s">
        <v>82</v>
      </c>
      <c r="E103" s="7" t="s">
        <v>190</v>
      </c>
    </row>
    <row r="104" spans="1:5">
      <c r="A104" s="6" t="s">
        <v>257</v>
      </c>
      <c r="B104" s="1" t="s">
        <v>96</v>
      </c>
      <c r="C104" s="7" t="s">
        <v>258</v>
      </c>
      <c r="D104" s="7" t="s">
        <v>82</v>
      </c>
      <c r="E104" s="7" t="s">
        <v>190</v>
      </c>
    </row>
    <row r="105" spans="1:5">
      <c r="A105" s="6" t="s">
        <v>259</v>
      </c>
      <c r="B105" s="1" t="s">
        <v>111</v>
      </c>
      <c r="C105" s="7" t="s">
        <v>220</v>
      </c>
      <c r="D105" s="7" t="s">
        <v>221</v>
      </c>
      <c r="E105" s="7" t="s">
        <v>190</v>
      </c>
    </row>
    <row r="106" spans="1:5">
      <c r="A106" s="6" t="s">
        <v>260</v>
      </c>
      <c r="B106" s="1" t="s">
        <v>93</v>
      </c>
      <c r="C106" s="7" t="s">
        <v>261</v>
      </c>
      <c r="D106" s="7" t="s">
        <v>59</v>
      </c>
      <c r="E106" s="7" t="s">
        <v>190</v>
      </c>
    </row>
    <row r="107" spans="1:5">
      <c r="A107" s="6" t="s">
        <v>262</v>
      </c>
      <c r="B107" s="1" t="s">
        <v>96</v>
      </c>
      <c r="C107" s="7" t="s">
        <v>263</v>
      </c>
      <c r="D107" s="7" t="s">
        <v>223</v>
      </c>
      <c r="E107" s="7" t="s">
        <v>190</v>
      </c>
    </row>
    <row r="108" spans="1:5">
      <c r="A108" s="6" t="s">
        <v>264</v>
      </c>
      <c r="B108" s="1" t="s">
        <v>111</v>
      </c>
      <c r="C108" s="7" t="s">
        <v>20</v>
      </c>
      <c r="D108" s="7" t="s">
        <v>223</v>
      </c>
      <c r="E108" s="7" t="s">
        <v>190</v>
      </c>
    </row>
    <row r="109" spans="1:5">
      <c r="A109" s="6" t="s">
        <v>265</v>
      </c>
      <c r="B109" s="1" t="s">
        <v>93</v>
      </c>
      <c r="C109" s="7" t="s">
        <v>13</v>
      </c>
      <c r="D109" s="7" t="s">
        <v>54</v>
      </c>
      <c r="E109" s="7" t="s">
        <v>190</v>
      </c>
    </row>
    <row r="110" spans="1:5">
      <c r="A110" s="6" t="s">
        <v>266</v>
      </c>
      <c r="B110" s="1" t="s">
        <v>96</v>
      </c>
      <c r="C110" s="7" t="s">
        <v>267</v>
      </c>
      <c r="D110" s="7" t="s">
        <v>54</v>
      </c>
      <c r="E110" s="7" t="s">
        <v>190</v>
      </c>
    </row>
    <row r="111" spans="1:5">
      <c r="A111" s="6" t="s">
        <v>268</v>
      </c>
      <c r="B111" s="1" t="s">
        <v>111</v>
      </c>
      <c r="C111" s="7" t="s">
        <v>11</v>
      </c>
      <c r="D111" s="7" t="s">
        <v>225</v>
      </c>
      <c r="E111" s="7" t="s">
        <v>190</v>
      </c>
    </row>
    <row r="112" spans="1:5">
      <c r="A112" s="6" t="s">
        <v>269</v>
      </c>
      <c r="B112" s="1" t="s">
        <v>111</v>
      </c>
      <c r="C112" s="7" t="s">
        <v>9</v>
      </c>
      <c r="D112" s="7" t="s">
        <v>54</v>
      </c>
      <c r="E112" s="7" t="s">
        <v>190</v>
      </c>
    </row>
    <row r="113" spans="1:5">
      <c r="A113" s="6" t="s">
        <v>270</v>
      </c>
      <c r="B113" s="1" t="s">
        <v>111</v>
      </c>
      <c r="C113" s="7" t="s">
        <v>58</v>
      </c>
      <c r="D113" s="7" t="s">
        <v>59</v>
      </c>
      <c r="E113" s="7" t="s">
        <v>190</v>
      </c>
    </row>
    <row r="114" spans="1:5">
      <c r="A114" s="6" t="s">
        <v>271</v>
      </c>
      <c r="B114" s="1" t="s">
        <v>111</v>
      </c>
      <c r="C114" s="7" t="s">
        <v>61</v>
      </c>
      <c r="D114" s="7" t="s">
        <v>62</v>
      </c>
      <c r="E114" s="7" t="s">
        <v>190</v>
      </c>
    </row>
    <row r="115" spans="1:5">
      <c r="A115" s="6" t="s">
        <v>272</v>
      </c>
      <c r="B115" s="1" t="s">
        <v>111</v>
      </c>
      <c r="C115" s="7" t="s">
        <v>17</v>
      </c>
      <c r="D115" s="7" t="s">
        <v>64</v>
      </c>
      <c r="E115" s="7" t="s">
        <v>190</v>
      </c>
    </row>
    <row r="116" spans="1:5">
      <c r="A116" s="6" t="s">
        <v>273</v>
      </c>
      <c r="B116" s="1" t="s">
        <v>93</v>
      </c>
      <c r="C116" s="7" t="s">
        <v>274</v>
      </c>
      <c r="D116" s="7" t="s">
        <v>76</v>
      </c>
      <c r="E116" s="7" t="s">
        <v>190</v>
      </c>
    </row>
    <row r="117" spans="1:5">
      <c r="A117" s="6" t="s">
        <v>275</v>
      </c>
      <c r="B117" s="1" t="s">
        <v>111</v>
      </c>
      <c r="C117" s="7" t="s">
        <v>276</v>
      </c>
      <c r="D117" s="7" t="s">
        <v>76</v>
      </c>
      <c r="E117" s="7" t="s">
        <v>190</v>
      </c>
    </row>
    <row r="118" spans="1:5">
      <c r="A118" s="6" t="s">
        <v>277</v>
      </c>
      <c r="B118" s="1" t="s">
        <v>93</v>
      </c>
      <c r="C118" s="7" t="s">
        <v>278</v>
      </c>
      <c r="D118" s="7" t="s">
        <v>67</v>
      </c>
      <c r="E118" s="7" t="s">
        <v>190</v>
      </c>
    </row>
    <row r="119" spans="1:5">
      <c r="A119" s="6" t="s">
        <v>279</v>
      </c>
      <c r="B119" s="1" t="s">
        <v>96</v>
      </c>
      <c r="C119" s="7" t="s">
        <v>280</v>
      </c>
      <c r="D119" s="7" t="s">
        <v>67</v>
      </c>
      <c r="E119" s="7" t="s">
        <v>190</v>
      </c>
    </row>
    <row r="120" spans="1:5">
      <c r="A120" s="6" t="s">
        <v>281</v>
      </c>
      <c r="B120" s="1" t="s">
        <v>111</v>
      </c>
      <c r="C120" s="7" t="s">
        <v>66</v>
      </c>
      <c r="D120" s="7" t="s">
        <v>67</v>
      </c>
      <c r="E120" s="7" t="s">
        <v>190</v>
      </c>
    </row>
    <row r="121" spans="1:5">
      <c r="A121" s="6" t="s">
        <v>282</v>
      </c>
      <c r="B121" s="1" t="s">
        <v>93</v>
      </c>
      <c r="C121" s="7" t="s">
        <v>283</v>
      </c>
      <c r="D121" s="7" t="s">
        <v>284</v>
      </c>
      <c r="E121" s="7" t="s">
        <v>190</v>
      </c>
    </row>
    <row r="122" spans="1:5">
      <c r="A122" s="6" t="s">
        <v>285</v>
      </c>
      <c r="B122" s="1" t="s">
        <v>111</v>
      </c>
      <c r="C122" s="7" t="s">
        <v>6</v>
      </c>
      <c r="D122" s="7" t="s">
        <v>284</v>
      </c>
      <c r="E122" s="7" t="s">
        <v>190</v>
      </c>
    </row>
    <row r="123" spans="1:5">
      <c r="A123" s="6" t="s">
        <v>286</v>
      </c>
      <c r="B123" s="1" t="s">
        <v>93</v>
      </c>
      <c r="C123" s="7" t="s">
        <v>287</v>
      </c>
      <c r="D123" s="7" t="s">
        <v>45</v>
      </c>
      <c r="E123" s="7" t="s">
        <v>190</v>
      </c>
    </row>
    <row r="124" spans="1:5">
      <c r="A124" s="6" t="s">
        <v>288</v>
      </c>
      <c r="B124" s="1" t="s">
        <v>96</v>
      </c>
      <c r="C124" s="7" t="s">
        <v>289</v>
      </c>
      <c r="D124" s="7" t="s">
        <v>45</v>
      </c>
      <c r="E124" s="7" t="s">
        <v>190</v>
      </c>
    </row>
    <row r="125" spans="1:5">
      <c r="A125" s="6" t="s">
        <v>290</v>
      </c>
      <c r="B125" s="1" t="s">
        <v>93</v>
      </c>
      <c r="C125" s="7" t="s">
        <v>291</v>
      </c>
      <c r="D125" s="7" t="s">
        <v>154</v>
      </c>
      <c r="E125" s="7" t="s">
        <v>190</v>
      </c>
    </row>
    <row r="126" spans="1:5">
      <c r="A126" s="6" t="s">
        <v>292</v>
      </c>
      <c r="B126" s="1" t="s">
        <v>96</v>
      </c>
      <c r="C126" s="7" t="s">
        <v>293</v>
      </c>
      <c r="D126" s="7" t="s">
        <v>79</v>
      </c>
      <c r="E126" s="7" t="s">
        <v>190</v>
      </c>
    </row>
    <row r="127" spans="1:5">
      <c r="A127" s="6" t="s">
        <v>294</v>
      </c>
      <c r="B127" s="1" t="s">
        <v>111</v>
      </c>
      <c r="C127" s="7" t="s">
        <v>78</v>
      </c>
      <c r="D127" s="7" t="s">
        <v>79</v>
      </c>
      <c r="E127" s="7" t="s">
        <v>190</v>
      </c>
    </row>
    <row r="128" spans="1:5">
      <c r="A128" s="6" t="s">
        <v>295</v>
      </c>
      <c r="B128" s="1" t="s">
        <v>93</v>
      </c>
      <c r="C128" s="7" t="s">
        <v>296</v>
      </c>
      <c r="D128" s="7" t="s">
        <v>182</v>
      </c>
      <c r="E128" s="7" t="s">
        <v>190</v>
      </c>
    </row>
    <row r="129" spans="1:5">
      <c r="A129" s="6" t="s">
        <v>297</v>
      </c>
      <c r="B129" s="1" t="s">
        <v>96</v>
      </c>
      <c r="C129" s="7" t="s">
        <v>298</v>
      </c>
      <c r="D129" s="7" t="s">
        <v>182</v>
      </c>
      <c r="E129" s="7" t="s">
        <v>190</v>
      </c>
    </row>
    <row r="130" spans="1:5">
      <c r="A130" s="6" t="s">
        <v>299</v>
      </c>
      <c r="B130" s="1" t="s">
        <v>96</v>
      </c>
      <c r="C130" s="7" t="s">
        <v>300</v>
      </c>
      <c r="D130" s="7" t="s">
        <v>301</v>
      </c>
      <c r="E130" s="7" t="s">
        <v>190</v>
      </c>
    </row>
    <row r="131" spans="1:5">
      <c r="A131" s="6" t="s">
        <v>302</v>
      </c>
      <c r="B131" s="1" t="s">
        <v>93</v>
      </c>
      <c r="C131" s="7" t="s">
        <v>303</v>
      </c>
      <c r="D131" s="7" t="s">
        <v>32</v>
      </c>
      <c r="E131" s="7" t="s">
        <v>190</v>
      </c>
    </row>
    <row r="132" spans="1:5">
      <c r="A132" s="6" t="s">
        <v>304</v>
      </c>
      <c r="B132" s="1" t="s">
        <v>96</v>
      </c>
      <c r="C132" s="7" t="s">
        <v>305</v>
      </c>
      <c r="D132" s="7" t="s">
        <v>32</v>
      </c>
      <c r="E132" s="7" t="s">
        <v>190</v>
      </c>
    </row>
    <row r="133" spans="1:5">
      <c r="A133" s="6" t="s">
        <v>306</v>
      </c>
      <c r="B133" s="1" t="s">
        <v>111</v>
      </c>
      <c r="C133" s="7" t="s">
        <v>14</v>
      </c>
      <c r="D133" s="7" t="s">
        <v>32</v>
      </c>
      <c r="E133" s="7" t="s">
        <v>190</v>
      </c>
    </row>
    <row r="134" spans="1:5">
      <c r="A134" s="6" t="s">
        <v>307</v>
      </c>
      <c r="B134" s="1" t="s">
        <v>96</v>
      </c>
      <c r="C134" s="7" t="s">
        <v>308</v>
      </c>
      <c r="D134" s="7" t="s">
        <v>309</v>
      </c>
      <c r="E134" s="7" t="s">
        <v>190</v>
      </c>
    </row>
    <row r="135" spans="1:5">
      <c r="A135" s="6" t="s">
        <v>310</v>
      </c>
      <c r="B135" s="1" t="s">
        <v>111</v>
      </c>
      <c r="C135" s="7" t="s">
        <v>311</v>
      </c>
      <c r="D135" s="7" t="s">
        <v>309</v>
      </c>
      <c r="E135" s="7" t="s">
        <v>190</v>
      </c>
    </row>
    <row r="136" spans="1:5">
      <c r="A136" s="6" t="s">
        <v>312</v>
      </c>
      <c r="B136" s="1" t="s">
        <v>96</v>
      </c>
      <c r="C136" s="7" t="s">
        <v>313</v>
      </c>
      <c r="D136" s="7" t="s">
        <v>314</v>
      </c>
      <c r="E136" s="7" t="s">
        <v>190</v>
      </c>
    </row>
    <row r="137" spans="1:5">
      <c r="A137" s="6" t="s">
        <v>315</v>
      </c>
      <c r="B137" s="1" t="s">
        <v>96</v>
      </c>
      <c r="C137" s="7" t="s">
        <v>316</v>
      </c>
      <c r="D137" s="7" t="s">
        <v>317</v>
      </c>
      <c r="E137" s="7" t="s">
        <v>190</v>
      </c>
    </row>
    <row r="138" spans="1:5">
      <c r="A138" s="6" t="s">
        <v>318</v>
      </c>
      <c r="B138" s="1" t="s">
        <v>93</v>
      </c>
      <c r="C138" s="7" t="s">
        <v>319</v>
      </c>
      <c r="D138" s="7" t="s">
        <v>203</v>
      </c>
      <c r="E138" s="7" t="s">
        <v>190</v>
      </c>
    </row>
    <row r="139" spans="1:5">
      <c r="A139" s="6" t="s">
        <v>320</v>
      </c>
      <c r="B139" s="1" t="s">
        <v>96</v>
      </c>
      <c r="C139" s="7" t="s">
        <v>321</v>
      </c>
      <c r="D139" s="7" t="s">
        <v>203</v>
      </c>
      <c r="E139" s="7" t="s">
        <v>190</v>
      </c>
    </row>
    <row r="140" spans="1:5">
      <c r="A140" s="6" t="s">
        <v>322</v>
      </c>
      <c r="B140" s="1" t="s">
        <v>111</v>
      </c>
      <c r="C140" s="7" t="s">
        <v>10</v>
      </c>
      <c r="D140" s="7" t="s">
        <v>203</v>
      </c>
      <c r="E140" s="7" t="s">
        <v>190</v>
      </c>
    </row>
    <row r="141" spans="1:5">
      <c r="A141" s="6" t="s">
        <v>323</v>
      </c>
      <c r="B141" s="1" t="s">
        <v>96</v>
      </c>
      <c r="C141" s="7" t="s">
        <v>324</v>
      </c>
      <c r="D141" s="7" t="s">
        <v>325</v>
      </c>
      <c r="E141" s="7" t="s">
        <v>190</v>
      </c>
    </row>
    <row r="142" spans="1:5">
      <c r="A142" s="4" t="s">
        <v>326</v>
      </c>
      <c r="B142" s="1" t="s">
        <v>327</v>
      </c>
      <c r="C142" s="5" t="s">
        <v>5</v>
      </c>
      <c r="D142" s="5" t="s">
        <v>76</v>
      </c>
      <c r="E142" s="5" t="s">
        <v>327</v>
      </c>
    </row>
    <row r="143" spans="1:5">
      <c r="A143" s="4" t="s">
        <v>328</v>
      </c>
      <c r="B143" s="1" t="s">
        <v>327</v>
      </c>
      <c r="C143" s="5" t="s">
        <v>2</v>
      </c>
      <c r="D143" s="7" t="s">
        <v>218</v>
      </c>
      <c r="E143" s="5" t="s">
        <v>327</v>
      </c>
    </row>
    <row r="144" spans="1:5">
      <c r="A144" s="4" t="s">
        <v>329</v>
      </c>
      <c r="B144" s="1" t="s">
        <v>327</v>
      </c>
      <c r="C144" s="5" t="s">
        <v>5</v>
      </c>
      <c r="D144" s="5" t="s">
        <v>76</v>
      </c>
      <c r="E144" s="5" t="s">
        <v>327</v>
      </c>
    </row>
    <row r="145" spans="1:1">
      <c r="A145" s="8"/>
    </row>
    <row r="146" spans="1:1">
      <c r="A146" s="8"/>
    </row>
    <row r="147" spans="1:1">
      <c r="A147" s="8"/>
    </row>
    <row r="148" spans="1:1">
      <c r="A148" s="8"/>
    </row>
    <row r="149" spans="1:1">
      <c r="A149" s="8"/>
    </row>
    <row r="150" spans="1:1">
      <c r="A150" s="8"/>
    </row>
    <row r="151" spans="1:1">
      <c r="A151" s="8"/>
    </row>
    <row r="152" spans="1:1">
      <c r="A152" s="8"/>
    </row>
    <row r="153" spans="1:1">
      <c r="A153" s="8"/>
    </row>
    <row r="154" spans="1:1">
      <c r="A154" s="8"/>
    </row>
    <row r="155" spans="1:1">
      <c r="A155" s="8"/>
    </row>
    <row r="156" spans="1:1">
      <c r="A156" s="8"/>
    </row>
    <row r="157" spans="1:1">
      <c r="A157" s="8"/>
    </row>
    <row r="158" spans="1:1">
      <c r="A158" s="8"/>
    </row>
    <row r="159" spans="1:1">
      <c r="A159" s="8"/>
    </row>
    <row r="160" spans="1:1">
      <c r="A160" s="8"/>
    </row>
    <row r="161" spans="1:1">
      <c r="A161" s="8"/>
    </row>
    <row r="162" spans="1:1">
      <c r="A162" s="8"/>
    </row>
    <row r="163" spans="1:1">
      <c r="A163" s="8"/>
    </row>
    <row r="164" spans="1:1">
      <c r="A164" s="8"/>
    </row>
    <row r="165" spans="1:1">
      <c r="A165" s="8"/>
    </row>
    <row r="166" spans="1:1">
      <c r="A166" s="8"/>
    </row>
    <row r="167" spans="1:1">
      <c r="A167" s="8"/>
    </row>
    <row r="168" spans="1:1">
      <c r="A168" s="8"/>
    </row>
    <row r="169" spans="1:1">
      <c r="A169" s="8"/>
    </row>
    <row r="170" spans="1:1">
      <c r="A170" s="8"/>
    </row>
    <row r="171" spans="1:1">
      <c r="A171" s="8"/>
    </row>
    <row r="172" spans="1:1">
      <c r="A172" s="8"/>
    </row>
    <row r="173" spans="1:1">
      <c r="A173" s="8"/>
    </row>
    <row r="174" spans="1:1">
      <c r="A174" s="8"/>
    </row>
    <row r="175" spans="1:1">
      <c r="A175" s="8"/>
    </row>
    <row r="176" spans="1:1">
      <c r="A176" s="8"/>
    </row>
    <row r="177" spans="1:1">
      <c r="A177" s="8"/>
    </row>
    <row r="178" spans="1:1">
      <c r="A178" s="8"/>
    </row>
    <row r="179" spans="1:1">
      <c r="A179" s="8"/>
    </row>
    <row r="180" spans="1:1">
      <c r="A180" s="8"/>
    </row>
    <row r="181" spans="1:1">
      <c r="A181" s="8"/>
    </row>
    <row r="182" spans="1:1">
      <c r="A182" s="8"/>
    </row>
    <row r="183" spans="1:1">
      <c r="A183" s="8"/>
    </row>
    <row r="184" spans="1:1">
      <c r="A184" s="8"/>
    </row>
    <row r="185" spans="1:1">
      <c r="A185" s="8"/>
    </row>
    <row r="186" spans="1:1">
      <c r="A186" s="8"/>
    </row>
    <row r="187" spans="1:1">
      <c r="A187" s="8"/>
    </row>
    <row r="188" spans="1:1">
      <c r="A188" s="8"/>
    </row>
    <row r="189" spans="1:1">
      <c r="A189" s="8"/>
    </row>
    <row r="190" spans="1:1">
      <c r="A190" s="8"/>
    </row>
    <row r="191" spans="1:1">
      <c r="A191" s="8"/>
    </row>
    <row r="192" spans="1:1">
      <c r="A192" s="8"/>
    </row>
    <row r="193" spans="1:1">
      <c r="A193" s="8"/>
    </row>
    <row r="194" spans="1:1">
      <c r="A194" s="8"/>
    </row>
    <row r="195" spans="1:1">
      <c r="A195" s="8"/>
    </row>
    <row r="196" spans="1:1">
      <c r="A196" s="8"/>
    </row>
    <row r="197" spans="1:1">
      <c r="A197" s="8"/>
    </row>
    <row r="198" spans="1:1">
      <c r="A198" s="8"/>
    </row>
    <row r="199" spans="1:1">
      <c r="A199" s="8"/>
    </row>
    <row r="200" spans="1:1">
      <c r="A200" s="8"/>
    </row>
    <row r="201" spans="1:1">
      <c r="A201" s="8"/>
    </row>
    <row r="202" spans="1:1">
      <c r="A202" s="8"/>
    </row>
    <row r="203" spans="1:1">
      <c r="A203" s="8"/>
    </row>
    <row r="204" spans="1:1">
      <c r="A204" s="8"/>
    </row>
    <row r="205" spans="1:1">
      <c r="A205" s="8"/>
    </row>
    <row r="206" spans="1:1">
      <c r="A206" s="8"/>
    </row>
    <row r="207" spans="1:1">
      <c r="A207" s="8"/>
    </row>
    <row r="208" spans="1:1">
      <c r="A208" s="8"/>
    </row>
    <row r="209" spans="1:1">
      <c r="A209" s="8"/>
    </row>
    <row r="210" spans="1:1">
      <c r="A210" s="8"/>
    </row>
    <row r="211" spans="1:1">
      <c r="A211" s="8"/>
    </row>
    <row r="212" spans="1:1">
      <c r="A212" s="8"/>
    </row>
    <row r="213" spans="1:1">
      <c r="A213" s="8"/>
    </row>
    <row r="214" spans="1:1">
      <c r="A214" s="8"/>
    </row>
    <row r="215" spans="1:1">
      <c r="A215" s="8"/>
    </row>
    <row r="216" spans="1:1">
      <c r="A216" s="8"/>
    </row>
    <row r="217" spans="1:1">
      <c r="A217" s="8"/>
    </row>
    <row r="218" spans="1:1">
      <c r="A218" s="8"/>
    </row>
    <row r="219" spans="1:1">
      <c r="A219" s="8"/>
    </row>
    <row r="220" spans="1:1">
      <c r="A220" s="8"/>
    </row>
    <row r="221" spans="1:1">
      <c r="A221" s="8"/>
    </row>
    <row r="222" spans="1:1">
      <c r="A222" s="8"/>
    </row>
    <row r="223" spans="1:1">
      <c r="A223" s="8"/>
    </row>
    <row r="224" spans="1:1">
      <c r="A224" s="8"/>
    </row>
    <row r="225" spans="1:1">
      <c r="A225" s="8"/>
    </row>
    <row r="226" spans="1:1">
      <c r="A226" s="8"/>
    </row>
    <row r="227" spans="1:1">
      <c r="A227" s="8"/>
    </row>
    <row r="228" spans="1:1">
      <c r="A228" s="8"/>
    </row>
    <row r="229" spans="1:1">
      <c r="A229" s="8"/>
    </row>
    <row r="230" spans="1:1">
      <c r="A230" s="8"/>
    </row>
    <row r="231" spans="1:1">
      <c r="A231" s="8"/>
    </row>
    <row r="232" spans="1:1">
      <c r="A232" s="8"/>
    </row>
    <row r="233" spans="1:1">
      <c r="A233" s="8"/>
    </row>
    <row r="234" spans="1:1">
      <c r="A234" s="8"/>
    </row>
    <row r="235" spans="1:1">
      <c r="A235" s="8"/>
    </row>
    <row r="236" spans="1:1">
      <c r="A236" s="8"/>
    </row>
    <row r="237" spans="1:1">
      <c r="A237" s="8"/>
    </row>
    <row r="238" spans="1:1">
      <c r="A238" s="8"/>
    </row>
    <row r="239" spans="1:1">
      <c r="A239" s="8"/>
    </row>
    <row r="240" spans="1:1">
      <c r="A240" s="8"/>
    </row>
    <row r="241" spans="1:1">
      <c r="A241" s="8"/>
    </row>
    <row r="242" spans="1:1">
      <c r="A242" s="8"/>
    </row>
    <row r="243" spans="1:1">
      <c r="A243" s="8"/>
    </row>
    <row r="244" spans="1:1">
      <c r="A244" s="8"/>
    </row>
    <row r="245" spans="1:1">
      <c r="A245" s="8"/>
    </row>
    <row r="246" spans="1:1">
      <c r="A246" s="8"/>
    </row>
    <row r="247" spans="1:1">
      <c r="A247" s="8"/>
    </row>
    <row r="248" spans="1:1">
      <c r="A248" s="8"/>
    </row>
    <row r="249" spans="1:1">
      <c r="A249" s="8"/>
    </row>
    <row r="250" spans="1:1">
      <c r="A250" s="8"/>
    </row>
    <row r="251" spans="1:1">
      <c r="A251" s="8"/>
    </row>
    <row r="252" spans="1:1">
      <c r="A252" s="8"/>
    </row>
    <row r="253" spans="1:1">
      <c r="A253" s="8"/>
    </row>
    <row r="254" spans="1:1">
      <c r="A254" s="8"/>
    </row>
    <row r="255" spans="1:1">
      <c r="A255" s="8"/>
    </row>
    <row r="256" spans="1:1">
      <c r="A256" s="8"/>
    </row>
    <row r="257" spans="1:1">
      <c r="A257" s="8"/>
    </row>
    <row r="258" spans="1:1">
      <c r="A258" s="8"/>
    </row>
    <row r="259" spans="1:1">
      <c r="A259" s="8"/>
    </row>
    <row r="260" spans="1:1">
      <c r="A260" s="8"/>
    </row>
    <row r="261" spans="1:1">
      <c r="A261" s="8"/>
    </row>
    <row r="262" spans="1:1">
      <c r="A262" s="8"/>
    </row>
    <row r="263" spans="1:1">
      <c r="A263" s="8"/>
    </row>
    <row r="264" spans="1:1">
      <c r="A264" s="8"/>
    </row>
    <row r="265" spans="1:1">
      <c r="A265" s="8"/>
    </row>
    <row r="266" spans="1:1">
      <c r="A266" s="8"/>
    </row>
    <row r="267" spans="1:1">
      <c r="A267" s="8"/>
    </row>
    <row r="268" spans="1:1">
      <c r="A268" s="8"/>
    </row>
    <row r="269" spans="1:1">
      <c r="A269" s="8"/>
    </row>
    <row r="270" spans="1:1">
      <c r="A270" s="8"/>
    </row>
    <row r="271" spans="1:1">
      <c r="A271" s="8"/>
    </row>
    <row r="272" spans="1:1">
      <c r="A272" s="8"/>
    </row>
    <row r="273" spans="1:1">
      <c r="A273" s="8"/>
    </row>
    <row r="274" spans="1:1">
      <c r="A274" s="8"/>
    </row>
    <row r="275" spans="1:1">
      <c r="A275" s="8"/>
    </row>
    <row r="276" spans="1:1">
      <c r="A276" s="8"/>
    </row>
    <row r="277" spans="1:1">
      <c r="A277" s="8"/>
    </row>
    <row r="278" spans="1:1">
      <c r="A278" s="8"/>
    </row>
    <row r="279" spans="1:1">
      <c r="A279" s="8"/>
    </row>
    <row r="280" spans="1:1">
      <c r="A280" s="8"/>
    </row>
    <row r="281" spans="1:1">
      <c r="A281" s="8"/>
    </row>
    <row r="282" spans="1:1">
      <c r="A282" s="8"/>
    </row>
    <row r="283" spans="1:1">
      <c r="A283" s="8"/>
    </row>
    <row r="284" spans="1:1">
      <c r="A284" s="8"/>
    </row>
    <row r="285" spans="1:1">
      <c r="A285" s="8"/>
    </row>
    <row r="286" spans="1:1">
      <c r="A286" s="8"/>
    </row>
    <row r="287" spans="1:1">
      <c r="A287" s="8"/>
    </row>
    <row r="288" spans="1:1">
      <c r="A288" s="8"/>
    </row>
    <row r="289" spans="1:1">
      <c r="A289" s="8"/>
    </row>
    <row r="290" spans="1:1">
      <c r="A290" s="8"/>
    </row>
    <row r="291" spans="1:1">
      <c r="A291" s="8"/>
    </row>
    <row r="292" spans="1:1">
      <c r="A292" s="8"/>
    </row>
    <row r="293" spans="1:1">
      <c r="A293" s="8"/>
    </row>
    <row r="294" spans="1:1">
      <c r="A294" s="8"/>
    </row>
    <row r="295" spans="1:1">
      <c r="A295" s="8"/>
    </row>
    <row r="296" spans="1:1">
      <c r="A296" s="8"/>
    </row>
    <row r="297" spans="1:1">
      <c r="A297" s="8"/>
    </row>
    <row r="298" spans="1:1">
      <c r="A298" s="8"/>
    </row>
    <row r="299" spans="1:1">
      <c r="A299" s="8"/>
    </row>
    <row r="300" spans="1:1">
      <c r="A300" s="8"/>
    </row>
    <row r="301" spans="1:1">
      <c r="A301" s="8"/>
    </row>
    <row r="302" spans="1:1">
      <c r="A302" s="8"/>
    </row>
    <row r="303" spans="1:1">
      <c r="A303" s="8"/>
    </row>
    <row r="304" spans="1:1">
      <c r="A304" s="8"/>
    </row>
    <row r="305" spans="1:1">
      <c r="A305" s="8"/>
    </row>
    <row r="306" spans="1:1">
      <c r="A306" s="8"/>
    </row>
    <row r="307" spans="1:1">
      <c r="A307" s="8"/>
    </row>
    <row r="308" spans="1:1">
      <c r="A308" s="8"/>
    </row>
    <row r="309" spans="1:1">
      <c r="A309" s="8"/>
    </row>
    <row r="310" spans="1:1">
      <c r="A310" s="8"/>
    </row>
    <row r="311" spans="1:1">
      <c r="A311" s="8"/>
    </row>
    <row r="312" spans="1:1">
      <c r="A312" s="8"/>
    </row>
    <row r="313" spans="1:1">
      <c r="A313" s="8"/>
    </row>
    <row r="314" spans="1:1">
      <c r="A314" s="8"/>
    </row>
    <row r="315" spans="1:1">
      <c r="A315" s="8"/>
    </row>
    <row r="316" spans="1:1">
      <c r="A316" s="8"/>
    </row>
    <row r="317" spans="1:1">
      <c r="A317" s="8"/>
    </row>
    <row r="318" spans="1:1">
      <c r="A318" s="8"/>
    </row>
    <row r="319" spans="1:1">
      <c r="A319" s="8"/>
    </row>
    <row r="320" spans="1:1">
      <c r="A320" s="8"/>
    </row>
    <row r="321" spans="1:1">
      <c r="A321" s="8"/>
    </row>
    <row r="322" spans="1:1">
      <c r="A322" s="8"/>
    </row>
    <row r="323" spans="1:1">
      <c r="A323" s="8"/>
    </row>
    <row r="324" spans="1:1">
      <c r="A324" s="8"/>
    </row>
    <row r="325" spans="1:1">
      <c r="A325" s="8"/>
    </row>
    <row r="326" spans="1:1">
      <c r="A326" s="8"/>
    </row>
    <row r="327" spans="1:1">
      <c r="A327" s="8"/>
    </row>
    <row r="328" spans="1:1">
      <c r="A328" s="8"/>
    </row>
    <row r="329" spans="1:1">
      <c r="A329" s="8"/>
    </row>
    <row r="330" spans="1:1">
      <c r="A330" s="8"/>
    </row>
    <row r="331" spans="1:1">
      <c r="A331" s="8"/>
    </row>
    <row r="332" spans="1:1">
      <c r="A332" s="8"/>
    </row>
    <row r="333" spans="1:1">
      <c r="A333" s="8"/>
    </row>
    <row r="334" spans="1:1">
      <c r="A334" s="8"/>
    </row>
    <row r="335" spans="1:1">
      <c r="A335" s="8"/>
    </row>
    <row r="336" spans="1:1">
      <c r="A336" s="8"/>
    </row>
    <row r="337" spans="1:1">
      <c r="A337" s="8"/>
    </row>
    <row r="338" spans="1:1">
      <c r="A338" s="8"/>
    </row>
    <row r="339" spans="1:1">
      <c r="A339" s="8"/>
    </row>
    <row r="340" spans="1:1">
      <c r="A340" s="8"/>
    </row>
    <row r="341" spans="1:1">
      <c r="A341" s="8"/>
    </row>
    <row r="342" spans="1:1">
      <c r="A342" s="8"/>
    </row>
    <row r="343" spans="1:1">
      <c r="A343" s="8"/>
    </row>
    <row r="344" spans="1:1">
      <c r="A344" s="8"/>
    </row>
    <row r="345" spans="1:1">
      <c r="A345" s="8"/>
    </row>
    <row r="346" spans="1:1">
      <c r="A346" s="8"/>
    </row>
    <row r="347" spans="1:1">
      <c r="A347" s="8"/>
    </row>
    <row r="348" spans="1:1">
      <c r="A348" s="8"/>
    </row>
    <row r="349" spans="1:1">
      <c r="A349" s="8"/>
    </row>
    <row r="350" spans="1:1">
      <c r="A350" s="8"/>
    </row>
    <row r="351" spans="1:1">
      <c r="A351" s="8"/>
    </row>
    <row r="352" spans="1:1">
      <c r="A352" s="8"/>
    </row>
    <row r="353" spans="1:1">
      <c r="A353" s="8"/>
    </row>
    <row r="354" spans="1:1">
      <c r="A354" s="8"/>
    </row>
    <row r="355" spans="1:1">
      <c r="A355" s="8"/>
    </row>
    <row r="356" spans="1:1">
      <c r="A356" s="8"/>
    </row>
    <row r="357" spans="1:1">
      <c r="A357" s="8"/>
    </row>
    <row r="358" spans="1:1">
      <c r="A358" s="8"/>
    </row>
    <row r="359" spans="1:1">
      <c r="A359" s="8"/>
    </row>
    <row r="360" spans="1:1">
      <c r="A360" s="8"/>
    </row>
    <row r="361" spans="1:1">
      <c r="A361" s="8"/>
    </row>
    <row r="362" spans="1:1">
      <c r="A362" s="8"/>
    </row>
    <row r="363" spans="1:1">
      <c r="A363" s="8"/>
    </row>
    <row r="364" spans="1:1">
      <c r="A364" s="8"/>
    </row>
    <row r="365" spans="1:1">
      <c r="A365" s="8"/>
    </row>
    <row r="366" spans="1:1">
      <c r="A366" s="8"/>
    </row>
    <row r="367" spans="1:1">
      <c r="A367" s="8"/>
    </row>
    <row r="368" spans="1:1">
      <c r="A368" s="8"/>
    </row>
    <row r="369" spans="1:1">
      <c r="A369" s="8"/>
    </row>
    <row r="370" spans="1:1">
      <c r="A370" s="8"/>
    </row>
    <row r="371" spans="1:1">
      <c r="A371" s="8"/>
    </row>
    <row r="372" spans="1:1">
      <c r="A372" s="8"/>
    </row>
    <row r="373" spans="1:1">
      <c r="A373" s="8"/>
    </row>
    <row r="374" spans="1:1">
      <c r="A374" s="8"/>
    </row>
    <row r="375" spans="1:1">
      <c r="A375" s="8"/>
    </row>
    <row r="376" spans="1:1">
      <c r="A376" s="8"/>
    </row>
    <row r="377" spans="1:1">
      <c r="A377" s="8"/>
    </row>
    <row r="378" spans="1:1">
      <c r="A378" s="8"/>
    </row>
    <row r="379" spans="1:1">
      <c r="A379" s="8"/>
    </row>
    <row r="380" spans="1:1">
      <c r="A380" s="8"/>
    </row>
    <row r="381" spans="1:1">
      <c r="A381" s="8"/>
    </row>
    <row r="382" spans="1:1">
      <c r="A382" s="8"/>
    </row>
    <row r="383" spans="1:1">
      <c r="A383" s="8"/>
    </row>
    <row r="384" spans="1:1">
      <c r="A384" s="8"/>
    </row>
    <row r="385" spans="1:1">
      <c r="A385" s="8"/>
    </row>
    <row r="386" spans="1:1">
      <c r="A386" s="8"/>
    </row>
    <row r="387" spans="1:1">
      <c r="A387" s="8"/>
    </row>
    <row r="388" spans="1:1">
      <c r="A388" s="8"/>
    </row>
    <row r="389" spans="1:1">
      <c r="A389" s="8"/>
    </row>
    <row r="390" spans="1:1">
      <c r="A390" s="8"/>
    </row>
    <row r="391" spans="1:1">
      <c r="A391" s="8"/>
    </row>
    <row r="392" spans="1:1">
      <c r="A392" s="8"/>
    </row>
    <row r="393" spans="1:1">
      <c r="A393" s="8"/>
    </row>
    <row r="394" spans="1:1">
      <c r="A394" s="8"/>
    </row>
    <row r="395" spans="1:1">
      <c r="A395" s="8"/>
    </row>
    <row r="396" spans="1:1">
      <c r="A396" s="8"/>
    </row>
    <row r="397" spans="1:1">
      <c r="A397" s="8"/>
    </row>
    <row r="398" spans="1:1">
      <c r="A398" s="8"/>
    </row>
    <row r="399" spans="1:1">
      <c r="A399" s="8"/>
    </row>
    <row r="400" spans="1:1">
      <c r="A400" s="8"/>
    </row>
    <row r="401" spans="1:1">
      <c r="A401" s="8"/>
    </row>
    <row r="402" spans="1:1">
      <c r="A402" s="8"/>
    </row>
    <row r="403" spans="1:1">
      <c r="A403" s="8"/>
    </row>
    <row r="404" spans="1:1">
      <c r="A404" s="8"/>
    </row>
    <row r="405" spans="1:1">
      <c r="A405" s="8"/>
    </row>
    <row r="406" spans="1:1">
      <c r="A406" s="8"/>
    </row>
    <row r="407" spans="1:1">
      <c r="A407" s="8"/>
    </row>
    <row r="408" spans="1:1">
      <c r="A408" s="8"/>
    </row>
    <row r="409" spans="1:1">
      <c r="A409" s="8"/>
    </row>
    <row r="410" spans="1:1">
      <c r="A410" s="8"/>
    </row>
    <row r="411" spans="1:1">
      <c r="A411" s="8"/>
    </row>
    <row r="412" spans="1:1">
      <c r="A412" s="8"/>
    </row>
    <row r="413" spans="1:1">
      <c r="A413" s="8"/>
    </row>
    <row r="414" spans="1:1">
      <c r="A414" s="8"/>
    </row>
    <row r="415" spans="1:1">
      <c r="A415" s="8"/>
    </row>
    <row r="416" spans="1:1">
      <c r="A416" s="8"/>
    </row>
    <row r="417" spans="1:1">
      <c r="A417" s="8"/>
    </row>
    <row r="418" spans="1:1">
      <c r="A418" s="8"/>
    </row>
    <row r="419" spans="1:1">
      <c r="A419" s="8"/>
    </row>
    <row r="420" spans="1:1">
      <c r="A420" s="8"/>
    </row>
    <row r="421" spans="1:1">
      <c r="A421" s="8"/>
    </row>
    <row r="422" spans="1:1">
      <c r="A422" s="8"/>
    </row>
    <row r="423" spans="1:1">
      <c r="A423" s="8"/>
    </row>
    <row r="424" spans="1:1">
      <c r="A424" s="8"/>
    </row>
    <row r="425" spans="1:1">
      <c r="A425" s="8"/>
    </row>
    <row r="426" spans="1:1">
      <c r="A426" s="8"/>
    </row>
    <row r="427" spans="1:1">
      <c r="A427" s="8"/>
    </row>
    <row r="428" spans="1:1">
      <c r="A428" s="8"/>
    </row>
    <row r="429" spans="1:1">
      <c r="A429" s="8"/>
    </row>
    <row r="430" spans="1:1">
      <c r="A430" s="8"/>
    </row>
    <row r="431" spans="1:1">
      <c r="A431" s="8"/>
    </row>
    <row r="432" spans="1:1">
      <c r="A432" s="8"/>
    </row>
    <row r="433" spans="1:1">
      <c r="A433" s="8"/>
    </row>
    <row r="434" spans="1:1">
      <c r="A434" s="8"/>
    </row>
    <row r="435" spans="1:1">
      <c r="A435" s="8"/>
    </row>
    <row r="436" spans="1:1">
      <c r="A436" s="8"/>
    </row>
    <row r="437" spans="1:1">
      <c r="A437" s="8"/>
    </row>
    <row r="438" spans="1:1">
      <c r="A438" s="8"/>
    </row>
    <row r="439" spans="1:1">
      <c r="A439" s="8"/>
    </row>
    <row r="440" spans="1:1">
      <c r="A440" s="8"/>
    </row>
    <row r="441" spans="1:1">
      <c r="A441" s="8"/>
    </row>
    <row r="442" spans="1:1">
      <c r="A442" s="8"/>
    </row>
    <row r="443" spans="1:1">
      <c r="A443" s="8"/>
    </row>
    <row r="444" spans="1:1">
      <c r="A444" s="8"/>
    </row>
    <row r="445" spans="1:1">
      <c r="A445" s="8"/>
    </row>
    <row r="446" spans="1:1">
      <c r="A446" s="8"/>
    </row>
    <row r="447" spans="1:1">
      <c r="A447" s="8"/>
    </row>
    <row r="448" spans="1:1">
      <c r="A448" s="8"/>
    </row>
    <row r="449" spans="1:1">
      <c r="A449" s="8"/>
    </row>
    <row r="450" spans="1:1">
      <c r="A450" s="8"/>
    </row>
    <row r="451" spans="1:1">
      <c r="A451" s="8"/>
    </row>
    <row r="452" spans="1:1">
      <c r="A452" s="8"/>
    </row>
    <row r="453" spans="1:1">
      <c r="A453" s="8"/>
    </row>
    <row r="454" spans="1:1">
      <c r="A454" s="8"/>
    </row>
    <row r="455" spans="1:1">
      <c r="A455" s="8"/>
    </row>
    <row r="456" spans="1:1">
      <c r="A456" s="8"/>
    </row>
    <row r="457" spans="1:1">
      <c r="A457" s="8"/>
    </row>
    <row r="458" spans="1:1">
      <c r="A458" s="8"/>
    </row>
    <row r="459" spans="1:1">
      <c r="A459" s="8"/>
    </row>
    <row r="460" spans="1:1">
      <c r="A460" s="8"/>
    </row>
    <row r="461" spans="1:1">
      <c r="A461" s="8"/>
    </row>
    <row r="462" spans="1:1">
      <c r="A462" s="8"/>
    </row>
    <row r="463" spans="1:1">
      <c r="A463" s="8"/>
    </row>
    <row r="464" spans="1:1">
      <c r="A464" s="8"/>
    </row>
    <row r="465" spans="1:1">
      <c r="A465" s="8"/>
    </row>
    <row r="466" spans="1:1">
      <c r="A466" s="8"/>
    </row>
    <row r="467" spans="1:1">
      <c r="A467" s="8"/>
    </row>
    <row r="468" spans="1:1">
      <c r="A468" s="8"/>
    </row>
    <row r="469" spans="1:1">
      <c r="A469" s="8"/>
    </row>
    <row r="470" spans="1:1">
      <c r="A470" s="8"/>
    </row>
    <row r="471" spans="1:1">
      <c r="A471" s="8"/>
    </row>
    <row r="472" spans="1:1">
      <c r="A472" s="8"/>
    </row>
    <row r="473" spans="1:1">
      <c r="A473" s="8"/>
    </row>
    <row r="474" spans="1:1">
      <c r="A474" s="8"/>
    </row>
    <row r="475" spans="1:1">
      <c r="A475" s="8"/>
    </row>
    <row r="476" spans="1:1">
      <c r="A476" s="8"/>
    </row>
    <row r="477" spans="1:1">
      <c r="A477" s="8"/>
    </row>
    <row r="478" spans="1:1">
      <c r="A478" s="8"/>
    </row>
    <row r="479" spans="1:1">
      <c r="A479" s="8"/>
    </row>
    <row r="480" spans="1:1">
      <c r="A480" s="8"/>
    </row>
    <row r="481" spans="1:1">
      <c r="A481" s="8"/>
    </row>
    <row r="482" spans="1:1">
      <c r="A482" s="8"/>
    </row>
    <row r="483" spans="1:1">
      <c r="A483" s="8"/>
    </row>
    <row r="484" spans="1:1">
      <c r="A484" s="8"/>
    </row>
    <row r="485" spans="1:1">
      <c r="A485" s="8"/>
    </row>
    <row r="486" spans="1:1">
      <c r="A486" s="8"/>
    </row>
    <row r="487" spans="1:1">
      <c r="A487" s="8"/>
    </row>
    <row r="488" spans="1:1">
      <c r="A488" s="8"/>
    </row>
    <row r="489" spans="1:1">
      <c r="A489" s="8"/>
    </row>
    <row r="490" spans="1:1">
      <c r="A490" s="8"/>
    </row>
    <row r="491" spans="1:1">
      <c r="A491" s="8"/>
    </row>
    <row r="492" spans="1:1">
      <c r="A492" s="8"/>
    </row>
    <row r="493" spans="1:1">
      <c r="A493" s="8"/>
    </row>
    <row r="494" spans="1:1">
      <c r="A494" s="8"/>
    </row>
    <row r="495" spans="1:1">
      <c r="A495" s="8"/>
    </row>
    <row r="496" spans="1:1">
      <c r="A496" s="8"/>
    </row>
    <row r="497" spans="1:1">
      <c r="A497" s="8"/>
    </row>
    <row r="498" spans="1:1">
      <c r="A498" s="8"/>
    </row>
    <row r="499" spans="1:1">
      <c r="A499" s="8"/>
    </row>
    <row r="500" spans="1:1">
      <c r="A500" s="8"/>
    </row>
    <row r="501" spans="1:1">
      <c r="A501" s="8"/>
    </row>
    <row r="502" spans="1:1">
      <c r="A502" s="8"/>
    </row>
    <row r="503" spans="1:1">
      <c r="A503" s="8"/>
    </row>
    <row r="504" spans="1:1">
      <c r="A504" s="8"/>
    </row>
    <row r="505" spans="1:1">
      <c r="A505" s="8"/>
    </row>
    <row r="506" spans="1:1">
      <c r="A506" s="8"/>
    </row>
    <row r="507" spans="1:1">
      <c r="A507" s="8"/>
    </row>
    <row r="508" spans="1:1">
      <c r="A508" s="8"/>
    </row>
    <row r="509" spans="1:1">
      <c r="A509" s="8"/>
    </row>
    <row r="510" spans="1:1">
      <c r="A510" s="8"/>
    </row>
    <row r="511" spans="1:1">
      <c r="A511" s="8"/>
    </row>
    <row r="512" spans="1:1">
      <c r="A512" s="8"/>
    </row>
    <row r="513" spans="1:1">
      <c r="A513" s="8"/>
    </row>
    <row r="514" spans="1:1">
      <c r="A514" s="8"/>
    </row>
    <row r="515" spans="1:1">
      <c r="A515" s="8"/>
    </row>
    <row r="516" spans="1:1">
      <c r="A516" s="8"/>
    </row>
    <row r="517" spans="1:1">
      <c r="A517" s="8"/>
    </row>
    <row r="518" spans="1:1">
      <c r="A518" s="8"/>
    </row>
    <row r="519" spans="1:1">
      <c r="A519" s="8"/>
    </row>
    <row r="520" spans="1:1">
      <c r="A520" s="8"/>
    </row>
    <row r="521" spans="1:1">
      <c r="A521" s="8"/>
    </row>
    <row r="522" spans="1:1">
      <c r="A522" s="8"/>
    </row>
    <row r="523" spans="1:1">
      <c r="A523" s="8"/>
    </row>
    <row r="524" spans="1:1">
      <c r="A524" s="8"/>
    </row>
    <row r="525" spans="1:1">
      <c r="A525" s="8"/>
    </row>
    <row r="526" spans="1:1">
      <c r="A526" s="8"/>
    </row>
    <row r="527" spans="1:1">
      <c r="A527" s="8"/>
    </row>
    <row r="528" spans="1:1">
      <c r="A528" s="8"/>
    </row>
    <row r="529" spans="1:1">
      <c r="A529" s="8"/>
    </row>
    <row r="530" spans="1:1">
      <c r="A530" s="8"/>
    </row>
    <row r="531" spans="1:1">
      <c r="A531" s="8"/>
    </row>
    <row r="532" spans="1:1">
      <c r="A532" s="8"/>
    </row>
    <row r="533" spans="1:1">
      <c r="A533" s="8"/>
    </row>
    <row r="534" spans="1:1">
      <c r="A534" s="8"/>
    </row>
    <row r="535" spans="1:1">
      <c r="A535" s="8"/>
    </row>
    <row r="536" spans="1:1">
      <c r="A536" s="8"/>
    </row>
    <row r="537" spans="1:1">
      <c r="A537" s="8"/>
    </row>
    <row r="538" spans="1:1">
      <c r="A538" s="8"/>
    </row>
    <row r="539" spans="1:1">
      <c r="A539" s="8"/>
    </row>
    <row r="540" spans="1:1">
      <c r="A540" s="8"/>
    </row>
    <row r="541" spans="1:1">
      <c r="A541" s="8"/>
    </row>
    <row r="542" spans="1:1">
      <c r="A542" s="8"/>
    </row>
    <row r="543" spans="1:1">
      <c r="A543" s="8"/>
    </row>
    <row r="544" spans="1:1">
      <c r="A544" s="8"/>
    </row>
    <row r="545" spans="1:1">
      <c r="A545" s="8"/>
    </row>
    <row r="546" spans="1:1">
      <c r="A546" s="8"/>
    </row>
    <row r="547" spans="1:1">
      <c r="A547" s="8"/>
    </row>
    <row r="548" spans="1:1">
      <c r="A548" s="8"/>
    </row>
    <row r="549" spans="1:1">
      <c r="A549" s="8"/>
    </row>
    <row r="550" spans="1:1">
      <c r="A550" s="8"/>
    </row>
    <row r="551" spans="1:1">
      <c r="A551" s="8"/>
    </row>
    <row r="552" spans="1:1">
      <c r="A552" s="8"/>
    </row>
    <row r="553" spans="1:1">
      <c r="A553" s="8"/>
    </row>
    <row r="554" spans="1:1">
      <c r="A554" s="8"/>
    </row>
    <row r="555" spans="1:1">
      <c r="A555" s="8"/>
    </row>
    <row r="556" spans="1:1">
      <c r="A556" s="8"/>
    </row>
    <row r="557" spans="1:1">
      <c r="A557" s="8"/>
    </row>
    <row r="558" spans="1:1">
      <c r="A558" s="8"/>
    </row>
    <row r="559" spans="1:1">
      <c r="A559" s="8"/>
    </row>
    <row r="560" spans="1:1">
      <c r="A560" s="8"/>
    </row>
    <row r="561" spans="1:1">
      <c r="A561" s="8"/>
    </row>
    <row r="562" spans="1:1">
      <c r="A562" s="8"/>
    </row>
    <row r="563" spans="1:1">
      <c r="A563" s="8"/>
    </row>
    <row r="564" spans="1:1">
      <c r="A564" s="8"/>
    </row>
    <row r="565" spans="1:1">
      <c r="A565" s="8"/>
    </row>
    <row r="566" spans="1:1">
      <c r="A566" s="8"/>
    </row>
    <row r="567" spans="1:1">
      <c r="A567" s="8"/>
    </row>
    <row r="568" spans="1:1">
      <c r="A568" s="8"/>
    </row>
    <row r="569" spans="1:1">
      <c r="A569" s="8"/>
    </row>
    <row r="570" spans="1:1">
      <c r="A570" s="8"/>
    </row>
    <row r="571" spans="1:1">
      <c r="A571" s="8"/>
    </row>
    <row r="572" spans="1:1">
      <c r="A572" s="8"/>
    </row>
    <row r="573" spans="1:1">
      <c r="A573" s="8"/>
    </row>
    <row r="574" spans="1:1">
      <c r="A574" s="8"/>
    </row>
    <row r="575" spans="1:1">
      <c r="A575" s="8"/>
    </row>
    <row r="576" spans="1:1">
      <c r="A576" s="8"/>
    </row>
    <row r="577" spans="1:1">
      <c r="A577" s="8"/>
    </row>
    <row r="578" spans="1:1">
      <c r="A578" s="8"/>
    </row>
    <row r="579" spans="1:1">
      <c r="A579" s="8"/>
    </row>
    <row r="580" spans="1:1">
      <c r="A580" s="8"/>
    </row>
    <row r="581" spans="1:1">
      <c r="A581" s="8"/>
    </row>
    <row r="582" spans="1:1">
      <c r="A582" s="8"/>
    </row>
    <row r="583" spans="1:1">
      <c r="A583" s="8"/>
    </row>
    <row r="584" spans="1:1">
      <c r="A584" s="8"/>
    </row>
    <row r="585" spans="1:1">
      <c r="A585" s="8"/>
    </row>
    <row r="586" spans="1:1">
      <c r="A586" s="8"/>
    </row>
    <row r="587" spans="1:1">
      <c r="A587" s="8"/>
    </row>
    <row r="588" spans="1:1">
      <c r="A588" s="8"/>
    </row>
    <row r="589" spans="1:1">
      <c r="A589" s="8"/>
    </row>
    <row r="590" spans="1:1">
      <c r="A590" s="8"/>
    </row>
    <row r="591" spans="1:1">
      <c r="A591" s="8"/>
    </row>
    <row r="592" spans="1:1">
      <c r="A592" s="8"/>
    </row>
    <row r="593" spans="1:1">
      <c r="A593" s="8"/>
    </row>
    <row r="594" spans="1:1">
      <c r="A594" s="8"/>
    </row>
    <row r="595" spans="1:1">
      <c r="A595" s="8"/>
    </row>
    <row r="596" spans="1:1">
      <c r="A596" s="8"/>
    </row>
    <row r="597" spans="1:1">
      <c r="A597" s="8"/>
    </row>
    <row r="598" spans="1:1">
      <c r="A598" s="8"/>
    </row>
    <row r="599" spans="1:1">
      <c r="A599" s="8"/>
    </row>
    <row r="600" spans="1:1">
      <c r="A600" s="8"/>
    </row>
    <row r="601" spans="1:1">
      <c r="A601" s="8"/>
    </row>
    <row r="602" spans="1:1">
      <c r="A602" s="8"/>
    </row>
    <row r="603" spans="1:1">
      <c r="A603" s="8"/>
    </row>
    <row r="604" spans="1:1">
      <c r="A604" s="8"/>
    </row>
    <row r="605" spans="1:1">
      <c r="A605" s="8"/>
    </row>
    <row r="606" spans="1:1">
      <c r="A606" s="8"/>
    </row>
    <row r="607" spans="1:1">
      <c r="A607" s="8"/>
    </row>
    <row r="608" spans="1:1">
      <c r="A608" s="8"/>
    </row>
    <row r="609" spans="1:1">
      <c r="A609" s="8"/>
    </row>
    <row r="610" spans="1:1">
      <c r="A610" s="8"/>
    </row>
    <row r="611" spans="1:1">
      <c r="A611" s="8"/>
    </row>
    <row r="612" spans="1:1">
      <c r="A612" s="8"/>
    </row>
    <row r="613" spans="1:1">
      <c r="A613" s="8"/>
    </row>
    <row r="614" spans="1:1">
      <c r="A614" s="8"/>
    </row>
    <row r="615" spans="1:1">
      <c r="A615" s="8"/>
    </row>
    <row r="616" spans="1:1">
      <c r="A616" s="8"/>
    </row>
    <row r="617" spans="1:1">
      <c r="A617" s="8"/>
    </row>
    <row r="618" spans="1:1">
      <c r="A618" s="8"/>
    </row>
    <row r="619" spans="1:1">
      <c r="A619" s="8"/>
    </row>
    <row r="620" spans="1:1">
      <c r="A620" s="8"/>
    </row>
    <row r="621" spans="1:1">
      <c r="A621" s="8"/>
    </row>
    <row r="622" spans="1:1">
      <c r="A622" s="8"/>
    </row>
    <row r="623" spans="1:1">
      <c r="A623" s="8"/>
    </row>
    <row r="624" spans="1:1">
      <c r="A624" s="8"/>
    </row>
    <row r="625" spans="1:1">
      <c r="A625" s="8"/>
    </row>
    <row r="626" spans="1:1">
      <c r="A626" s="8"/>
    </row>
    <row r="627" spans="1:1">
      <c r="A627" s="8"/>
    </row>
    <row r="628" spans="1:1">
      <c r="A628" s="8"/>
    </row>
    <row r="629" spans="1:1">
      <c r="A629" s="8"/>
    </row>
    <row r="630" spans="1:1">
      <c r="A630" s="8"/>
    </row>
    <row r="631" spans="1:1">
      <c r="A631" s="8"/>
    </row>
    <row r="632" spans="1:1">
      <c r="A632" s="8"/>
    </row>
    <row r="633" spans="1:1">
      <c r="A633" s="8"/>
    </row>
    <row r="634" spans="1:1">
      <c r="A634" s="8"/>
    </row>
    <row r="635" spans="1:1">
      <c r="A635" s="8"/>
    </row>
    <row r="636" spans="1:1">
      <c r="A636" s="8"/>
    </row>
    <row r="637" spans="1:1">
      <c r="A637" s="8"/>
    </row>
    <row r="638" spans="1:1">
      <c r="A638" s="8"/>
    </row>
    <row r="639" spans="1:1">
      <c r="A639" s="8"/>
    </row>
    <row r="640" spans="1:1">
      <c r="A640" s="8"/>
    </row>
    <row r="641" spans="1:1">
      <c r="A641" s="8"/>
    </row>
    <row r="642" spans="1:1">
      <c r="A642" s="8"/>
    </row>
    <row r="643" spans="1:1">
      <c r="A643" s="8"/>
    </row>
    <row r="644" spans="1:1">
      <c r="A644" s="8"/>
    </row>
    <row r="645" spans="1:1">
      <c r="A645" s="8"/>
    </row>
    <row r="646" spans="1:1">
      <c r="A646" s="8"/>
    </row>
    <row r="647" spans="1:1">
      <c r="A647" s="8"/>
    </row>
    <row r="648" spans="1:1">
      <c r="A648" s="8"/>
    </row>
    <row r="649" spans="1:1">
      <c r="A649" s="8"/>
    </row>
    <row r="650" spans="1:1">
      <c r="A650" s="8"/>
    </row>
    <row r="651" spans="1:1">
      <c r="A651" s="8"/>
    </row>
    <row r="652" spans="1:1">
      <c r="A652" s="8"/>
    </row>
    <row r="653" spans="1:1">
      <c r="A653" s="8"/>
    </row>
    <row r="654" spans="1:1">
      <c r="A654" s="8"/>
    </row>
    <row r="655" spans="1:1">
      <c r="A655" s="8"/>
    </row>
    <row r="656" spans="1:1">
      <c r="A656" s="8"/>
    </row>
    <row r="657" spans="1:1">
      <c r="A657" s="8"/>
    </row>
    <row r="658" spans="1:1">
      <c r="A658" s="8"/>
    </row>
    <row r="659" spans="1:1">
      <c r="A659" s="8"/>
    </row>
    <row r="660" spans="1:1">
      <c r="A660" s="8"/>
    </row>
    <row r="661" spans="1:1">
      <c r="A661" s="8"/>
    </row>
    <row r="662" spans="1:1">
      <c r="A662" s="8"/>
    </row>
    <row r="663" spans="1:1">
      <c r="A663" s="8"/>
    </row>
    <row r="664" spans="1:1">
      <c r="A664" s="8"/>
    </row>
    <row r="665" spans="1:1">
      <c r="A665" s="8"/>
    </row>
    <row r="666" spans="1:1">
      <c r="A666" s="8"/>
    </row>
    <row r="667" spans="1:1">
      <c r="A667" s="8"/>
    </row>
    <row r="668" spans="1:1">
      <c r="A668" s="8"/>
    </row>
    <row r="669" spans="1:1">
      <c r="A669" s="8"/>
    </row>
    <row r="670" spans="1:1">
      <c r="A670" s="8"/>
    </row>
    <row r="671" spans="1:1">
      <c r="A671" s="8"/>
    </row>
    <row r="672" spans="1:1">
      <c r="A672" s="8"/>
    </row>
    <row r="673" spans="1:1">
      <c r="A673" s="8"/>
    </row>
    <row r="674" spans="1:1">
      <c r="A674" s="8"/>
    </row>
    <row r="675" spans="1:1">
      <c r="A675" s="8"/>
    </row>
    <row r="676" spans="1:1">
      <c r="A676" s="8"/>
    </row>
    <row r="677" spans="1:1">
      <c r="A677" s="8"/>
    </row>
    <row r="678" spans="1:1">
      <c r="A678" s="8"/>
    </row>
    <row r="679" spans="1:1">
      <c r="A679" s="8"/>
    </row>
    <row r="680" spans="1:1">
      <c r="A680" s="8"/>
    </row>
    <row r="681" spans="1:1">
      <c r="A681" s="8"/>
    </row>
    <row r="682" spans="1:1">
      <c r="A682" s="8"/>
    </row>
    <row r="683" spans="1:1">
      <c r="A683" s="8"/>
    </row>
    <row r="684" spans="1:1">
      <c r="A684" s="8"/>
    </row>
    <row r="685" spans="1:1">
      <c r="A685" s="8"/>
    </row>
    <row r="686" spans="1:1">
      <c r="A686" s="8"/>
    </row>
    <row r="687" spans="1:1">
      <c r="A687" s="8"/>
    </row>
    <row r="688" spans="1:1">
      <c r="A688" s="8"/>
    </row>
    <row r="689" spans="1:1">
      <c r="A689" s="8"/>
    </row>
    <row r="690" spans="1:1">
      <c r="A690" s="8"/>
    </row>
    <row r="691" spans="1:1">
      <c r="A691" s="8"/>
    </row>
    <row r="692" spans="1:1">
      <c r="A692" s="8"/>
    </row>
    <row r="693" spans="1:1">
      <c r="A693" s="8"/>
    </row>
    <row r="694" spans="1:1">
      <c r="A694" s="8"/>
    </row>
    <row r="695" spans="1:1">
      <c r="A695" s="8"/>
    </row>
    <row r="696" spans="1:1">
      <c r="A696" s="8"/>
    </row>
    <row r="697" spans="1:1">
      <c r="A697" s="8"/>
    </row>
    <row r="698" spans="1:1">
      <c r="A698" s="8"/>
    </row>
    <row r="699" spans="1:1">
      <c r="A699" s="8"/>
    </row>
    <row r="700" spans="1:1">
      <c r="A700" s="8"/>
    </row>
    <row r="701" spans="1:1">
      <c r="A701" s="8"/>
    </row>
    <row r="702" spans="1:1">
      <c r="A702" s="8"/>
    </row>
    <row r="703" spans="1:1">
      <c r="A703" s="8"/>
    </row>
    <row r="704" spans="1:1">
      <c r="A704" s="8"/>
    </row>
    <row r="705" spans="1:1">
      <c r="A705" s="8"/>
    </row>
    <row r="706" spans="1:1">
      <c r="A706" s="8"/>
    </row>
    <row r="707" spans="1:1">
      <c r="A707" s="8"/>
    </row>
    <row r="708" spans="1:1">
      <c r="A708" s="8"/>
    </row>
    <row r="709" spans="1:1">
      <c r="A709" s="8"/>
    </row>
    <row r="710" spans="1:1">
      <c r="A710" s="8"/>
    </row>
    <row r="711" spans="1:1">
      <c r="A711" s="8"/>
    </row>
    <row r="712" spans="1:1">
      <c r="A712" s="8"/>
    </row>
    <row r="713" spans="1:1">
      <c r="A713" s="8"/>
    </row>
    <row r="714" spans="1:1">
      <c r="A714" s="8"/>
    </row>
    <row r="715" spans="1:1">
      <c r="A715" s="8"/>
    </row>
    <row r="716" spans="1:1">
      <c r="A716" s="8"/>
    </row>
    <row r="717" spans="1:1">
      <c r="A717" s="8"/>
    </row>
    <row r="718" spans="1:1">
      <c r="A718" s="8"/>
    </row>
    <row r="719" spans="1:1">
      <c r="A719" s="8"/>
    </row>
    <row r="720" spans="1:1">
      <c r="A720" s="8"/>
    </row>
    <row r="721" spans="1:1">
      <c r="A721" s="8"/>
    </row>
    <row r="722" spans="1:1">
      <c r="A722" s="8"/>
    </row>
    <row r="723" spans="1:1">
      <c r="A723" s="8"/>
    </row>
    <row r="724" spans="1:1">
      <c r="A724" s="8"/>
    </row>
    <row r="725" spans="1:1">
      <c r="A725" s="8"/>
    </row>
    <row r="726" spans="1:1">
      <c r="A726" s="8"/>
    </row>
    <row r="727" spans="1:1">
      <c r="A727" s="8"/>
    </row>
    <row r="728" spans="1:1">
      <c r="A728" s="8"/>
    </row>
    <row r="729" spans="1:1">
      <c r="A729" s="8"/>
    </row>
    <row r="730" spans="1:1">
      <c r="A730" s="8"/>
    </row>
    <row r="731" spans="1:1">
      <c r="A731" s="8"/>
    </row>
    <row r="732" spans="1:1">
      <c r="A732" s="8"/>
    </row>
    <row r="733" spans="1:1">
      <c r="A733" s="8"/>
    </row>
    <row r="734" spans="1:1">
      <c r="A734" s="8"/>
    </row>
    <row r="735" spans="1:1">
      <c r="A735" s="8"/>
    </row>
    <row r="736" spans="1:1">
      <c r="A736" s="8"/>
    </row>
    <row r="737" spans="1:1">
      <c r="A737" s="8"/>
    </row>
    <row r="738" spans="1:1">
      <c r="A738" s="8"/>
    </row>
    <row r="739" spans="1:1">
      <c r="A739" s="8"/>
    </row>
    <row r="740" spans="1:1">
      <c r="A740" s="8"/>
    </row>
    <row r="741" spans="1:1">
      <c r="A741" s="8"/>
    </row>
    <row r="742" spans="1:1">
      <c r="A742" s="8"/>
    </row>
    <row r="743" spans="1:1">
      <c r="A743" s="8"/>
    </row>
    <row r="744" spans="1:1">
      <c r="A744" s="8"/>
    </row>
    <row r="745" spans="1:1">
      <c r="A745" s="8"/>
    </row>
    <row r="746" spans="1:1">
      <c r="A746" s="8"/>
    </row>
    <row r="747" spans="1:1">
      <c r="A747" s="8"/>
    </row>
    <row r="748" spans="1:1">
      <c r="A748" s="8"/>
    </row>
    <row r="749" spans="1:1">
      <c r="A749" s="8"/>
    </row>
    <row r="750" spans="1:1">
      <c r="A750" s="8"/>
    </row>
    <row r="751" spans="1:1">
      <c r="A751" s="8"/>
    </row>
    <row r="752" spans="1:1">
      <c r="A752" s="8"/>
    </row>
    <row r="753" spans="1:1">
      <c r="A753" s="8"/>
    </row>
    <row r="754" spans="1:1">
      <c r="A754" s="8"/>
    </row>
    <row r="755" spans="1:1">
      <c r="A755" s="8"/>
    </row>
    <row r="756" spans="1:1">
      <c r="A756" s="8"/>
    </row>
    <row r="757" spans="1:1">
      <c r="A757" s="8"/>
    </row>
    <row r="758" spans="1:1">
      <c r="A758" s="8"/>
    </row>
    <row r="759" spans="1:1">
      <c r="A759" s="8"/>
    </row>
    <row r="760" spans="1:1">
      <c r="A760" s="8"/>
    </row>
    <row r="761" spans="1:1">
      <c r="A761" s="8"/>
    </row>
    <row r="762" spans="1:1">
      <c r="A762" s="8"/>
    </row>
    <row r="763" spans="1:1">
      <c r="A763" s="8"/>
    </row>
    <row r="764" spans="1:1">
      <c r="A764" s="8"/>
    </row>
    <row r="765" spans="1:1">
      <c r="A765" s="8"/>
    </row>
    <row r="766" spans="1:1">
      <c r="A766" s="8"/>
    </row>
    <row r="767" spans="1:1">
      <c r="A767" s="8"/>
    </row>
    <row r="768" spans="1:1">
      <c r="A768" s="8"/>
    </row>
    <row r="769" spans="1:1">
      <c r="A769" s="8"/>
    </row>
    <row r="770" spans="1:1">
      <c r="A770" s="8"/>
    </row>
    <row r="771" spans="1:1">
      <c r="A771" s="8"/>
    </row>
    <row r="772" spans="1:1">
      <c r="A772" s="8"/>
    </row>
    <row r="773" spans="1:1">
      <c r="A773" s="8"/>
    </row>
    <row r="774" spans="1:1">
      <c r="A774" s="8"/>
    </row>
    <row r="775" spans="1:1">
      <c r="A775" s="8"/>
    </row>
    <row r="776" spans="1:1">
      <c r="A776" s="8"/>
    </row>
    <row r="777" spans="1:1">
      <c r="A777" s="8"/>
    </row>
    <row r="778" spans="1:1">
      <c r="A778" s="8"/>
    </row>
    <row r="779" spans="1:1">
      <c r="A779" s="8"/>
    </row>
    <row r="780" spans="1:1">
      <c r="A780" s="8"/>
    </row>
    <row r="781" spans="1:1">
      <c r="A781" s="8"/>
    </row>
    <row r="782" spans="1:1">
      <c r="A782" s="8"/>
    </row>
    <row r="783" spans="1:1">
      <c r="A783" s="8"/>
    </row>
    <row r="784" spans="1:1">
      <c r="A784" s="8"/>
    </row>
    <row r="785" spans="1:1">
      <c r="A785" s="8"/>
    </row>
    <row r="786" spans="1:1">
      <c r="A786" s="8"/>
    </row>
    <row r="787" spans="1:1">
      <c r="A787" s="8"/>
    </row>
    <row r="788" spans="1:1">
      <c r="A788" s="8"/>
    </row>
    <row r="789" spans="1:1">
      <c r="A789" s="8"/>
    </row>
    <row r="790" spans="1:1">
      <c r="A790" s="8"/>
    </row>
    <row r="791" spans="1:1">
      <c r="A791" s="8"/>
    </row>
    <row r="792" spans="1:1">
      <c r="A792" s="8"/>
    </row>
    <row r="793" spans="1:1">
      <c r="A793" s="8"/>
    </row>
    <row r="794" spans="1:1">
      <c r="A794" s="8"/>
    </row>
    <row r="795" spans="1:1">
      <c r="A795" s="8"/>
    </row>
    <row r="796" spans="1:1">
      <c r="A796" s="8"/>
    </row>
    <row r="797" spans="1:1">
      <c r="A797" s="8"/>
    </row>
    <row r="798" spans="1:1">
      <c r="A798" s="8"/>
    </row>
    <row r="799" spans="1:1">
      <c r="A799" s="8"/>
    </row>
    <row r="800" spans="1:1">
      <c r="A800" s="8"/>
    </row>
    <row r="801" spans="1:1">
      <c r="A801" s="8"/>
    </row>
    <row r="802" spans="1:1">
      <c r="A802" s="8"/>
    </row>
    <row r="803" spans="1:1">
      <c r="A803" s="8"/>
    </row>
    <row r="804" spans="1:1">
      <c r="A804" s="8"/>
    </row>
    <row r="805" spans="1:1">
      <c r="A805" s="8"/>
    </row>
    <row r="806" spans="1:1">
      <c r="A806" s="8"/>
    </row>
    <row r="807" spans="1:1">
      <c r="A807" s="8"/>
    </row>
    <row r="808" spans="1:1">
      <c r="A808" s="8"/>
    </row>
    <row r="809" spans="1:1">
      <c r="A809" s="8"/>
    </row>
    <row r="810" spans="1:1">
      <c r="A810" s="8"/>
    </row>
    <row r="811" spans="1:1">
      <c r="A811" s="8"/>
    </row>
    <row r="812" spans="1:1">
      <c r="A812" s="8"/>
    </row>
    <row r="813" spans="1:1">
      <c r="A813" s="8"/>
    </row>
    <row r="814" spans="1:1">
      <c r="A814" s="8"/>
    </row>
    <row r="815" spans="1:1">
      <c r="A815" s="8"/>
    </row>
    <row r="816" spans="1:1">
      <c r="A816" s="8"/>
    </row>
    <row r="817" spans="1:1">
      <c r="A817" s="8"/>
    </row>
    <row r="818" spans="1:1">
      <c r="A818" s="8"/>
    </row>
    <row r="819" spans="1:1">
      <c r="A819" s="8"/>
    </row>
    <row r="820" spans="1:1">
      <c r="A820" s="8"/>
    </row>
    <row r="821" spans="1:1">
      <c r="A821" s="8"/>
    </row>
    <row r="822" spans="1:1">
      <c r="A822" s="8"/>
    </row>
    <row r="823" spans="1:1">
      <c r="A823" s="8"/>
    </row>
    <row r="824" spans="1:1">
      <c r="A824" s="8"/>
    </row>
    <row r="825" spans="1:1">
      <c r="A825" s="8"/>
    </row>
    <row r="826" spans="1:1">
      <c r="A826" s="8"/>
    </row>
    <row r="827" spans="1:1">
      <c r="A827" s="8"/>
    </row>
    <row r="828" spans="1:1">
      <c r="A828" s="8"/>
    </row>
    <row r="829" spans="1:1">
      <c r="A829" s="8"/>
    </row>
    <row r="830" spans="1:1">
      <c r="A830" s="8"/>
    </row>
    <row r="831" spans="1:1">
      <c r="A831" s="8"/>
    </row>
    <row r="832" spans="1:1">
      <c r="A832" s="8"/>
    </row>
    <row r="833" spans="1:1">
      <c r="A833" s="8"/>
    </row>
    <row r="834" spans="1:1">
      <c r="A834" s="8"/>
    </row>
    <row r="835" spans="1:1">
      <c r="A835" s="8"/>
    </row>
    <row r="836" spans="1:1">
      <c r="A836" s="8"/>
    </row>
    <row r="837" spans="1:1">
      <c r="A837" s="8"/>
    </row>
    <row r="838" spans="1:1">
      <c r="A838" s="8"/>
    </row>
    <row r="839" spans="1:1">
      <c r="A839" s="8"/>
    </row>
    <row r="840" spans="1:1">
      <c r="A840" s="8"/>
    </row>
    <row r="841" spans="1:1">
      <c r="A841" s="8"/>
    </row>
    <row r="842" spans="1:1">
      <c r="A842" s="8"/>
    </row>
    <row r="843" spans="1:1">
      <c r="A843" s="8"/>
    </row>
    <row r="844" spans="1:1">
      <c r="A844" s="8"/>
    </row>
    <row r="845" spans="1:1">
      <c r="A845" s="8"/>
    </row>
    <row r="846" spans="1:1">
      <c r="A846" s="8"/>
    </row>
    <row r="847" spans="1:1">
      <c r="A847" s="8"/>
    </row>
    <row r="848" spans="1:1">
      <c r="A848" s="8"/>
    </row>
    <row r="849" spans="1:1">
      <c r="A849" s="8"/>
    </row>
    <row r="850" spans="1:1">
      <c r="A850" s="8"/>
    </row>
    <row r="851" spans="1:1">
      <c r="A851" s="8"/>
    </row>
    <row r="852" spans="1:1">
      <c r="A852" s="8"/>
    </row>
    <row r="853" spans="1:1">
      <c r="A853" s="8"/>
    </row>
    <row r="854" spans="1:1">
      <c r="A854" s="8"/>
    </row>
    <row r="855" spans="1:1">
      <c r="A855" s="8"/>
    </row>
    <row r="856" spans="1:1">
      <c r="A856" s="8"/>
    </row>
    <row r="857" spans="1:1">
      <c r="A857" s="8"/>
    </row>
    <row r="858" spans="1:1">
      <c r="A858" s="8"/>
    </row>
    <row r="859" spans="1:1">
      <c r="A859" s="8"/>
    </row>
    <row r="860" spans="1:1">
      <c r="A860" s="8"/>
    </row>
    <row r="861" spans="1:1">
      <c r="A861" s="8"/>
    </row>
    <row r="862" spans="1:1">
      <c r="A862" s="8"/>
    </row>
    <row r="863" spans="1:1">
      <c r="A863" s="8"/>
    </row>
    <row r="864" spans="1:1">
      <c r="A864" s="8"/>
    </row>
    <row r="865" spans="1:1">
      <c r="A865" s="8"/>
    </row>
    <row r="866" spans="1:1">
      <c r="A866" s="8"/>
    </row>
    <row r="867" spans="1:1">
      <c r="A867" s="8"/>
    </row>
    <row r="868" spans="1:1">
      <c r="A868" s="8"/>
    </row>
    <row r="869" spans="1:1">
      <c r="A869" s="8"/>
    </row>
    <row r="870" spans="1:1">
      <c r="A870" s="8"/>
    </row>
    <row r="871" spans="1:1">
      <c r="A871" s="8"/>
    </row>
    <row r="872" spans="1:1">
      <c r="A872" s="8"/>
    </row>
    <row r="873" spans="1:1">
      <c r="A873" s="8"/>
    </row>
    <row r="874" spans="1:1">
      <c r="A874" s="8"/>
    </row>
    <row r="875" spans="1:1">
      <c r="A875" s="8"/>
    </row>
    <row r="876" spans="1:1">
      <c r="A876" s="8"/>
    </row>
    <row r="877" spans="1:1">
      <c r="A877" s="8"/>
    </row>
    <row r="878" spans="1:1">
      <c r="A878" s="8"/>
    </row>
    <row r="879" spans="1:1">
      <c r="A879" s="8"/>
    </row>
    <row r="880" spans="1:1">
      <c r="A880" s="8"/>
    </row>
    <row r="881" spans="1:1">
      <c r="A881" s="8"/>
    </row>
    <row r="882" spans="1:1">
      <c r="A882" s="8"/>
    </row>
    <row r="883" spans="1:1">
      <c r="A883" s="8"/>
    </row>
    <row r="884" spans="1:1">
      <c r="A884" s="8"/>
    </row>
    <row r="885" spans="1:1">
      <c r="A885" s="8"/>
    </row>
    <row r="886" spans="1:1">
      <c r="A886" s="8"/>
    </row>
    <row r="887" spans="1:1">
      <c r="A887" s="8"/>
    </row>
    <row r="888" spans="1:1">
      <c r="A888" s="8"/>
    </row>
    <row r="889" spans="1:1">
      <c r="A889" s="8"/>
    </row>
    <row r="890" spans="1:1">
      <c r="A890" s="8"/>
    </row>
    <row r="891" spans="1:1">
      <c r="A891" s="8"/>
    </row>
    <row r="892" spans="1:1">
      <c r="A892" s="8"/>
    </row>
    <row r="893" spans="1:1">
      <c r="A893" s="8"/>
    </row>
    <row r="894" spans="1:1">
      <c r="A894" s="8"/>
    </row>
    <row r="895" spans="1:1">
      <c r="A895" s="8"/>
    </row>
    <row r="896" spans="1:1">
      <c r="A896" s="8"/>
    </row>
    <row r="897" spans="1:1">
      <c r="A897" s="8"/>
    </row>
    <row r="898" spans="1:1">
      <c r="A898" s="8"/>
    </row>
    <row r="899" spans="1:1">
      <c r="A899" s="8"/>
    </row>
    <row r="900" spans="1:1">
      <c r="A900" s="8"/>
    </row>
    <row r="901" spans="1:1">
      <c r="A901" s="8"/>
    </row>
    <row r="902" spans="1:1">
      <c r="A902" s="8"/>
    </row>
    <row r="903" spans="1:1">
      <c r="A903" s="8"/>
    </row>
    <row r="904" spans="1:1">
      <c r="A904" s="8"/>
    </row>
    <row r="905" spans="1:1">
      <c r="A905" s="8"/>
    </row>
    <row r="906" spans="1:1">
      <c r="A906" s="8"/>
    </row>
    <row r="907" spans="1:1">
      <c r="A907" s="8"/>
    </row>
    <row r="908" spans="1:1">
      <c r="A908" s="8"/>
    </row>
    <row r="909" spans="1:1">
      <c r="A909" s="8"/>
    </row>
    <row r="910" spans="1:1">
      <c r="A910" s="8"/>
    </row>
    <row r="911" spans="1:1">
      <c r="A911" s="8"/>
    </row>
    <row r="912" spans="1:1">
      <c r="A912" s="8"/>
    </row>
    <row r="913" spans="1:1">
      <c r="A913" s="8"/>
    </row>
    <row r="914" spans="1:1">
      <c r="A914" s="8"/>
    </row>
    <row r="915" spans="1:1">
      <c r="A915" s="8"/>
    </row>
    <row r="916" spans="1:1">
      <c r="A916" s="8"/>
    </row>
    <row r="917" spans="1:1">
      <c r="A917" s="8"/>
    </row>
    <row r="918" spans="1:1">
      <c r="A918" s="8"/>
    </row>
    <row r="919" spans="1:1">
      <c r="A919" s="8"/>
    </row>
    <row r="920" spans="1:1">
      <c r="A920" s="8"/>
    </row>
    <row r="921" spans="1:1">
      <c r="A921" s="8"/>
    </row>
    <row r="922" spans="1:1">
      <c r="A922" s="8"/>
    </row>
    <row r="923" spans="1:1">
      <c r="A923" s="8"/>
    </row>
    <row r="924" spans="1:1">
      <c r="A924" s="8"/>
    </row>
    <row r="925" spans="1:1">
      <c r="A925" s="8"/>
    </row>
    <row r="926" spans="1:1">
      <c r="A926" s="8"/>
    </row>
    <row r="927" spans="1:1">
      <c r="A927" s="8"/>
    </row>
    <row r="928" spans="1:1">
      <c r="A928" s="8"/>
    </row>
    <row r="929" spans="1:1">
      <c r="A929" s="8"/>
    </row>
    <row r="930" spans="1:1">
      <c r="A930" s="8"/>
    </row>
    <row r="931" spans="1:1">
      <c r="A931" s="8"/>
    </row>
    <row r="932" spans="1:1">
      <c r="A932" s="8"/>
    </row>
    <row r="933" spans="1:1">
      <c r="A933" s="8"/>
    </row>
    <row r="934" spans="1:1">
      <c r="A934" s="8"/>
    </row>
    <row r="935" spans="1:1">
      <c r="A935" s="8"/>
    </row>
    <row r="936" spans="1:1">
      <c r="A936" s="8"/>
    </row>
    <row r="937" spans="1:1">
      <c r="A937" s="8"/>
    </row>
    <row r="938" spans="1:1">
      <c r="A938" s="8"/>
    </row>
    <row r="939" spans="1:1">
      <c r="A939" s="8"/>
    </row>
    <row r="940" spans="1:1">
      <c r="A940" s="8"/>
    </row>
    <row r="941" spans="1:1">
      <c r="A941" s="8"/>
    </row>
    <row r="942" spans="1:1">
      <c r="A942" s="8"/>
    </row>
    <row r="943" spans="1:1">
      <c r="A943" s="8"/>
    </row>
    <row r="944" spans="1:1">
      <c r="A944" s="8"/>
    </row>
    <row r="945" spans="1:1">
      <c r="A945" s="8"/>
    </row>
    <row r="946" spans="1:1">
      <c r="A946" s="8"/>
    </row>
    <row r="947" spans="1:1">
      <c r="A947" s="8"/>
    </row>
    <row r="948" spans="1:1">
      <c r="A948" s="8"/>
    </row>
    <row r="949" spans="1:1">
      <c r="A949" s="8"/>
    </row>
    <row r="950" spans="1:1">
      <c r="A950" s="8"/>
    </row>
    <row r="951" spans="1:1">
      <c r="A951" s="8"/>
    </row>
    <row r="952" spans="1:1">
      <c r="A952" s="8"/>
    </row>
    <row r="953" spans="1:1">
      <c r="A953" s="8"/>
    </row>
    <row r="954" spans="1:1">
      <c r="A954" s="8"/>
    </row>
    <row r="955" spans="1:1">
      <c r="A955" s="8"/>
    </row>
    <row r="956" spans="1:1">
      <c r="A956" s="8"/>
    </row>
    <row r="957" spans="1:1">
      <c r="A957" s="8"/>
    </row>
    <row r="958" spans="1:1">
      <c r="A958" s="8"/>
    </row>
    <row r="959" spans="1:1">
      <c r="A959" s="8"/>
    </row>
    <row r="960" spans="1:1">
      <c r="A960" s="8"/>
    </row>
    <row r="961" spans="1:1">
      <c r="A961" s="8"/>
    </row>
    <row r="962" spans="1:1">
      <c r="A962" s="8"/>
    </row>
    <row r="963" spans="1:1">
      <c r="A963" s="8"/>
    </row>
    <row r="964" spans="1:1">
      <c r="A964" s="8"/>
    </row>
    <row r="965" spans="1:1">
      <c r="A965" s="8"/>
    </row>
    <row r="966" spans="1:1">
      <c r="A966" s="8"/>
    </row>
    <row r="967" spans="1:1">
      <c r="A967" s="8"/>
    </row>
    <row r="968" spans="1:1">
      <c r="A968" s="8"/>
    </row>
    <row r="969" spans="1:1">
      <c r="A969" s="8"/>
    </row>
    <row r="970" spans="1:1">
      <c r="A970" s="8"/>
    </row>
    <row r="971" spans="1:1">
      <c r="A971" s="8"/>
    </row>
    <row r="972" spans="1:1">
      <c r="A972" s="8"/>
    </row>
    <row r="973" spans="1:1">
      <c r="A973" s="8"/>
    </row>
    <row r="974" spans="1:1">
      <c r="A974" s="8"/>
    </row>
    <row r="975" spans="1:1">
      <c r="A975" s="8"/>
    </row>
    <row r="976" spans="1:1">
      <c r="A976" s="8"/>
    </row>
    <row r="977" spans="1:1">
      <c r="A977" s="8"/>
    </row>
    <row r="978" spans="1:1">
      <c r="A978" s="8"/>
    </row>
    <row r="979" spans="1:1">
      <c r="A979" s="8"/>
    </row>
    <row r="980" spans="1:1">
      <c r="A980" s="8"/>
    </row>
    <row r="981" spans="1:1">
      <c r="A981" s="8"/>
    </row>
    <row r="982" spans="1:1">
      <c r="A982" s="8"/>
    </row>
    <row r="983" spans="1:1">
      <c r="A983" s="8"/>
    </row>
    <row r="984" spans="1:1">
      <c r="A984" s="8"/>
    </row>
    <row r="985" spans="1:1">
      <c r="A985" s="8"/>
    </row>
    <row r="986" spans="1:1">
      <c r="A986" s="8"/>
    </row>
    <row r="987" spans="1:1">
      <c r="A987" s="8"/>
    </row>
    <row r="988" spans="1:1">
      <c r="A988" s="8"/>
    </row>
    <row r="989" spans="1:1">
      <c r="A989" s="8"/>
    </row>
    <row r="990" spans="1:1">
      <c r="A990" s="8"/>
    </row>
    <row r="991" spans="1:1">
      <c r="A991" s="8"/>
    </row>
    <row r="992" spans="1:1">
      <c r="A992" s="8"/>
    </row>
    <row r="993" spans="1:1">
      <c r="A993" s="8"/>
    </row>
    <row r="994" spans="1:1">
      <c r="A994" s="8"/>
    </row>
    <row r="995" spans="1:1">
      <c r="A995" s="8"/>
    </row>
    <row r="996" spans="1:1">
      <c r="A996" s="8"/>
    </row>
    <row r="997" spans="1:1">
      <c r="A997" s="8"/>
    </row>
    <row r="998" spans="1:1">
      <c r="A998" s="8"/>
    </row>
  </sheetData>
  <autoFilter ref="A1:E144" xr:uid="{00000000-0009-0000-0000-000002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133"/>
  <sheetViews>
    <sheetView topLeftCell="A16" workbookViewId="0">
      <selection activeCell="A11" sqref="A11"/>
    </sheetView>
  </sheetViews>
  <sheetFormatPr defaultColWidth="12.5703125" defaultRowHeight="15.75" customHeight="1"/>
  <cols>
    <col min="3" max="3" width="52.5703125" customWidth="1"/>
    <col min="5" max="5" width="19.42578125" customWidth="1"/>
  </cols>
  <sheetData>
    <row r="1" spans="1:5">
      <c r="A1" s="9" t="s">
        <v>26</v>
      </c>
      <c r="B1" s="9" t="s">
        <v>27</v>
      </c>
      <c r="C1" s="9" t="s">
        <v>330</v>
      </c>
      <c r="D1" s="9" t="s">
        <v>331</v>
      </c>
      <c r="E1" s="9" t="s">
        <v>332</v>
      </c>
    </row>
    <row r="2" spans="1:5">
      <c r="A2" s="5" t="s">
        <v>31</v>
      </c>
      <c r="B2" s="5" t="s">
        <v>32</v>
      </c>
      <c r="C2" s="5" t="s">
        <v>333</v>
      </c>
      <c r="D2" s="5" t="s">
        <v>334</v>
      </c>
      <c r="E2" s="5" t="s">
        <v>334</v>
      </c>
    </row>
    <row r="3" spans="1:5">
      <c r="A3" s="5" t="s">
        <v>35</v>
      </c>
      <c r="B3" s="5" t="s">
        <v>32</v>
      </c>
      <c r="C3" s="5" t="s">
        <v>333</v>
      </c>
      <c r="D3" s="5" t="s">
        <v>334</v>
      </c>
      <c r="E3" s="5" t="s">
        <v>334</v>
      </c>
    </row>
    <row r="4" spans="1:5">
      <c r="A4" s="5" t="s">
        <v>37</v>
      </c>
      <c r="B4" s="5" t="s">
        <v>138</v>
      </c>
      <c r="C4" s="5" t="s">
        <v>335</v>
      </c>
      <c r="D4" s="5" t="s">
        <v>334</v>
      </c>
      <c r="E4" s="5" t="s">
        <v>336</v>
      </c>
    </row>
    <row r="5" spans="1:5">
      <c r="A5" s="5" t="s">
        <v>40</v>
      </c>
      <c r="B5" s="5" t="s">
        <v>337</v>
      </c>
      <c r="C5" s="5" t="s">
        <v>338</v>
      </c>
      <c r="D5" s="5" t="s">
        <v>334</v>
      </c>
      <c r="E5" s="5" t="s">
        <v>334</v>
      </c>
    </row>
    <row r="6" spans="1:5">
      <c r="A6" s="5" t="s">
        <v>19</v>
      </c>
      <c r="B6" s="5" t="s">
        <v>43</v>
      </c>
      <c r="C6" s="5" t="s">
        <v>339</v>
      </c>
      <c r="D6" s="5" t="s">
        <v>334</v>
      </c>
      <c r="E6" s="5" t="s">
        <v>32</v>
      </c>
    </row>
    <row r="7" spans="1:5">
      <c r="A7" s="5" t="s">
        <v>3</v>
      </c>
      <c r="B7" s="5" t="s">
        <v>45</v>
      </c>
      <c r="C7" s="5" t="s">
        <v>340</v>
      </c>
      <c r="D7" s="5" t="s">
        <v>32</v>
      </c>
      <c r="E7" s="5" t="s">
        <v>341</v>
      </c>
    </row>
    <row r="8" spans="1:5">
      <c r="A8" s="5" t="s">
        <v>47</v>
      </c>
      <c r="B8" s="5" t="s">
        <v>342</v>
      </c>
      <c r="C8" s="5" t="s">
        <v>343</v>
      </c>
      <c r="D8" s="5" t="s">
        <v>334</v>
      </c>
      <c r="E8" s="5" t="s">
        <v>334</v>
      </c>
    </row>
    <row r="9" spans="1:5">
      <c r="A9" s="5" t="s">
        <v>21</v>
      </c>
      <c r="B9" s="5" t="s">
        <v>50</v>
      </c>
      <c r="C9" s="5" t="s">
        <v>344</v>
      </c>
      <c r="D9" s="5" t="s">
        <v>82</v>
      </c>
      <c r="E9" s="5" t="s">
        <v>334</v>
      </c>
    </row>
    <row r="10" spans="1:5">
      <c r="A10" s="5" t="s">
        <v>4</v>
      </c>
      <c r="B10" s="5" t="s">
        <v>52</v>
      </c>
      <c r="C10" s="5" t="s">
        <v>345</v>
      </c>
      <c r="D10" s="5" t="s">
        <v>82</v>
      </c>
      <c r="E10" s="5" t="s">
        <v>154</v>
      </c>
    </row>
    <row r="11" spans="1:5">
      <c r="A11" s="5" t="s">
        <v>7</v>
      </c>
      <c r="B11" s="5" t="s">
        <v>54</v>
      </c>
      <c r="C11" s="5" t="s">
        <v>346</v>
      </c>
      <c r="D11" s="5" t="s">
        <v>334</v>
      </c>
      <c r="E11" s="5" t="s">
        <v>334</v>
      </c>
    </row>
    <row r="12" spans="1:5">
      <c r="A12" s="5" t="s">
        <v>9</v>
      </c>
      <c r="B12" s="5" t="s">
        <v>54</v>
      </c>
      <c r="C12" s="5" t="s">
        <v>346</v>
      </c>
      <c r="D12" s="5" t="s">
        <v>334</v>
      </c>
      <c r="E12" s="5" t="s">
        <v>334</v>
      </c>
    </row>
    <row r="13" spans="1:5">
      <c r="A13" s="5" t="s">
        <v>58</v>
      </c>
      <c r="B13" s="5" t="s">
        <v>59</v>
      </c>
      <c r="C13" s="5" t="s">
        <v>347</v>
      </c>
      <c r="D13" s="5" t="s">
        <v>334</v>
      </c>
      <c r="E13" s="5" t="s">
        <v>334</v>
      </c>
    </row>
    <row r="14" spans="1:5">
      <c r="A14" s="5" t="s">
        <v>61</v>
      </c>
      <c r="B14" s="5" t="s">
        <v>62</v>
      </c>
      <c r="C14" s="5" t="s">
        <v>348</v>
      </c>
      <c r="D14" s="5" t="s">
        <v>334</v>
      </c>
      <c r="E14" s="5" t="s">
        <v>32</v>
      </c>
    </row>
    <row r="15" spans="1:5">
      <c r="A15" s="5" t="s">
        <v>17</v>
      </c>
      <c r="B15" s="5" t="s">
        <v>64</v>
      </c>
      <c r="C15" s="5" t="s">
        <v>64</v>
      </c>
      <c r="D15" s="5" t="s">
        <v>334</v>
      </c>
      <c r="E15" s="5" t="s">
        <v>334</v>
      </c>
    </row>
    <row r="16" spans="1:5">
      <c r="A16" s="5" t="s">
        <v>66</v>
      </c>
      <c r="B16" s="5" t="s">
        <v>67</v>
      </c>
      <c r="C16" s="5" t="s">
        <v>349</v>
      </c>
      <c r="D16" s="5" t="s">
        <v>334</v>
      </c>
      <c r="E16" s="5" t="s">
        <v>154</v>
      </c>
    </row>
    <row r="17" spans="1:5">
      <c r="A17" s="5" t="s">
        <v>8</v>
      </c>
      <c r="B17" s="5" t="s">
        <v>69</v>
      </c>
      <c r="C17" s="5" t="s">
        <v>350</v>
      </c>
      <c r="D17" s="5" t="s">
        <v>334</v>
      </c>
      <c r="E17" s="5" t="s">
        <v>351</v>
      </c>
    </row>
    <row r="18" spans="1:5">
      <c r="A18" s="5" t="s">
        <v>71</v>
      </c>
      <c r="B18" s="5" t="s">
        <v>59</v>
      </c>
      <c r="C18" s="5" t="s">
        <v>347</v>
      </c>
      <c r="D18" s="5" t="s">
        <v>334</v>
      </c>
      <c r="E18" s="5" t="s">
        <v>334</v>
      </c>
    </row>
    <row r="19" spans="1:5">
      <c r="A19" s="5" t="s">
        <v>73</v>
      </c>
      <c r="B19" s="5" t="s">
        <v>74</v>
      </c>
      <c r="C19" s="5" t="s">
        <v>352</v>
      </c>
      <c r="D19" s="5" t="s">
        <v>334</v>
      </c>
      <c r="E19" s="5" t="s">
        <v>76</v>
      </c>
    </row>
    <row r="20" spans="1:5">
      <c r="A20" s="5" t="s">
        <v>353</v>
      </c>
      <c r="B20" s="5" t="s">
        <v>76</v>
      </c>
      <c r="C20" s="5" t="s">
        <v>354</v>
      </c>
      <c r="D20" s="5" t="s">
        <v>334</v>
      </c>
      <c r="E20" s="5" t="s">
        <v>334</v>
      </c>
    </row>
    <row r="21" spans="1:5">
      <c r="A21" s="5" t="s">
        <v>78</v>
      </c>
      <c r="B21" s="5" t="s">
        <v>79</v>
      </c>
      <c r="C21" s="5" t="s">
        <v>355</v>
      </c>
      <c r="D21" s="5" t="s">
        <v>334</v>
      </c>
      <c r="E21" s="5" t="s">
        <v>76</v>
      </c>
    </row>
    <row r="22" spans="1:5">
      <c r="A22" s="5" t="s">
        <v>81</v>
      </c>
      <c r="B22" s="5" t="s">
        <v>82</v>
      </c>
      <c r="C22" s="5" t="s">
        <v>356</v>
      </c>
      <c r="D22" s="5" t="s">
        <v>334</v>
      </c>
      <c r="E22" s="5" t="s">
        <v>334</v>
      </c>
    </row>
    <row r="23" spans="1:5">
      <c r="A23" s="5" t="s">
        <v>84</v>
      </c>
      <c r="B23" s="5" t="s">
        <v>59</v>
      </c>
      <c r="C23" s="5" t="s">
        <v>347</v>
      </c>
      <c r="D23" s="5" t="s">
        <v>334</v>
      </c>
      <c r="E23" s="5" t="s">
        <v>334</v>
      </c>
    </row>
    <row r="24" spans="1:5">
      <c r="A24" s="5" t="s">
        <v>23</v>
      </c>
      <c r="B24" s="5" t="s">
        <v>54</v>
      </c>
      <c r="C24" s="5" t="s">
        <v>346</v>
      </c>
      <c r="D24" s="5" t="s">
        <v>334</v>
      </c>
      <c r="E24" s="5" t="s">
        <v>334</v>
      </c>
    </row>
    <row r="25" spans="1:5">
      <c r="A25" s="5" t="s">
        <v>87</v>
      </c>
      <c r="B25" s="5" t="s">
        <v>88</v>
      </c>
      <c r="C25" s="5" t="s">
        <v>62</v>
      </c>
      <c r="D25" s="5" t="s">
        <v>334</v>
      </c>
      <c r="E25" s="5" t="s">
        <v>357</v>
      </c>
    </row>
    <row r="26" spans="1:5">
      <c r="A26" s="5" t="s">
        <v>90</v>
      </c>
      <c r="B26" s="5" t="s">
        <v>91</v>
      </c>
      <c r="C26" s="5" t="s">
        <v>358</v>
      </c>
      <c r="D26" s="5" t="s">
        <v>334</v>
      </c>
      <c r="E26" s="5" t="s">
        <v>334</v>
      </c>
    </row>
    <row r="27" spans="1:5">
      <c r="A27" s="5" t="s">
        <v>94</v>
      </c>
      <c r="B27" s="5" t="s">
        <v>82</v>
      </c>
      <c r="C27" s="5" t="s">
        <v>356</v>
      </c>
      <c r="D27" s="5" t="s">
        <v>334</v>
      </c>
      <c r="E27" s="5" t="s">
        <v>334</v>
      </c>
    </row>
    <row r="28" spans="1:5">
      <c r="A28" s="5" t="s">
        <v>97</v>
      </c>
      <c r="B28" s="5" t="s">
        <v>82</v>
      </c>
      <c r="C28" s="5" t="s">
        <v>356</v>
      </c>
      <c r="D28" s="5" t="s">
        <v>334</v>
      </c>
      <c r="E28" s="5" t="s">
        <v>334</v>
      </c>
    </row>
    <row r="29" spans="1:5">
      <c r="A29" s="5" t="s">
        <v>99</v>
      </c>
      <c r="B29" s="5" t="s">
        <v>59</v>
      </c>
      <c r="C29" s="5" t="s">
        <v>347</v>
      </c>
      <c r="D29" s="5" t="s">
        <v>334</v>
      </c>
      <c r="E29" s="5" t="s">
        <v>334</v>
      </c>
    </row>
    <row r="30" spans="1:5">
      <c r="A30" s="5" t="s">
        <v>169</v>
      </c>
      <c r="B30" s="5" t="s">
        <v>359</v>
      </c>
      <c r="C30" s="5" t="s">
        <v>360</v>
      </c>
      <c r="D30" s="5" t="s">
        <v>334</v>
      </c>
      <c r="E30" s="5" t="s">
        <v>334</v>
      </c>
    </row>
    <row r="31" spans="1:5">
      <c r="A31" s="5" t="s">
        <v>103</v>
      </c>
      <c r="B31" s="5" t="s">
        <v>54</v>
      </c>
      <c r="C31" s="5" t="s">
        <v>346</v>
      </c>
      <c r="D31" s="5" t="s">
        <v>334</v>
      </c>
      <c r="E31" s="5" t="s">
        <v>334</v>
      </c>
    </row>
    <row r="32" spans="1:5">
      <c r="A32" s="5" t="s">
        <v>105</v>
      </c>
      <c r="B32" s="5" t="s">
        <v>54</v>
      </c>
      <c r="C32" s="5" t="s">
        <v>346</v>
      </c>
      <c r="D32" s="5" t="s">
        <v>334</v>
      </c>
      <c r="E32" s="5" t="s">
        <v>334</v>
      </c>
    </row>
    <row r="33" spans="1:5">
      <c r="A33" s="5" t="s">
        <v>107</v>
      </c>
      <c r="B33" s="5" t="s">
        <v>82</v>
      </c>
      <c r="C33" s="5" t="s">
        <v>356</v>
      </c>
      <c r="D33" s="5" t="s">
        <v>334</v>
      </c>
      <c r="E33" s="5" t="s">
        <v>334</v>
      </c>
    </row>
    <row r="34" spans="1:5">
      <c r="A34" s="5" t="s">
        <v>109</v>
      </c>
      <c r="B34" s="5" t="s">
        <v>82</v>
      </c>
      <c r="C34" s="5" t="s">
        <v>356</v>
      </c>
      <c r="D34" s="5" t="s">
        <v>334</v>
      </c>
      <c r="E34" s="5" t="s">
        <v>334</v>
      </c>
    </row>
    <row r="35" spans="1:5">
      <c r="A35" s="5" t="s">
        <v>113</v>
      </c>
      <c r="B35" s="5" t="s">
        <v>59</v>
      </c>
      <c r="C35" s="5" t="s">
        <v>347</v>
      </c>
      <c r="D35" s="5" t="s">
        <v>334</v>
      </c>
      <c r="E35" s="5" t="s">
        <v>334</v>
      </c>
    </row>
    <row r="36" spans="1:5">
      <c r="A36" s="5" t="s">
        <v>115</v>
      </c>
      <c r="B36" s="5" t="s">
        <v>59</v>
      </c>
      <c r="C36" s="5" t="s">
        <v>347</v>
      </c>
      <c r="D36" s="5" t="s">
        <v>334</v>
      </c>
      <c r="E36" s="5" t="s">
        <v>334</v>
      </c>
    </row>
    <row r="37" spans="1:5">
      <c r="A37" s="5" t="s">
        <v>118</v>
      </c>
      <c r="B37" s="5" t="s">
        <v>54</v>
      </c>
      <c r="C37" s="5" t="s">
        <v>346</v>
      </c>
      <c r="D37" s="5" t="s">
        <v>334</v>
      </c>
      <c r="E37" s="5" t="s">
        <v>334</v>
      </c>
    </row>
    <row r="38" spans="1:5">
      <c r="A38" s="5" t="s">
        <v>120</v>
      </c>
      <c r="B38" s="5" t="s">
        <v>54</v>
      </c>
      <c r="C38" s="5" t="s">
        <v>346</v>
      </c>
      <c r="D38" s="5" t="s">
        <v>334</v>
      </c>
      <c r="E38" s="5" t="s">
        <v>334</v>
      </c>
    </row>
    <row r="39" spans="1:5">
      <c r="A39" s="5" t="s">
        <v>123</v>
      </c>
      <c r="B39" s="5" t="s">
        <v>361</v>
      </c>
      <c r="C39" s="5" t="s">
        <v>362</v>
      </c>
      <c r="D39" s="5" t="s">
        <v>334</v>
      </c>
      <c r="E39" s="5" t="s">
        <v>336</v>
      </c>
    </row>
    <row r="40" spans="1:5">
      <c r="A40" s="5" t="s">
        <v>5</v>
      </c>
      <c r="B40" s="5" t="s">
        <v>76</v>
      </c>
      <c r="C40" s="5" t="s">
        <v>354</v>
      </c>
      <c r="D40" s="5" t="s">
        <v>334</v>
      </c>
      <c r="E40" s="5" t="s">
        <v>334</v>
      </c>
    </row>
    <row r="41" spans="1:5">
      <c r="A41" s="5" t="s">
        <v>15</v>
      </c>
      <c r="B41" s="5" t="s">
        <v>76</v>
      </c>
      <c r="C41" s="5" t="s">
        <v>354</v>
      </c>
      <c r="D41" s="5" t="s">
        <v>334</v>
      </c>
      <c r="E41" s="5" t="s">
        <v>334</v>
      </c>
    </row>
    <row r="42" spans="1:5">
      <c r="A42" s="5" t="s">
        <v>128</v>
      </c>
      <c r="B42" s="5" t="s">
        <v>129</v>
      </c>
      <c r="C42" s="5" t="s">
        <v>334</v>
      </c>
      <c r="D42" s="5" t="s">
        <v>334</v>
      </c>
      <c r="E42" s="5" t="s">
        <v>363</v>
      </c>
    </row>
    <row r="43" spans="1:5">
      <c r="A43" s="5" t="s">
        <v>131</v>
      </c>
      <c r="B43" s="5" t="s">
        <v>76</v>
      </c>
      <c r="C43" s="5" t="s">
        <v>354</v>
      </c>
      <c r="D43" s="5" t="s">
        <v>334</v>
      </c>
      <c r="E43" s="5" t="s">
        <v>334</v>
      </c>
    </row>
    <row r="44" spans="1:5">
      <c r="A44" s="5" t="s">
        <v>133</v>
      </c>
      <c r="B44" s="5" t="s">
        <v>32</v>
      </c>
      <c r="C44" s="5" t="s">
        <v>333</v>
      </c>
      <c r="D44" s="5" t="s">
        <v>334</v>
      </c>
      <c r="E44" s="5" t="s">
        <v>334</v>
      </c>
    </row>
    <row r="45" spans="1:5">
      <c r="A45" s="5" t="s">
        <v>135</v>
      </c>
      <c r="B45" s="5" t="s">
        <v>82</v>
      </c>
      <c r="C45" s="5" t="s">
        <v>356</v>
      </c>
      <c r="D45" s="5" t="s">
        <v>334</v>
      </c>
      <c r="E45" s="5" t="s">
        <v>334</v>
      </c>
    </row>
    <row r="46" spans="1:5">
      <c r="A46" s="5" t="s">
        <v>137</v>
      </c>
      <c r="B46" s="5" t="s">
        <v>138</v>
      </c>
      <c r="C46" s="5" t="s">
        <v>335</v>
      </c>
      <c r="D46" s="5" t="s">
        <v>334</v>
      </c>
      <c r="E46" s="5" t="s">
        <v>336</v>
      </c>
    </row>
    <row r="47" spans="1:5">
      <c r="A47" s="5" t="s">
        <v>140</v>
      </c>
      <c r="B47" s="5" t="s">
        <v>141</v>
      </c>
      <c r="C47" s="5" t="s">
        <v>364</v>
      </c>
      <c r="D47" s="5" t="s">
        <v>334</v>
      </c>
      <c r="E47" s="5" t="s">
        <v>32</v>
      </c>
    </row>
    <row r="48" spans="1:5">
      <c r="A48" s="5" t="s">
        <v>143</v>
      </c>
      <c r="B48" s="5" t="s">
        <v>141</v>
      </c>
      <c r="C48" s="5" t="s">
        <v>364</v>
      </c>
      <c r="D48" s="5" t="s">
        <v>334</v>
      </c>
      <c r="E48" s="5" t="s">
        <v>32</v>
      </c>
    </row>
    <row r="49" spans="1:5">
      <c r="A49" s="5" t="s">
        <v>145</v>
      </c>
      <c r="B49" s="5" t="s">
        <v>146</v>
      </c>
      <c r="C49" s="5" t="s">
        <v>365</v>
      </c>
      <c r="D49" s="5" t="s">
        <v>334</v>
      </c>
      <c r="E49" s="5" t="s">
        <v>366</v>
      </c>
    </row>
    <row r="50" spans="1:5">
      <c r="A50" s="5" t="s">
        <v>16</v>
      </c>
      <c r="B50" s="5" t="s">
        <v>146</v>
      </c>
      <c r="C50" s="5" t="s">
        <v>365</v>
      </c>
      <c r="D50" s="5" t="s">
        <v>334</v>
      </c>
      <c r="E50" s="5" t="s">
        <v>366</v>
      </c>
    </row>
    <row r="51" spans="1:5">
      <c r="A51" s="5" t="s">
        <v>149</v>
      </c>
      <c r="B51" s="5" t="s">
        <v>150</v>
      </c>
      <c r="C51" s="5" t="s">
        <v>367</v>
      </c>
      <c r="D51" s="5" t="s">
        <v>334</v>
      </c>
      <c r="E51" s="5" t="s">
        <v>334</v>
      </c>
    </row>
    <row r="52" spans="1:5">
      <c r="A52" s="5" t="s">
        <v>24</v>
      </c>
      <c r="B52" s="5" t="s">
        <v>150</v>
      </c>
      <c r="C52" s="5" t="s">
        <v>367</v>
      </c>
      <c r="D52" s="5" t="s">
        <v>334</v>
      </c>
      <c r="E52" s="5" t="s">
        <v>334</v>
      </c>
    </row>
    <row r="53" spans="1:5">
      <c r="A53" s="5" t="s">
        <v>153</v>
      </c>
      <c r="B53" s="5" t="s">
        <v>154</v>
      </c>
      <c r="C53" s="5" t="s">
        <v>368</v>
      </c>
      <c r="D53" s="5" t="s">
        <v>334</v>
      </c>
      <c r="E53" s="5" t="s">
        <v>76</v>
      </c>
    </row>
    <row r="54" spans="1:5">
      <c r="A54" s="5" t="s">
        <v>156</v>
      </c>
      <c r="B54" s="5" t="s">
        <v>154</v>
      </c>
      <c r="C54" s="5" t="s">
        <v>368</v>
      </c>
      <c r="D54" s="5" t="s">
        <v>334</v>
      </c>
      <c r="E54" s="5" t="s">
        <v>76</v>
      </c>
    </row>
    <row r="55" spans="1:5">
      <c r="A55" s="5" t="s">
        <v>158</v>
      </c>
      <c r="B55" s="5" t="s">
        <v>88</v>
      </c>
      <c r="C55" s="5" t="s">
        <v>62</v>
      </c>
      <c r="D55" s="5" t="s">
        <v>334</v>
      </c>
      <c r="E55" s="5" t="s">
        <v>357</v>
      </c>
    </row>
    <row r="56" spans="1:5">
      <c r="A56" s="5" t="s">
        <v>160</v>
      </c>
      <c r="B56" s="5" t="s">
        <v>88</v>
      </c>
      <c r="C56" s="5" t="s">
        <v>62</v>
      </c>
      <c r="D56" s="5" t="s">
        <v>334</v>
      </c>
      <c r="E56" s="5" t="s">
        <v>357</v>
      </c>
    </row>
    <row r="57" spans="1:5">
      <c r="A57" s="5" t="s">
        <v>163</v>
      </c>
      <c r="B57" s="5" t="s">
        <v>164</v>
      </c>
      <c r="C57" s="5" t="s">
        <v>369</v>
      </c>
      <c r="D57" s="5" t="s">
        <v>334</v>
      </c>
      <c r="E57" s="5" t="s">
        <v>334</v>
      </c>
    </row>
    <row r="58" spans="1:5">
      <c r="A58" s="5" t="s">
        <v>166</v>
      </c>
      <c r="B58" s="5" t="s">
        <v>359</v>
      </c>
      <c r="C58" s="5" t="s">
        <v>360</v>
      </c>
      <c r="D58" s="5" t="s">
        <v>334</v>
      </c>
      <c r="E58" s="5" t="s">
        <v>334</v>
      </c>
    </row>
    <row r="59" spans="1:5">
      <c r="A59" s="5" t="s">
        <v>171</v>
      </c>
      <c r="B59" s="5" t="s">
        <v>67</v>
      </c>
      <c r="C59" s="5" t="s">
        <v>349</v>
      </c>
      <c r="D59" s="5" t="s">
        <v>334</v>
      </c>
      <c r="E59" s="5" t="s">
        <v>154</v>
      </c>
    </row>
    <row r="60" spans="1:5">
      <c r="A60" s="5" t="s">
        <v>18</v>
      </c>
      <c r="B60" s="5" t="s">
        <v>67</v>
      </c>
      <c r="C60" s="5" t="s">
        <v>349</v>
      </c>
      <c r="D60" s="5" t="s">
        <v>334</v>
      </c>
      <c r="E60" s="5" t="s">
        <v>154</v>
      </c>
    </row>
    <row r="61" spans="1:5">
      <c r="A61" s="5" t="s">
        <v>174</v>
      </c>
      <c r="B61" s="5" t="s">
        <v>82</v>
      </c>
      <c r="C61" s="5" t="s">
        <v>356</v>
      </c>
      <c r="D61" s="5" t="s">
        <v>334</v>
      </c>
      <c r="E61" s="5" t="s">
        <v>334</v>
      </c>
    </row>
    <row r="62" spans="1:5">
      <c r="A62" s="5" t="s">
        <v>176</v>
      </c>
      <c r="B62" s="5" t="s">
        <v>82</v>
      </c>
      <c r="C62" s="5" t="s">
        <v>356</v>
      </c>
      <c r="D62" s="5" t="s">
        <v>334</v>
      </c>
      <c r="E62" s="5" t="s">
        <v>334</v>
      </c>
    </row>
    <row r="63" spans="1:5">
      <c r="A63" s="5" t="s">
        <v>178</v>
      </c>
      <c r="B63" s="5" t="s">
        <v>179</v>
      </c>
      <c r="C63" s="5" t="s">
        <v>370</v>
      </c>
      <c r="D63" s="5" t="s">
        <v>82</v>
      </c>
      <c r="E63" s="5" t="s">
        <v>334</v>
      </c>
    </row>
    <row r="64" spans="1:5">
      <c r="A64" s="5" t="s">
        <v>181</v>
      </c>
      <c r="B64" s="5" t="s">
        <v>371</v>
      </c>
      <c r="C64" s="5" t="s">
        <v>372</v>
      </c>
      <c r="D64" s="5" t="s">
        <v>334</v>
      </c>
      <c r="E64" s="5" t="s">
        <v>154</v>
      </c>
    </row>
    <row r="65" spans="1:5">
      <c r="A65" s="5" t="s">
        <v>184</v>
      </c>
      <c r="B65" s="5" t="s">
        <v>185</v>
      </c>
      <c r="C65" s="5" t="s">
        <v>373</v>
      </c>
      <c r="D65" s="5" t="s">
        <v>334</v>
      </c>
      <c r="E65" s="5" t="s">
        <v>334</v>
      </c>
    </row>
    <row r="66" spans="1:5">
      <c r="A66" s="5" t="s">
        <v>187</v>
      </c>
      <c r="B66" s="5" t="s">
        <v>185</v>
      </c>
      <c r="C66" s="5" t="s">
        <v>373</v>
      </c>
      <c r="D66" s="5" t="s">
        <v>334</v>
      </c>
      <c r="E66" s="5" t="s">
        <v>334</v>
      </c>
    </row>
    <row r="67" spans="1:5">
      <c r="A67" s="1" t="s">
        <v>189</v>
      </c>
      <c r="B67" s="1" t="s">
        <v>54</v>
      </c>
      <c r="C67" s="1" t="s">
        <v>346</v>
      </c>
      <c r="D67" s="1" t="s">
        <v>334</v>
      </c>
      <c r="E67" s="1" t="s">
        <v>334</v>
      </c>
    </row>
    <row r="68" spans="1:5">
      <c r="A68" s="1" t="s">
        <v>192</v>
      </c>
      <c r="B68" s="1" t="s">
        <v>154</v>
      </c>
      <c r="C68" s="1" t="s">
        <v>368</v>
      </c>
      <c r="D68" s="1" t="s">
        <v>334</v>
      </c>
      <c r="E68" s="1" t="s">
        <v>76</v>
      </c>
    </row>
    <row r="69" spans="1:5">
      <c r="A69" s="1" t="s">
        <v>194</v>
      </c>
      <c r="B69" s="1" t="s">
        <v>195</v>
      </c>
      <c r="C69" s="1" t="s">
        <v>374</v>
      </c>
      <c r="D69" s="1" t="s">
        <v>334</v>
      </c>
      <c r="E69" s="1" t="s">
        <v>334</v>
      </c>
    </row>
    <row r="70" spans="1:5">
      <c r="A70" s="1" t="s">
        <v>5</v>
      </c>
      <c r="B70" s="1" t="s">
        <v>76</v>
      </c>
      <c r="C70" s="1" t="s">
        <v>354</v>
      </c>
      <c r="D70" s="1" t="s">
        <v>334</v>
      </c>
      <c r="E70" s="1" t="s">
        <v>334</v>
      </c>
    </row>
    <row r="71" spans="1:5">
      <c r="A71" s="1" t="s">
        <v>198</v>
      </c>
      <c r="B71" s="1" t="s">
        <v>129</v>
      </c>
      <c r="C71" s="1" t="s">
        <v>334</v>
      </c>
      <c r="D71" s="1" t="s">
        <v>334</v>
      </c>
      <c r="E71" s="1" t="s">
        <v>363</v>
      </c>
    </row>
    <row r="72" spans="1:5">
      <c r="A72" s="1" t="s">
        <v>200</v>
      </c>
      <c r="B72" s="1" t="s">
        <v>201</v>
      </c>
      <c r="C72" s="1" t="s">
        <v>375</v>
      </c>
      <c r="D72" s="1" t="s">
        <v>334</v>
      </c>
      <c r="E72" s="1" t="s">
        <v>334</v>
      </c>
    </row>
    <row r="73" spans="1:5">
      <c r="A73" s="1" t="s">
        <v>10</v>
      </c>
      <c r="B73" s="1" t="s">
        <v>203</v>
      </c>
      <c r="C73" s="1" t="s">
        <v>333</v>
      </c>
      <c r="D73" s="1" t="s">
        <v>334</v>
      </c>
      <c r="E73" s="1" t="s">
        <v>336</v>
      </c>
    </row>
    <row r="74" spans="1:5">
      <c r="A74" s="1" t="s">
        <v>205</v>
      </c>
      <c r="B74" s="1" t="s">
        <v>206</v>
      </c>
      <c r="C74" s="1" t="s">
        <v>376</v>
      </c>
      <c r="D74" s="1" t="s">
        <v>377</v>
      </c>
      <c r="E74" s="1" t="s">
        <v>334</v>
      </c>
    </row>
    <row r="75" spans="1:5">
      <c r="A75" s="1" t="s">
        <v>208</v>
      </c>
      <c r="B75" s="1" t="s">
        <v>209</v>
      </c>
      <c r="C75" s="1" t="s">
        <v>343</v>
      </c>
      <c r="D75" s="1" t="s">
        <v>334</v>
      </c>
      <c r="E75" s="1" t="s">
        <v>334</v>
      </c>
    </row>
    <row r="76" spans="1:5">
      <c r="A76" s="1" t="s">
        <v>211</v>
      </c>
      <c r="B76" s="1" t="s">
        <v>212</v>
      </c>
      <c r="C76" s="1" t="s">
        <v>378</v>
      </c>
      <c r="D76" s="1" t="s">
        <v>334</v>
      </c>
      <c r="E76" s="1" t="s">
        <v>334</v>
      </c>
    </row>
    <row r="77" spans="1:5">
      <c r="A77" s="1" t="s">
        <v>131</v>
      </c>
      <c r="B77" s="1" t="s">
        <v>76</v>
      </c>
      <c r="C77" s="1" t="s">
        <v>354</v>
      </c>
      <c r="D77" s="1" t="s">
        <v>334</v>
      </c>
      <c r="E77" s="1" t="s">
        <v>334</v>
      </c>
    </row>
    <row r="78" spans="1:5">
      <c r="A78" s="1" t="s">
        <v>133</v>
      </c>
      <c r="B78" s="1" t="s">
        <v>32</v>
      </c>
      <c r="C78" s="1" t="s">
        <v>333</v>
      </c>
      <c r="D78" s="1" t="s">
        <v>334</v>
      </c>
      <c r="E78" s="1" t="s">
        <v>334</v>
      </c>
    </row>
    <row r="79" spans="1:5">
      <c r="A79" s="1" t="s">
        <v>135</v>
      </c>
      <c r="B79" s="1" t="s">
        <v>82</v>
      </c>
      <c r="C79" s="1" t="s">
        <v>356</v>
      </c>
      <c r="D79" s="1" t="s">
        <v>334</v>
      </c>
      <c r="E79" s="1" t="s">
        <v>334</v>
      </c>
    </row>
    <row r="80" spans="1:5">
      <c r="A80" s="1" t="s">
        <v>137</v>
      </c>
      <c r="B80" s="1" t="s">
        <v>138</v>
      </c>
      <c r="C80" s="1" t="s">
        <v>335</v>
      </c>
      <c r="D80" s="1" t="s">
        <v>334</v>
      </c>
      <c r="E80" s="1" t="s">
        <v>336</v>
      </c>
    </row>
    <row r="81" spans="1:5">
      <c r="A81" s="1" t="s">
        <v>2</v>
      </c>
      <c r="B81" s="1" t="s">
        <v>218</v>
      </c>
      <c r="C81" s="1" t="s">
        <v>379</v>
      </c>
      <c r="D81" s="1" t="s">
        <v>334</v>
      </c>
      <c r="E81" s="1" t="s">
        <v>341</v>
      </c>
    </row>
    <row r="82" spans="1:5">
      <c r="A82" s="1" t="s">
        <v>220</v>
      </c>
      <c r="B82" s="1" t="s">
        <v>221</v>
      </c>
      <c r="C82" s="1" t="s">
        <v>380</v>
      </c>
      <c r="D82" s="1" t="s">
        <v>334</v>
      </c>
      <c r="E82" s="1" t="s">
        <v>76</v>
      </c>
    </row>
    <row r="83" spans="1:5">
      <c r="A83" s="1" t="s">
        <v>20</v>
      </c>
      <c r="B83" s="1" t="s">
        <v>223</v>
      </c>
      <c r="C83" s="1" t="s">
        <v>381</v>
      </c>
      <c r="D83" s="1" t="s">
        <v>334</v>
      </c>
      <c r="E83" s="1" t="s">
        <v>334</v>
      </c>
    </row>
    <row r="84" spans="1:5">
      <c r="A84" s="1" t="s">
        <v>11</v>
      </c>
      <c r="B84" s="1" t="s">
        <v>225</v>
      </c>
      <c r="C84" s="1" t="s">
        <v>382</v>
      </c>
      <c r="D84" s="1" t="s">
        <v>334</v>
      </c>
      <c r="E84" s="1" t="s">
        <v>341</v>
      </c>
    </row>
    <row r="85" spans="1:5">
      <c r="A85" s="1" t="s">
        <v>227</v>
      </c>
      <c r="B85" s="1" t="s">
        <v>228</v>
      </c>
      <c r="C85" s="1" t="s">
        <v>383</v>
      </c>
      <c r="D85" s="1" t="s">
        <v>334</v>
      </c>
      <c r="E85" s="1" t="s">
        <v>336</v>
      </c>
    </row>
    <row r="86" spans="1:5">
      <c r="A86" s="1" t="s">
        <v>19</v>
      </c>
      <c r="B86" s="1" t="s">
        <v>43</v>
      </c>
      <c r="C86" s="1" t="s">
        <v>339</v>
      </c>
      <c r="D86" s="1" t="s">
        <v>334</v>
      </c>
      <c r="E86" s="1" t="s">
        <v>32</v>
      </c>
    </row>
    <row r="87" spans="1:5">
      <c r="A87" s="1" t="s">
        <v>3</v>
      </c>
      <c r="B87" s="1" t="s">
        <v>45</v>
      </c>
      <c r="C87" s="1" t="s">
        <v>340</v>
      </c>
      <c r="D87" s="1" t="s">
        <v>384</v>
      </c>
      <c r="E87" s="1" t="s">
        <v>341</v>
      </c>
    </row>
    <row r="88" spans="1:5">
      <c r="A88" s="1" t="s">
        <v>232</v>
      </c>
      <c r="B88" s="1" t="s">
        <v>233</v>
      </c>
      <c r="C88" s="1" t="s">
        <v>385</v>
      </c>
      <c r="D88" s="1" t="s">
        <v>334</v>
      </c>
      <c r="E88" s="1" t="s">
        <v>334</v>
      </c>
    </row>
    <row r="89" spans="1:5">
      <c r="A89" s="1" t="s">
        <v>235</v>
      </c>
      <c r="B89" s="1" t="s">
        <v>233</v>
      </c>
      <c r="C89" s="1" t="s">
        <v>385</v>
      </c>
      <c r="D89" s="1" t="s">
        <v>334</v>
      </c>
      <c r="E89" s="1" t="s">
        <v>334</v>
      </c>
    </row>
    <row r="90" spans="1:5">
      <c r="A90" s="1" t="s">
        <v>237</v>
      </c>
      <c r="B90" s="1" t="s">
        <v>138</v>
      </c>
      <c r="C90" s="1" t="s">
        <v>335</v>
      </c>
      <c r="D90" s="1" t="s">
        <v>334</v>
      </c>
      <c r="E90" s="1" t="s">
        <v>336</v>
      </c>
    </row>
    <row r="91" spans="1:5">
      <c r="A91" s="1" t="s">
        <v>239</v>
      </c>
      <c r="B91" s="1" t="s">
        <v>240</v>
      </c>
      <c r="C91" s="1" t="s">
        <v>386</v>
      </c>
      <c r="D91" s="1" t="s">
        <v>334</v>
      </c>
      <c r="E91" s="1" t="s">
        <v>334</v>
      </c>
    </row>
    <row r="92" spans="1:5">
      <c r="A92" s="1" t="s">
        <v>242</v>
      </c>
      <c r="B92" s="1" t="s">
        <v>243</v>
      </c>
      <c r="C92" s="1" t="s">
        <v>387</v>
      </c>
      <c r="D92" s="1" t="s">
        <v>334</v>
      </c>
      <c r="E92" s="1" t="s">
        <v>32</v>
      </c>
    </row>
    <row r="93" spans="1:5">
      <c r="A93" s="1" t="s">
        <v>245</v>
      </c>
      <c r="B93" s="1" t="s">
        <v>246</v>
      </c>
      <c r="C93" s="1" t="s">
        <v>347</v>
      </c>
      <c r="D93" s="1" t="s">
        <v>334</v>
      </c>
      <c r="E93" s="1" t="s">
        <v>351</v>
      </c>
    </row>
    <row r="94" spans="1:5">
      <c r="A94" s="1" t="s">
        <v>248</v>
      </c>
      <c r="B94" s="1" t="s">
        <v>91</v>
      </c>
      <c r="C94" s="1" t="s">
        <v>358</v>
      </c>
      <c r="D94" s="1" t="s">
        <v>334</v>
      </c>
      <c r="E94" s="1" t="s">
        <v>334</v>
      </c>
    </row>
    <row r="95" spans="1:5">
      <c r="A95" s="1" t="s">
        <v>250</v>
      </c>
      <c r="B95" s="1" t="s">
        <v>59</v>
      </c>
      <c r="C95" s="1" t="s">
        <v>347</v>
      </c>
      <c r="D95" s="1" t="s">
        <v>334</v>
      </c>
      <c r="E95" s="1" t="s">
        <v>334</v>
      </c>
    </row>
    <row r="96" spans="1:5">
      <c r="A96" s="1" t="s">
        <v>252</v>
      </c>
      <c r="B96" s="1" t="s">
        <v>212</v>
      </c>
      <c r="C96" s="1" t="s">
        <v>378</v>
      </c>
      <c r="D96" s="1" t="s">
        <v>334</v>
      </c>
      <c r="E96" s="1" t="s">
        <v>334</v>
      </c>
    </row>
    <row r="97" spans="1:5">
      <c r="A97" s="1" t="s">
        <v>254</v>
      </c>
      <c r="B97" s="1" t="s">
        <v>76</v>
      </c>
      <c r="C97" s="1" t="s">
        <v>354</v>
      </c>
      <c r="D97" s="1" t="s">
        <v>334</v>
      </c>
      <c r="E97" s="1" t="s">
        <v>334</v>
      </c>
    </row>
    <row r="98" spans="1:5">
      <c r="A98" s="1" t="s">
        <v>256</v>
      </c>
      <c r="B98" s="1" t="s">
        <v>82</v>
      </c>
      <c r="C98" s="1" t="s">
        <v>356</v>
      </c>
      <c r="D98" s="1" t="s">
        <v>334</v>
      </c>
      <c r="E98" s="1" t="s">
        <v>334</v>
      </c>
    </row>
    <row r="99" spans="1:5">
      <c r="A99" s="1" t="s">
        <v>258</v>
      </c>
      <c r="B99" s="1" t="s">
        <v>82</v>
      </c>
      <c r="C99" s="1" t="s">
        <v>356</v>
      </c>
      <c r="D99" s="1" t="s">
        <v>334</v>
      </c>
      <c r="E99" s="1" t="s">
        <v>334</v>
      </c>
    </row>
    <row r="100" spans="1:5">
      <c r="A100" s="1" t="s">
        <v>261</v>
      </c>
      <c r="B100" s="1" t="s">
        <v>59</v>
      </c>
      <c r="C100" s="1" t="s">
        <v>347</v>
      </c>
      <c r="D100" s="1" t="s">
        <v>334</v>
      </c>
      <c r="E100" s="1" t="s">
        <v>334</v>
      </c>
    </row>
    <row r="101" spans="1:5">
      <c r="A101" s="1" t="s">
        <v>263</v>
      </c>
      <c r="B101" s="1" t="s">
        <v>223</v>
      </c>
      <c r="C101" s="1" t="s">
        <v>381</v>
      </c>
      <c r="D101" s="1" t="s">
        <v>334</v>
      </c>
      <c r="E101" s="1" t="s">
        <v>334</v>
      </c>
    </row>
    <row r="102" spans="1:5">
      <c r="A102" s="1" t="s">
        <v>13</v>
      </c>
      <c r="B102" s="1" t="s">
        <v>54</v>
      </c>
      <c r="C102" s="1" t="s">
        <v>346</v>
      </c>
      <c r="D102" s="1" t="s">
        <v>334</v>
      </c>
      <c r="E102" s="1" t="s">
        <v>334</v>
      </c>
    </row>
    <row r="103" spans="1:5">
      <c r="A103" s="1" t="s">
        <v>267</v>
      </c>
      <c r="B103" s="1" t="s">
        <v>54</v>
      </c>
      <c r="C103" s="1" t="s">
        <v>346</v>
      </c>
      <c r="D103" s="1" t="s">
        <v>334</v>
      </c>
      <c r="E103" s="1" t="s">
        <v>334</v>
      </c>
    </row>
    <row r="104" spans="1:5">
      <c r="A104" s="1" t="s">
        <v>9</v>
      </c>
      <c r="B104" s="1" t="s">
        <v>54</v>
      </c>
      <c r="C104" s="1" t="s">
        <v>346</v>
      </c>
      <c r="D104" s="1" t="s">
        <v>334</v>
      </c>
      <c r="E104" s="1" t="s">
        <v>334</v>
      </c>
    </row>
    <row r="105" spans="1:5">
      <c r="A105" s="1" t="s">
        <v>58</v>
      </c>
      <c r="B105" s="1" t="s">
        <v>59</v>
      </c>
      <c r="C105" s="1" t="s">
        <v>347</v>
      </c>
      <c r="D105" s="1" t="s">
        <v>334</v>
      </c>
      <c r="E105" s="1" t="s">
        <v>334</v>
      </c>
    </row>
    <row r="106" spans="1:5">
      <c r="A106" s="1" t="s">
        <v>61</v>
      </c>
      <c r="B106" s="1" t="s">
        <v>62</v>
      </c>
      <c r="C106" s="1" t="s">
        <v>348</v>
      </c>
      <c r="D106" s="1" t="s">
        <v>334</v>
      </c>
      <c r="E106" s="1" t="s">
        <v>32</v>
      </c>
    </row>
    <row r="107" spans="1:5">
      <c r="A107" s="1" t="s">
        <v>17</v>
      </c>
      <c r="B107" s="1" t="s">
        <v>64</v>
      </c>
      <c r="C107" s="1" t="s">
        <v>64</v>
      </c>
      <c r="D107" s="1" t="s">
        <v>334</v>
      </c>
      <c r="E107" s="1" t="s">
        <v>334</v>
      </c>
    </row>
    <row r="108" spans="1:5">
      <c r="A108" s="1" t="s">
        <v>274</v>
      </c>
      <c r="B108" s="1" t="s">
        <v>76</v>
      </c>
      <c r="C108" s="1" t="s">
        <v>354</v>
      </c>
      <c r="D108" s="1" t="s">
        <v>334</v>
      </c>
      <c r="E108" s="1" t="s">
        <v>334</v>
      </c>
    </row>
    <row r="109" spans="1:5">
      <c r="A109" s="1" t="s">
        <v>276</v>
      </c>
      <c r="B109" s="1" t="s">
        <v>76</v>
      </c>
      <c r="C109" s="1" t="s">
        <v>354</v>
      </c>
      <c r="D109" s="1" t="s">
        <v>334</v>
      </c>
      <c r="E109" s="1" t="s">
        <v>334</v>
      </c>
    </row>
    <row r="110" spans="1:5">
      <c r="A110" s="1" t="s">
        <v>278</v>
      </c>
      <c r="B110" s="1" t="s">
        <v>67</v>
      </c>
      <c r="C110" s="1" t="s">
        <v>349</v>
      </c>
      <c r="D110" s="1" t="s">
        <v>334</v>
      </c>
      <c r="E110" s="1" t="s">
        <v>154</v>
      </c>
    </row>
    <row r="111" spans="1:5">
      <c r="A111" s="1" t="s">
        <v>280</v>
      </c>
      <c r="B111" s="1" t="s">
        <v>67</v>
      </c>
      <c r="C111" s="1" t="s">
        <v>349</v>
      </c>
      <c r="D111" s="1" t="s">
        <v>334</v>
      </c>
      <c r="E111" s="1" t="s">
        <v>154</v>
      </c>
    </row>
    <row r="112" spans="1:5">
      <c r="A112" s="1" t="s">
        <v>66</v>
      </c>
      <c r="B112" s="1" t="s">
        <v>67</v>
      </c>
      <c r="C112" s="1" t="s">
        <v>349</v>
      </c>
      <c r="D112" s="1" t="s">
        <v>334</v>
      </c>
      <c r="E112" s="1" t="s">
        <v>154</v>
      </c>
    </row>
    <row r="113" spans="1:5">
      <c r="A113" s="1" t="s">
        <v>283</v>
      </c>
      <c r="B113" s="1" t="s">
        <v>284</v>
      </c>
      <c r="C113" s="1" t="s">
        <v>388</v>
      </c>
      <c r="D113" s="1" t="s">
        <v>334</v>
      </c>
      <c r="E113" s="1" t="s">
        <v>341</v>
      </c>
    </row>
    <row r="114" spans="1:5">
      <c r="A114" s="1" t="s">
        <v>6</v>
      </c>
      <c r="B114" s="1" t="s">
        <v>284</v>
      </c>
      <c r="C114" s="1" t="s">
        <v>388</v>
      </c>
      <c r="D114" s="1" t="s">
        <v>334</v>
      </c>
      <c r="E114" s="1" t="s">
        <v>341</v>
      </c>
    </row>
    <row r="115" spans="1:5">
      <c r="A115" s="1" t="s">
        <v>287</v>
      </c>
      <c r="B115" s="1" t="s">
        <v>45</v>
      </c>
      <c r="C115" s="1" t="s">
        <v>340</v>
      </c>
      <c r="D115" s="1" t="s">
        <v>384</v>
      </c>
      <c r="E115" s="1" t="s">
        <v>341</v>
      </c>
    </row>
    <row r="116" spans="1:5">
      <c r="A116" s="1" t="s">
        <v>289</v>
      </c>
      <c r="B116" s="1" t="s">
        <v>45</v>
      </c>
      <c r="C116" s="1" t="s">
        <v>340</v>
      </c>
      <c r="D116" s="1" t="s">
        <v>384</v>
      </c>
      <c r="E116" s="1" t="s">
        <v>341</v>
      </c>
    </row>
    <row r="117" spans="1:5">
      <c r="A117" s="1" t="s">
        <v>291</v>
      </c>
      <c r="B117" s="1" t="s">
        <v>154</v>
      </c>
      <c r="C117" s="1" t="s">
        <v>368</v>
      </c>
      <c r="D117" s="1" t="s">
        <v>334</v>
      </c>
      <c r="E117" s="1" t="s">
        <v>76</v>
      </c>
    </row>
    <row r="118" spans="1:5">
      <c r="A118" s="1" t="s">
        <v>293</v>
      </c>
      <c r="B118" s="1" t="s">
        <v>79</v>
      </c>
      <c r="C118" s="1" t="s">
        <v>355</v>
      </c>
      <c r="D118" s="1" t="s">
        <v>334</v>
      </c>
      <c r="E118" s="1" t="s">
        <v>76</v>
      </c>
    </row>
    <row r="119" spans="1:5">
      <c r="A119" s="1" t="s">
        <v>78</v>
      </c>
      <c r="B119" s="1" t="s">
        <v>79</v>
      </c>
      <c r="C119" s="1" t="s">
        <v>355</v>
      </c>
      <c r="D119" s="1" t="s">
        <v>334</v>
      </c>
      <c r="E119" s="1" t="s">
        <v>76</v>
      </c>
    </row>
    <row r="120" spans="1:5">
      <c r="A120" s="1" t="s">
        <v>296</v>
      </c>
      <c r="B120" s="1" t="s">
        <v>182</v>
      </c>
      <c r="C120" s="1" t="s">
        <v>372</v>
      </c>
      <c r="D120" s="1" t="s">
        <v>334</v>
      </c>
      <c r="E120" s="1" t="s">
        <v>154</v>
      </c>
    </row>
    <row r="121" spans="1:5">
      <c r="A121" s="1" t="s">
        <v>298</v>
      </c>
      <c r="B121" s="1" t="s">
        <v>182</v>
      </c>
      <c r="C121" s="1" t="s">
        <v>372</v>
      </c>
      <c r="D121" s="1" t="s">
        <v>334</v>
      </c>
      <c r="E121" s="1" t="s">
        <v>154</v>
      </c>
    </row>
    <row r="122" spans="1:5">
      <c r="A122" s="1" t="s">
        <v>300</v>
      </c>
      <c r="B122" s="1" t="s">
        <v>301</v>
      </c>
      <c r="C122" s="1" t="s">
        <v>389</v>
      </c>
      <c r="D122" s="1" t="s">
        <v>334</v>
      </c>
      <c r="E122" s="1" t="s">
        <v>334</v>
      </c>
    </row>
    <row r="123" spans="1:5">
      <c r="A123" s="1" t="s">
        <v>303</v>
      </c>
      <c r="B123" s="1" t="s">
        <v>32</v>
      </c>
      <c r="C123" s="1" t="s">
        <v>333</v>
      </c>
      <c r="D123" s="1" t="s">
        <v>334</v>
      </c>
      <c r="E123" s="1" t="s">
        <v>334</v>
      </c>
    </row>
    <row r="124" spans="1:5">
      <c r="A124" s="1" t="s">
        <v>305</v>
      </c>
      <c r="B124" s="1" t="s">
        <v>32</v>
      </c>
      <c r="C124" s="1" t="s">
        <v>333</v>
      </c>
      <c r="D124" s="1" t="s">
        <v>334</v>
      </c>
      <c r="E124" s="1" t="s">
        <v>334</v>
      </c>
    </row>
    <row r="125" spans="1:5">
      <c r="A125" s="1" t="s">
        <v>14</v>
      </c>
      <c r="B125" s="1" t="s">
        <v>32</v>
      </c>
      <c r="C125" s="1" t="s">
        <v>333</v>
      </c>
      <c r="D125" s="1" t="s">
        <v>334</v>
      </c>
      <c r="E125" s="1" t="s">
        <v>334</v>
      </c>
    </row>
    <row r="126" spans="1:5">
      <c r="A126" s="1" t="s">
        <v>308</v>
      </c>
      <c r="B126" s="1" t="s">
        <v>309</v>
      </c>
      <c r="C126" s="1" t="s">
        <v>390</v>
      </c>
      <c r="D126" s="1" t="s">
        <v>334</v>
      </c>
      <c r="E126" s="1" t="s">
        <v>391</v>
      </c>
    </row>
    <row r="127" spans="1:5">
      <c r="A127" s="1" t="s">
        <v>311</v>
      </c>
      <c r="B127" s="1" t="s">
        <v>309</v>
      </c>
      <c r="C127" s="1" t="s">
        <v>390</v>
      </c>
      <c r="D127" s="1" t="s">
        <v>334</v>
      </c>
      <c r="E127" s="1" t="s">
        <v>391</v>
      </c>
    </row>
    <row r="128" spans="1:5">
      <c r="A128" s="1" t="s">
        <v>313</v>
      </c>
      <c r="B128" s="1" t="s">
        <v>314</v>
      </c>
      <c r="C128" s="1" t="s">
        <v>392</v>
      </c>
      <c r="D128" s="1" t="s">
        <v>334</v>
      </c>
      <c r="E128" s="1" t="s">
        <v>334</v>
      </c>
    </row>
    <row r="129" spans="1:5">
      <c r="A129" s="1" t="s">
        <v>316</v>
      </c>
      <c r="B129" s="1" t="s">
        <v>317</v>
      </c>
      <c r="C129" s="1" t="s">
        <v>393</v>
      </c>
      <c r="D129" s="1" t="s">
        <v>334</v>
      </c>
      <c r="E129" s="1" t="s">
        <v>341</v>
      </c>
    </row>
    <row r="130" spans="1:5">
      <c r="A130" s="1" t="s">
        <v>319</v>
      </c>
      <c r="B130" s="1" t="s">
        <v>203</v>
      </c>
      <c r="C130" s="1" t="s">
        <v>333</v>
      </c>
      <c r="D130" s="1" t="s">
        <v>334</v>
      </c>
      <c r="E130" s="1" t="s">
        <v>336</v>
      </c>
    </row>
    <row r="131" spans="1:5">
      <c r="A131" s="1" t="s">
        <v>321</v>
      </c>
      <c r="B131" s="1" t="s">
        <v>203</v>
      </c>
      <c r="C131" s="1" t="s">
        <v>333</v>
      </c>
      <c r="D131" s="1" t="s">
        <v>334</v>
      </c>
      <c r="E131" s="1" t="s">
        <v>336</v>
      </c>
    </row>
    <row r="132" spans="1:5">
      <c r="A132" s="1" t="s">
        <v>324</v>
      </c>
      <c r="B132" s="1" t="s">
        <v>325</v>
      </c>
      <c r="C132" s="1" t="s">
        <v>352</v>
      </c>
      <c r="D132" s="1" t="s">
        <v>334</v>
      </c>
      <c r="E132" s="1" t="s">
        <v>76</v>
      </c>
    </row>
    <row r="133" spans="1:5">
      <c r="A133" s="1" t="s">
        <v>2</v>
      </c>
      <c r="B133" s="1" t="s">
        <v>218</v>
      </c>
      <c r="C133" s="1" t="s">
        <v>379</v>
      </c>
      <c r="D133" s="1" t="s">
        <v>334</v>
      </c>
      <c r="E133" s="1" t="s">
        <v>341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144"/>
  <sheetViews>
    <sheetView topLeftCell="A97" workbookViewId="0">
      <selection activeCell="F31" sqref="F31"/>
    </sheetView>
  </sheetViews>
  <sheetFormatPr defaultColWidth="12.5703125" defaultRowHeight="15.75" customHeight="1"/>
  <cols>
    <col min="2" max="2" width="12.85546875" customWidth="1"/>
  </cols>
  <sheetData>
    <row r="1" spans="1:3">
      <c r="A1" s="1" t="s">
        <v>394</v>
      </c>
      <c r="B1" s="1" t="s">
        <v>26</v>
      </c>
      <c r="C1" s="1" t="s">
        <v>395</v>
      </c>
    </row>
    <row r="2" spans="1:3">
      <c r="A2" s="6" t="s">
        <v>188</v>
      </c>
      <c r="B2" s="1" t="s">
        <v>189</v>
      </c>
      <c r="C2" s="1" t="s">
        <v>30</v>
      </c>
    </row>
    <row r="3" spans="1:3">
      <c r="A3" s="6" t="s">
        <v>191</v>
      </c>
      <c r="B3" s="1" t="s">
        <v>192</v>
      </c>
      <c r="C3" s="1" t="s">
        <v>30</v>
      </c>
    </row>
    <row r="4" spans="1:3">
      <c r="A4" s="6" t="s">
        <v>193</v>
      </c>
      <c r="B4" s="1" t="s">
        <v>194</v>
      </c>
      <c r="C4" s="1" t="s">
        <v>30</v>
      </c>
    </row>
    <row r="5" spans="1:3">
      <c r="A5" s="6" t="s">
        <v>196</v>
      </c>
      <c r="B5" s="1" t="s">
        <v>5</v>
      </c>
      <c r="C5" s="1" t="s">
        <v>30</v>
      </c>
    </row>
    <row r="6" spans="1:3">
      <c r="A6" s="6" t="s">
        <v>197</v>
      </c>
      <c r="B6" s="1" t="s">
        <v>198</v>
      </c>
      <c r="C6" s="1" t="s">
        <v>30</v>
      </c>
    </row>
    <row r="7" spans="1:3">
      <c r="A7" s="6" t="s">
        <v>199</v>
      </c>
      <c r="B7" s="1" t="s">
        <v>200</v>
      </c>
      <c r="C7" s="1" t="s">
        <v>30</v>
      </c>
    </row>
    <row r="8" spans="1:3">
      <c r="A8" s="6" t="s">
        <v>202</v>
      </c>
      <c r="B8" s="1" t="s">
        <v>10</v>
      </c>
      <c r="C8" s="1" t="s">
        <v>30</v>
      </c>
    </row>
    <row r="9" spans="1:3">
      <c r="A9" s="6" t="s">
        <v>204</v>
      </c>
      <c r="B9" s="1" t="s">
        <v>205</v>
      </c>
      <c r="C9" s="1" t="s">
        <v>30</v>
      </c>
    </row>
    <row r="10" spans="1:3">
      <c r="A10" s="6" t="s">
        <v>207</v>
      </c>
      <c r="B10" s="1" t="s">
        <v>208</v>
      </c>
      <c r="C10" s="1" t="s">
        <v>30</v>
      </c>
    </row>
    <row r="11" spans="1:3">
      <c r="A11" s="6" t="s">
        <v>210</v>
      </c>
      <c r="B11" s="1" t="s">
        <v>211</v>
      </c>
      <c r="C11" s="1" t="s">
        <v>30</v>
      </c>
    </row>
    <row r="12" spans="1:3">
      <c r="A12" s="6" t="s">
        <v>213</v>
      </c>
      <c r="B12" s="1" t="s">
        <v>131</v>
      </c>
      <c r="C12" s="1" t="s">
        <v>56</v>
      </c>
    </row>
    <row r="13" spans="1:3">
      <c r="A13" s="6" t="s">
        <v>214</v>
      </c>
      <c r="B13" s="1" t="s">
        <v>133</v>
      </c>
      <c r="C13" s="1" t="s">
        <v>56</v>
      </c>
    </row>
    <row r="14" spans="1:3">
      <c r="A14" s="6" t="s">
        <v>215</v>
      </c>
      <c r="B14" s="1" t="s">
        <v>135</v>
      </c>
      <c r="C14" s="1" t="s">
        <v>56</v>
      </c>
    </row>
    <row r="15" spans="1:3">
      <c r="A15" s="6" t="s">
        <v>216</v>
      </c>
      <c r="B15" s="1" t="s">
        <v>137</v>
      </c>
      <c r="C15" s="1" t="s">
        <v>56</v>
      </c>
    </row>
    <row r="16" spans="1:3">
      <c r="A16" s="6" t="s">
        <v>217</v>
      </c>
      <c r="B16" s="1" t="s">
        <v>2</v>
      </c>
      <c r="C16" s="1" t="s">
        <v>56</v>
      </c>
    </row>
    <row r="17" spans="1:3">
      <c r="A17" s="6" t="s">
        <v>219</v>
      </c>
      <c r="B17" s="1" t="s">
        <v>220</v>
      </c>
      <c r="C17" s="1" t="s">
        <v>56</v>
      </c>
    </row>
    <row r="18" spans="1:3">
      <c r="A18" s="6" t="s">
        <v>222</v>
      </c>
      <c r="B18" s="1" t="s">
        <v>20</v>
      </c>
      <c r="C18" s="1" t="s">
        <v>56</v>
      </c>
    </row>
    <row r="19" spans="1:3">
      <c r="A19" s="6" t="s">
        <v>224</v>
      </c>
      <c r="B19" s="1" t="s">
        <v>11</v>
      </c>
      <c r="C19" s="1" t="s">
        <v>56</v>
      </c>
    </row>
    <row r="20" spans="1:3">
      <c r="A20" s="6" t="s">
        <v>226</v>
      </c>
      <c r="B20" s="1" t="s">
        <v>227</v>
      </c>
      <c r="C20" s="1" t="s">
        <v>56</v>
      </c>
    </row>
    <row r="21" spans="1:3">
      <c r="A21" s="6" t="s">
        <v>229</v>
      </c>
      <c r="B21" s="1" t="s">
        <v>19</v>
      </c>
      <c r="C21" s="1" t="s">
        <v>56</v>
      </c>
    </row>
    <row r="22" spans="1:3">
      <c r="A22" s="6" t="s">
        <v>230</v>
      </c>
      <c r="B22" s="1" t="s">
        <v>3</v>
      </c>
      <c r="C22" s="1" t="s">
        <v>56</v>
      </c>
    </row>
    <row r="23" spans="1:3">
      <c r="A23" s="6" t="s">
        <v>231</v>
      </c>
      <c r="B23" s="1" t="s">
        <v>232</v>
      </c>
      <c r="C23" s="1" t="s">
        <v>56</v>
      </c>
    </row>
    <row r="24" spans="1:3">
      <c r="A24" s="6" t="s">
        <v>234</v>
      </c>
      <c r="B24" s="1" t="s">
        <v>235</v>
      </c>
      <c r="C24" s="1" t="s">
        <v>56</v>
      </c>
    </row>
    <row r="25" spans="1:3">
      <c r="A25" s="6" t="s">
        <v>236</v>
      </c>
      <c r="B25" s="1" t="s">
        <v>237</v>
      </c>
      <c r="C25" s="1" t="s">
        <v>56</v>
      </c>
    </row>
    <row r="26" spans="1:3">
      <c r="A26" s="6" t="s">
        <v>238</v>
      </c>
      <c r="B26" s="1" t="s">
        <v>239</v>
      </c>
      <c r="C26" s="1" t="s">
        <v>56</v>
      </c>
    </row>
    <row r="27" spans="1:3">
      <c r="A27" s="6" t="s">
        <v>241</v>
      </c>
      <c r="B27" s="1" t="s">
        <v>242</v>
      </c>
      <c r="C27" s="1" t="s">
        <v>111</v>
      </c>
    </row>
    <row r="28" spans="1:3">
      <c r="A28" s="6" t="s">
        <v>244</v>
      </c>
      <c r="B28" s="1" t="s">
        <v>245</v>
      </c>
      <c r="C28" s="1" t="s">
        <v>111</v>
      </c>
    </row>
    <row r="29" spans="1:3">
      <c r="A29" s="6" t="s">
        <v>247</v>
      </c>
      <c r="B29" s="1" t="s">
        <v>248</v>
      </c>
      <c r="C29" s="1" t="s">
        <v>111</v>
      </c>
    </row>
    <row r="30" spans="1:3">
      <c r="A30" s="6" t="s">
        <v>249</v>
      </c>
      <c r="B30" s="1" t="s">
        <v>250</v>
      </c>
      <c r="C30" s="1" t="s">
        <v>93</v>
      </c>
    </row>
    <row r="31" spans="1:3">
      <c r="A31" s="6" t="s">
        <v>251</v>
      </c>
      <c r="B31" s="1" t="s">
        <v>252</v>
      </c>
      <c r="C31" s="1" t="s">
        <v>93</v>
      </c>
    </row>
    <row r="32" spans="1:3">
      <c r="A32" s="6" t="s">
        <v>253</v>
      </c>
      <c r="B32" s="1" t="s">
        <v>254</v>
      </c>
      <c r="C32" s="1" t="s">
        <v>93</v>
      </c>
    </row>
    <row r="33" spans="1:3">
      <c r="A33" s="6" t="s">
        <v>255</v>
      </c>
      <c r="B33" s="1" t="s">
        <v>256</v>
      </c>
      <c r="C33" s="1" t="s">
        <v>93</v>
      </c>
    </row>
    <row r="34" spans="1:3">
      <c r="A34" s="6" t="s">
        <v>257</v>
      </c>
      <c r="B34" s="1" t="s">
        <v>258</v>
      </c>
      <c r="C34" s="1" t="s">
        <v>96</v>
      </c>
    </row>
    <row r="35" spans="1:3">
      <c r="A35" s="6" t="s">
        <v>259</v>
      </c>
      <c r="B35" s="1" t="s">
        <v>220</v>
      </c>
      <c r="C35" s="1" t="s">
        <v>111</v>
      </c>
    </row>
    <row r="36" spans="1:3">
      <c r="A36" s="6" t="s">
        <v>260</v>
      </c>
      <c r="B36" s="1" t="s">
        <v>261</v>
      </c>
      <c r="C36" s="1" t="s">
        <v>93</v>
      </c>
    </row>
    <row r="37" spans="1:3">
      <c r="A37" s="6" t="s">
        <v>262</v>
      </c>
      <c r="B37" s="1" t="s">
        <v>263</v>
      </c>
      <c r="C37" s="1" t="s">
        <v>96</v>
      </c>
    </row>
    <row r="38" spans="1:3">
      <c r="A38" s="6" t="s">
        <v>264</v>
      </c>
      <c r="B38" s="1" t="s">
        <v>20</v>
      </c>
      <c r="C38" s="1" t="s">
        <v>111</v>
      </c>
    </row>
    <row r="39" spans="1:3">
      <c r="A39" s="6" t="s">
        <v>265</v>
      </c>
      <c r="B39" s="1" t="s">
        <v>13</v>
      </c>
      <c r="C39" s="1" t="s">
        <v>93</v>
      </c>
    </row>
    <row r="40" spans="1:3">
      <c r="A40" s="6" t="s">
        <v>266</v>
      </c>
      <c r="B40" s="1" t="s">
        <v>267</v>
      </c>
      <c r="C40" s="1" t="s">
        <v>96</v>
      </c>
    </row>
    <row r="41" spans="1:3">
      <c r="A41" s="6" t="s">
        <v>268</v>
      </c>
      <c r="B41" s="1" t="s">
        <v>11</v>
      </c>
      <c r="C41" s="1" t="s">
        <v>111</v>
      </c>
    </row>
    <row r="42" spans="1:3">
      <c r="A42" s="6" t="s">
        <v>269</v>
      </c>
      <c r="B42" s="1" t="s">
        <v>9</v>
      </c>
      <c r="C42" s="1" t="s">
        <v>111</v>
      </c>
    </row>
    <row r="43" spans="1:3">
      <c r="A43" s="6" t="s">
        <v>270</v>
      </c>
      <c r="B43" s="1" t="s">
        <v>58</v>
      </c>
      <c r="C43" s="1" t="s">
        <v>111</v>
      </c>
    </row>
    <row r="44" spans="1:3">
      <c r="A44" s="6" t="s">
        <v>271</v>
      </c>
      <c r="B44" s="1" t="s">
        <v>61</v>
      </c>
      <c r="C44" s="1" t="s">
        <v>111</v>
      </c>
    </row>
    <row r="45" spans="1:3">
      <c r="A45" s="6" t="s">
        <v>272</v>
      </c>
      <c r="B45" s="1" t="s">
        <v>17</v>
      </c>
      <c r="C45" s="1" t="s">
        <v>111</v>
      </c>
    </row>
    <row r="46" spans="1:3">
      <c r="A46" s="6" t="s">
        <v>273</v>
      </c>
      <c r="B46" s="1" t="s">
        <v>274</v>
      </c>
      <c r="C46" s="1" t="s">
        <v>93</v>
      </c>
    </row>
    <row r="47" spans="1:3">
      <c r="A47" s="6" t="s">
        <v>275</v>
      </c>
      <c r="B47" s="1" t="s">
        <v>276</v>
      </c>
      <c r="C47" s="1" t="s">
        <v>111</v>
      </c>
    </row>
    <row r="48" spans="1:3">
      <c r="A48" s="6" t="s">
        <v>277</v>
      </c>
      <c r="B48" s="1" t="s">
        <v>278</v>
      </c>
      <c r="C48" s="1" t="s">
        <v>93</v>
      </c>
    </row>
    <row r="49" spans="1:3">
      <c r="A49" s="6" t="s">
        <v>279</v>
      </c>
      <c r="B49" s="1" t="s">
        <v>280</v>
      </c>
      <c r="C49" s="1" t="s">
        <v>96</v>
      </c>
    </row>
    <row r="50" spans="1:3">
      <c r="A50" s="6" t="s">
        <v>281</v>
      </c>
      <c r="B50" s="1" t="s">
        <v>66</v>
      </c>
      <c r="C50" s="1" t="s">
        <v>111</v>
      </c>
    </row>
    <row r="51" spans="1:3">
      <c r="A51" s="6" t="s">
        <v>282</v>
      </c>
      <c r="B51" s="1" t="s">
        <v>283</v>
      </c>
      <c r="C51" s="1" t="s">
        <v>93</v>
      </c>
    </row>
    <row r="52" spans="1:3">
      <c r="A52" s="6" t="s">
        <v>285</v>
      </c>
      <c r="B52" s="1" t="s">
        <v>6</v>
      </c>
      <c r="C52" s="1" t="s">
        <v>111</v>
      </c>
    </row>
    <row r="53" spans="1:3">
      <c r="A53" s="6" t="s">
        <v>286</v>
      </c>
      <c r="B53" s="1" t="s">
        <v>287</v>
      </c>
      <c r="C53" s="1" t="s">
        <v>93</v>
      </c>
    </row>
    <row r="54" spans="1:3">
      <c r="A54" s="6" t="s">
        <v>288</v>
      </c>
      <c r="B54" s="1" t="s">
        <v>289</v>
      </c>
      <c r="C54" s="1" t="s">
        <v>96</v>
      </c>
    </row>
    <row r="55" spans="1:3">
      <c r="A55" s="6" t="s">
        <v>290</v>
      </c>
      <c r="B55" s="1" t="s">
        <v>291</v>
      </c>
      <c r="C55" s="1" t="s">
        <v>93</v>
      </c>
    </row>
    <row r="56" spans="1:3">
      <c r="A56" s="6" t="s">
        <v>292</v>
      </c>
      <c r="B56" s="1" t="s">
        <v>293</v>
      </c>
      <c r="C56" s="1" t="s">
        <v>96</v>
      </c>
    </row>
    <row r="57" spans="1:3">
      <c r="A57" s="6" t="s">
        <v>294</v>
      </c>
      <c r="B57" s="1" t="s">
        <v>78</v>
      </c>
      <c r="C57" s="1" t="s">
        <v>111</v>
      </c>
    </row>
    <row r="58" spans="1:3">
      <c r="A58" s="6" t="s">
        <v>295</v>
      </c>
      <c r="B58" s="1" t="s">
        <v>296</v>
      </c>
      <c r="C58" s="1" t="s">
        <v>93</v>
      </c>
    </row>
    <row r="59" spans="1:3">
      <c r="A59" s="6" t="s">
        <v>297</v>
      </c>
      <c r="B59" s="1" t="s">
        <v>298</v>
      </c>
      <c r="C59" s="1" t="s">
        <v>96</v>
      </c>
    </row>
    <row r="60" spans="1:3">
      <c r="A60" s="6" t="s">
        <v>299</v>
      </c>
      <c r="B60" s="1" t="s">
        <v>300</v>
      </c>
      <c r="C60" s="1" t="s">
        <v>96</v>
      </c>
    </row>
    <row r="61" spans="1:3">
      <c r="A61" s="6" t="s">
        <v>302</v>
      </c>
      <c r="B61" s="1" t="s">
        <v>303</v>
      </c>
      <c r="C61" s="1" t="s">
        <v>93</v>
      </c>
    </row>
    <row r="62" spans="1:3">
      <c r="A62" s="6" t="s">
        <v>304</v>
      </c>
      <c r="B62" s="1" t="s">
        <v>305</v>
      </c>
      <c r="C62" s="1" t="s">
        <v>96</v>
      </c>
    </row>
    <row r="63" spans="1:3">
      <c r="A63" s="6" t="s">
        <v>306</v>
      </c>
      <c r="B63" s="1" t="s">
        <v>14</v>
      </c>
      <c r="C63" s="1" t="s">
        <v>111</v>
      </c>
    </row>
    <row r="64" spans="1:3">
      <c r="A64" s="6" t="s">
        <v>307</v>
      </c>
      <c r="B64" s="1" t="s">
        <v>308</v>
      </c>
      <c r="C64" s="1" t="s">
        <v>96</v>
      </c>
    </row>
    <row r="65" spans="1:3">
      <c r="A65" s="6" t="s">
        <v>310</v>
      </c>
      <c r="B65" s="1" t="s">
        <v>311</v>
      </c>
      <c r="C65" s="1" t="s">
        <v>111</v>
      </c>
    </row>
    <row r="66" spans="1:3">
      <c r="A66" s="6" t="s">
        <v>312</v>
      </c>
      <c r="B66" s="1" t="s">
        <v>313</v>
      </c>
      <c r="C66" s="1" t="s">
        <v>96</v>
      </c>
    </row>
    <row r="67" spans="1:3">
      <c r="A67" s="6" t="s">
        <v>315</v>
      </c>
      <c r="B67" s="1" t="s">
        <v>316</v>
      </c>
      <c r="C67" s="1" t="s">
        <v>96</v>
      </c>
    </row>
    <row r="68" spans="1:3">
      <c r="A68" s="6" t="s">
        <v>318</v>
      </c>
      <c r="B68" s="1" t="s">
        <v>319</v>
      </c>
      <c r="C68" s="1" t="s">
        <v>93</v>
      </c>
    </row>
    <row r="69" spans="1:3">
      <c r="A69" s="6" t="s">
        <v>320</v>
      </c>
      <c r="B69" s="1" t="s">
        <v>321</v>
      </c>
      <c r="C69" s="1" t="s">
        <v>96</v>
      </c>
    </row>
    <row r="70" spans="1:3">
      <c r="A70" s="6" t="s">
        <v>322</v>
      </c>
      <c r="B70" s="1" t="s">
        <v>10</v>
      </c>
      <c r="C70" s="1" t="s">
        <v>111</v>
      </c>
    </row>
    <row r="71" spans="1:3">
      <c r="A71" s="6" t="s">
        <v>323</v>
      </c>
      <c r="B71" s="1" t="s">
        <v>324</v>
      </c>
      <c r="C71" s="1" t="s">
        <v>96</v>
      </c>
    </row>
    <row r="72" spans="1:3">
      <c r="A72" s="4" t="s">
        <v>29</v>
      </c>
      <c r="B72" s="1" t="s">
        <v>31</v>
      </c>
      <c r="C72" s="1" t="s">
        <v>30</v>
      </c>
    </row>
    <row r="73" spans="1:3">
      <c r="A73" s="4" t="s">
        <v>34</v>
      </c>
      <c r="B73" s="1" t="s">
        <v>35</v>
      </c>
      <c r="C73" s="1" t="s">
        <v>30</v>
      </c>
    </row>
    <row r="74" spans="1:3">
      <c r="A74" s="4" t="s">
        <v>36</v>
      </c>
      <c r="B74" s="1" t="s">
        <v>37</v>
      </c>
      <c r="C74" s="1" t="s">
        <v>30</v>
      </c>
    </row>
    <row r="75" spans="1:3">
      <c r="A75" s="4" t="s">
        <v>39</v>
      </c>
      <c r="B75" s="1" t="s">
        <v>40</v>
      </c>
      <c r="C75" s="1" t="s">
        <v>30</v>
      </c>
    </row>
    <row r="76" spans="1:3">
      <c r="A76" s="4" t="s">
        <v>42</v>
      </c>
      <c r="B76" s="1" t="s">
        <v>19</v>
      </c>
      <c r="C76" s="1" t="s">
        <v>30</v>
      </c>
    </row>
    <row r="77" spans="1:3">
      <c r="A77" s="4" t="s">
        <v>44</v>
      </c>
      <c r="B77" s="1" t="s">
        <v>3</v>
      </c>
      <c r="C77" s="1" t="s">
        <v>30</v>
      </c>
    </row>
    <row r="78" spans="1:3">
      <c r="A78" s="4" t="s">
        <v>46</v>
      </c>
      <c r="B78" s="1" t="s">
        <v>47</v>
      </c>
      <c r="C78" s="1" t="s">
        <v>30</v>
      </c>
    </row>
    <row r="79" spans="1:3">
      <c r="A79" s="4" t="s">
        <v>49</v>
      </c>
      <c r="B79" s="1" t="s">
        <v>21</v>
      </c>
      <c r="C79" s="1" t="s">
        <v>30</v>
      </c>
    </row>
    <row r="80" spans="1:3">
      <c r="A80" s="4" t="s">
        <v>51</v>
      </c>
      <c r="B80" s="1" t="s">
        <v>4</v>
      </c>
      <c r="C80" s="1" t="s">
        <v>30</v>
      </c>
    </row>
    <row r="81" spans="1:3">
      <c r="A81" s="4" t="s">
        <v>53</v>
      </c>
      <c r="B81" s="1" t="s">
        <v>7</v>
      </c>
      <c r="C81" s="1" t="s">
        <v>30</v>
      </c>
    </row>
    <row r="82" spans="1:3">
      <c r="A82" s="4" t="s">
        <v>55</v>
      </c>
      <c r="B82" s="1" t="s">
        <v>9</v>
      </c>
      <c r="C82" s="1" t="s">
        <v>56</v>
      </c>
    </row>
    <row r="83" spans="1:3">
      <c r="A83" s="4" t="s">
        <v>57</v>
      </c>
      <c r="B83" s="1" t="s">
        <v>58</v>
      </c>
      <c r="C83" s="1" t="s">
        <v>56</v>
      </c>
    </row>
    <row r="84" spans="1:3">
      <c r="A84" s="4" t="s">
        <v>60</v>
      </c>
      <c r="B84" s="1" t="s">
        <v>61</v>
      </c>
      <c r="C84" s="1" t="s">
        <v>56</v>
      </c>
    </row>
    <row r="85" spans="1:3">
      <c r="A85" s="4" t="s">
        <v>63</v>
      </c>
      <c r="B85" s="1" t="s">
        <v>17</v>
      </c>
      <c r="C85" s="1" t="s">
        <v>56</v>
      </c>
    </row>
    <row r="86" spans="1:3">
      <c r="A86" s="4" t="s">
        <v>65</v>
      </c>
      <c r="B86" s="1" t="s">
        <v>66</v>
      </c>
      <c r="C86" s="1" t="s">
        <v>56</v>
      </c>
    </row>
    <row r="87" spans="1:3">
      <c r="A87" s="4" t="s">
        <v>68</v>
      </c>
      <c r="B87" s="1" t="s">
        <v>8</v>
      </c>
      <c r="C87" s="1" t="s">
        <v>56</v>
      </c>
    </row>
    <row r="88" spans="1:3">
      <c r="A88" s="4" t="s">
        <v>70</v>
      </c>
      <c r="B88" s="1" t="s">
        <v>71</v>
      </c>
      <c r="C88" s="1" t="s">
        <v>56</v>
      </c>
    </row>
    <row r="89" spans="1:3">
      <c r="A89" s="4" t="s">
        <v>72</v>
      </c>
      <c r="B89" s="1" t="s">
        <v>73</v>
      </c>
      <c r="C89" s="1" t="s">
        <v>56</v>
      </c>
    </row>
    <row r="90" spans="1:3">
      <c r="A90" s="4" t="s">
        <v>75</v>
      </c>
      <c r="B90" s="1" t="s">
        <v>396</v>
      </c>
      <c r="C90" s="1" t="s">
        <v>56</v>
      </c>
    </row>
    <row r="91" spans="1:3">
      <c r="A91" s="4" t="s">
        <v>77</v>
      </c>
      <c r="B91" s="1" t="s">
        <v>78</v>
      </c>
      <c r="C91" s="1" t="s">
        <v>56</v>
      </c>
    </row>
    <row r="92" spans="1:3">
      <c r="A92" s="4" t="s">
        <v>80</v>
      </c>
      <c r="B92" s="1" t="s">
        <v>81</v>
      </c>
      <c r="C92" s="1" t="s">
        <v>56</v>
      </c>
    </row>
    <row r="93" spans="1:3">
      <c r="A93" s="4" t="s">
        <v>83</v>
      </c>
      <c r="B93" s="1" t="s">
        <v>84</v>
      </c>
      <c r="C93" s="1" t="s">
        <v>56</v>
      </c>
    </row>
    <row r="94" spans="1:3">
      <c r="A94" s="4" t="s">
        <v>85</v>
      </c>
      <c r="B94" s="1" t="s">
        <v>23</v>
      </c>
      <c r="C94" s="1" t="s">
        <v>56</v>
      </c>
    </row>
    <row r="95" spans="1:3">
      <c r="A95" s="4" t="s">
        <v>86</v>
      </c>
      <c r="B95" s="1" t="s">
        <v>87</v>
      </c>
      <c r="C95" s="1" t="s">
        <v>56</v>
      </c>
    </row>
    <row r="96" spans="1:3">
      <c r="A96" s="4" t="s">
        <v>89</v>
      </c>
      <c r="B96" s="1" t="s">
        <v>90</v>
      </c>
      <c r="C96" s="1" t="s">
        <v>56</v>
      </c>
    </row>
    <row r="97" spans="1:3">
      <c r="A97" s="4" t="s">
        <v>92</v>
      </c>
      <c r="B97" s="1" t="s">
        <v>94</v>
      </c>
      <c r="C97" s="1" t="s">
        <v>93</v>
      </c>
    </row>
    <row r="98" spans="1:3">
      <c r="A98" s="4" t="s">
        <v>95</v>
      </c>
      <c r="B98" s="1" t="s">
        <v>97</v>
      </c>
      <c r="C98" s="1" t="s">
        <v>96</v>
      </c>
    </row>
    <row r="99" spans="1:3">
      <c r="A99" s="4" t="s">
        <v>98</v>
      </c>
      <c r="B99" s="1" t="s">
        <v>99</v>
      </c>
      <c r="C99" s="1" t="s">
        <v>93</v>
      </c>
    </row>
    <row r="100" spans="1:3">
      <c r="A100" s="4" t="s">
        <v>100</v>
      </c>
      <c r="B100" s="1" t="s">
        <v>101</v>
      </c>
      <c r="C100" s="1" t="s">
        <v>96</v>
      </c>
    </row>
    <row r="101" spans="1:3">
      <c r="A101" s="4" t="s">
        <v>102</v>
      </c>
      <c r="B101" s="1" t="s">
        <v>103</v>
      </c>
      <c r="C101" s="1" t="s">
        <v>93</v>
      </c>
    </row>
    <row r="102" spans="1:3">
      <c r="A102" s="4" t="s">
        <v>104</v>
      </c>
      <c r="B102" s="1" t="s">
        <v>105</v>
      </c>
      <c r="C102" s="1" t="s">
        <v>96</v>
      </c>
    </row>
    <row r="103" spans="1:3">
      <c r="A103" s="4" t="s">
        <v>106</v>
      </c>
      <c r="B103" s="1" t="s">
        <v>107</v>
      </c>
      <c r="C103" s="1" t="s">
        <v>93</v>
      </c>
    </row>
    <row r="104" spans="1:3">
      <c r="A104" s="4" t="s">
        <v>108</v>
      </c>
      <c r="B104" s="1" t="s">
        <v>109</v>
      </c>
      <c r="C104" s="1" t="s">
        <v>96</v>
      </c>
    </row>
    <row r="105" spans="1:3">
      <c r="A105" s="4" t="s">
        <v>110</v>
      </c>
      <c r="B105" s="1" t="s">
        <v>81</v>
      </c>
      <c r="C105" s="1" t="s">
        <v>111</v>
      </c>
    </row>
    <row r="106" spans="1:3">
      <c r="A106" s="4" t="s">
        <v>112</v>
      </c>
      <c r="B106" s="1" t="s">
        <v>113</v>
      </c>
      <c r="C106" s="1" t="s">
        <v>93</v>
      </c>
    </row>
    <row r="107" spans="1:3">
      <c r="A107" s="4" t="s">
        <v>114</v>
      </c>
      <c r="B107" s="1" t="s">
        <v>115</v>
      </c>
      <c r="C107" s="1" t="s">
        <v>96</v>
      </c>
    </row>
    <row r="108" spans="1:3">
      <c r="A108" s="4" t="s">
        <v>116</v>
      </c>
      <c r="B108" s="1" t="s">
        <v>84</v>
      </c>
      <c r="C108" s="1" t="s">
        <v>111</v>
      </c>
    </row>
    <row r="109" spans="1:3">
      <c r="A109" s="4" t="s">
        <v>117</v>
      </c>
      <c r="B109" s="1" t="s">
        <v>118</v>
      </c>
      <c r="C109" s="1" t="s">
        <v>93</v>
      </c>
    </row>
    <row r="110" spans="1:3">
      <c r="A110" s="4" t="s">
        <v>119</v>
      </c>
      <c r="B110" s="1" t="s">
        <v>120</v>
      </c>
      <c r="C110" s="1" t="s">
        <v>96</v>
      </c>
    </row>
    <row r="111" spans="1:3">
      <c r="A111" s="4" t="s">
        <v>121</v>
      </c>
      <c r="B111" s="1" t="s">
        <v>23</v>
      </c>
      <c r="C111" s="1" t="s">
        <v>111</v>
      </c>
    </row>
    <row r="112" spans="1:3">
      <c r="A112" s="4" t="s">
        <v>122</v>
      </c>
      <c r="B112" s="1" t="s">
        <v>123</v>
      </c>
      <c r="C112" s="1" t="s">
        <v>93</v>
      </c>
    </row>
    <row r="113" spans="1:3">
      <c r="A113" s="4" t="s">
        <v>125</v>
      </c>
      <c r="B113" s="1" t="s">
        <v>5</v>
      </c>
      <c r="C113" s="1" t="s">
        <v>96</v>
      </c>
    </row>
    <row r="114" spans="1:3">
      <c r="A114" s="4" t="s">
        <v>126</v>
      </c>
      <c r="B114" s="1" t="s">
        <v>15</v>
      </c>
      <c r="C114" s="1" t="s">
        <v>111</v>
      </c>
    </row>
    <row r="115" spans="1:3">
      <c r="A115" s="4" t="s">
        <v>127</v>
      </c>
      <c r="B115" s="1" t="s">
        <v>128</v>
      </c>
      <c r="C115" s="1" t="s">
        <v>96</v>
      </c>
    </row>
    <row r="116" spans="1:3">
      <c r="A116" s="4" t="s">
        <v>130</v>
      </c>
      <c r="B116" s="1" t="s">
        <v>131</v>
      </c>
      <c r="C116" s="1" t="s">
        <v>111</v>
      </c>
    </row>
    <row r="117" spans="1:3">
      <c r="A117" s="4" t="s">
        <v>132</v>
      </c>
      <c r="B117" s="1" t="s">
        <v>133</v>
      </c>
      <c r="C117" s="1" t="s">
        <v>111</v>
      </c>
    </row>
    <row r="118" spans="1:3">
      <c r="A118" s="4" t="s">
        <v>134</v>
      </c>
      <c r="B118" s="1" t="s">
        <v>135</v>
      </c>
      <c r="C118" s="1" t="s">
        <v>111</v>
      </c>
    </row>
    <row r="119" spans="1:3">
      <c r="A119" s="4" t="s">
        <v>136</v>
      </c>
      <c r="B119" s="1" t="s">
        <v>137</v>
      </c>
      <c r="C119" s="1" t="s">
        <v>111</v>
      </c>
    </row>
    <row r="120" spans="1:3">
      <c r="A120" s="4" t="s">
        <v>139</v>
      </c>
      <c r="B120" s="1" t="s">
        <v>140</v>
      </c>
      <c r="C120" s="1" t="s">
        <v>96</v>
      </c>
    </row>
    <row r="121" spans="1:3">
      <c r="A121" s="4" t="s">
        <v>142</v>
      </c>
      <c r="B121" s="1" t="s">
        <v>143</v>
      </c>
      <c r="C121" s="1" t="s">
        <v>111</v>
      </c>
    </row>
    <row r="122" spans="1:3">
      <c r="A122" s="4" t="s">
        <v>144</v>
      </c>
      <c r="B122" s="1" t="s">
        <v>145</v>
      </c>
      <c r="C122" s="1" t="s">
        <v>93</v>
      </c>
    </row>
    <row r="123" spans="1:3">
      <c r="A123" s="4" t="s">
        <v>147</v>
      </c>
      <c r="B123" s="1" t="s">
        <v>16</v>
      </c>
      <c r="C123" s="1" t="s">
        <v>96</v>
      </c>
    </row>
    <row r="124" spans="1:3">
      <c r="A124" s="4" t="s">
        <v>148</v>
      </c>
      <c r="B124" s="1" t="s">
        <v>149</v>
      </c>
      <c r="C124" s="1" t="s">
        <v>93</v>
      </c>
    </row>
    <row r="125" spans="1:3">
      <c r="A125" s="4" t="s">
        <v>151</v>
      </c>
      <c r="B125" s="1" t="s">
        <v>24</v>
      </c>
      <c r="C125" s="1" t="s">
        <v>111</v>
      </c>
    </row>
    <row r="126" spans="1:3">
      <c r="A126" s="4" t="s">
        <v>152</v>
      </c>
      <c r="B126" s="1" t="s">
        <v>153</v>
      </c>
      <c r="C126" s="1" t="s">
        <v>96</v>
      </c>
    </row>
    <row r="127" spans="1:3">
      <c r="A127" s="4" t="s">
        <v>155</v>
      </c>
      <c r="B127" s="1" t="s">
        <v>156</v>
      </c>
      <c r="C127" s="1" t="s">
        <v>111</v>
      </c>
    </row>
    <row r="128" spans="1:3">
      <c r="A128" s="4" t="s">
        <v>157</v>
      </c>
      <c r="B128" s="1" t="s">
        <v>158</v>
      </c>
      <c r="C128" s="1" t="s">
        <v>93</v>
      </c>
    </row>
    <row r="129" spans="1:3">
      <c r="A129" s="4" t="s">
        <v>159</v>
      </c>
      <c r="B129" s="1" t="s">
        <v>160</v>
      </c>
      <c r="C129" s="1" t="s">
        <v>96</v>
      </c>
    </row>
    <row r="130" spans="1:3">
      <c r="A130" s="4" t="s">
        <v>161</v>
      </c>
      <c r="B130" s="1" t="s">
        <v>87</v>
      </c>
      <c r="C130" s="1" t="s">
        <v>111</v>
      </c>
    </row>
    <row r="131" spans="1:3">
      <c r="A131" s="4" t="s">
        <v>162</v>
      </c>
      <c r="B131" s="1" t="s">
        <v>163</v>
      </c>
      <c r="C131" s="1" t="s">
        <v>93</v>
      </c>
    </row>
    <row r="132" spans="1:3">
      <c r="A132" s="4" t="s">
        <v>165</v>
      </c>
      <c r="B132" s="1" t="s">
        <v>166</v>
      </c>
      <c r="C132" s="1" t="s">
        <v>96</v>
      </c>
    </row>
    <row r="133" spans="1:3">
      <c r="A133" s="4" t="s">
        <v>168</v>
      </c>
      <c r="B133" s="1" t="s">
        <v>169</v>
      </c>
      <c r="C133" s="1" t="s">
        <v>111</v>
      </c>
    </row>
    <row r="134" spans="1:3">
      <c r="A134" s="4" t="s">
        <v>170</v>
      </c>
      <c r="B134" s="1" t="s">
        <v>171</v>
      </c>
      <c r="C134" s="1" t="s">
        <v>93</v>
      </c>
    </row>
    <row r="135" spans="1:3">
      <c r="A135" s="4" t="s">
        <v>172</v>
      </c>
      <c r="B135" s="1" t="s">
        <v>18</v>
      </c>
      <c r="C135" s="1" t="s">
        <v>111</v>
      </c>
    </row>
    <row r="136" spans="1:3">
      <c r="A136" s="4" t="s">
        <v>173</v>
      </c>
      <c r="B136" s="1" t="s">
        <v>174</v>
      </c>
      <c r="C136" s="1" t="s">
        <v>93</v>
      </c>
    </row>
    <row r="137" spans="1:3">
      <c r="A137" s="4" t="s">
        <v>175</v>
      </c>
      <c r="B137" s="1" t="s">
        <v>176</v>
      </c>
      <c r="C137" s="1" t="s">
        <v>111</v>
      </c>
    </row>
    <row r="138" spans="1:3">
      <c r="A138" s="4" t="s">
        <v>177</v>
      </c>
      <c r="B138" s="1" t="s">
        <v>178</v>
      </c>
      <c r="C138" s="1" t="s">
        <v>111</v>
      </c>
    </row>
    <row r="139" spans="1:3">
      <c r="A139" s="4" t="s">
        <v>180</v>
      </c>
      <c r="B139" s="1" t="s">
        <v>181</v>
      </c>
      <c r="C139" s="1" t="s">
        <v>96</v>
      </c>
    </row>
    <row r="140" spans="1:3">
      <c r="A140" s="4" t="s">
        <v>183</v>
      </c>
      <c r="B140" s="1" t="s">
        <v>184</v>
      </c>
      <c r="C140" s="1" t="s">
        <v>93</v>
      </c>
    </row>
    <row r="141" spans="1:3">
      <c r="A141" s="4" t="s">
        <v>186</v>
      </c>
      <c r="B141" s="1" t="s">
        <v>187</v>
      </c>
      <c r="C141" s="1" t="s">
        <v>111</v>
      </c>
    </row>
    <row r="142" spans="1:3">
      <c r="A142" s="4" t="s">
        <v>326</v>
      </c>
      <c r="B142" s="5" t="s">
        <v>5</v>
      </c>
      <c r="C142" s="1" t="s">
        <v>327</v>
      </c>
    </row>
    <row r="143" spans="1:3">
      <c r="A143" s="4" t="s">
        <v>328</v>
      </c>
      <c r="B143" s="5" t="s">
        <v>2</v>
      </c>
      <c r="C143" s="1" t="s">
        <v>327</v>
      </c>
    </row>
    <row r="144" spans="1:3">
      <c r="A144" s="4" t="s">
        <v>329</v>
      </c>
      <c r="B144" s="5" t="s">
        <v>198</v>
      </c>
      <c r="C144" s="1" t="s">
        <v>327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938"/>
  <sheetViews>
    <sheetView topLeftCell="A345" workbookViewId="0">
      <selection activeCell="D361" sqref="D361"/>
    </sheetView>
  </sheetViews>
  <sheetFormatPr defaultColWidth="12.5703125" defaultRowHeight="15.75" customHeight="1"/>
  <cols>
    <col min="1" max="1" width="25.42578125" customWidth="1"/>
    <col min="3" max="3" width="15.7109375" customWidth="1"/>
    <col min="4" max="4" width="9.28515625" customWidth="1"/>
    <col min="5" max="5" width="8.140625" customWidth="1"/>
    <col min="6" max="6" width="8.85546875" customWidth="1"/>
    <col min="7" max="7" width="106.42578125" customWidth="1"/>
  </cols>
  <sheetData>
    <row r="1" spans="1:7">
      <c r="A1" s="5" t="s">
        <v>397</v>
      </c>
      <c r="B1" s="5" t="s">
        <v>27</v>
      </c>
      <c r="C1" s="5" t="s">
        <v>398</v>
      </c>
      <c r="D1" s="5" t="s">
        <v>399</v>
      </c>
      <c r="E1" s="5" t="s">
        <v>400</v>
      </c>
      <c r="F1" s="5" t="s">
        <v>401</v>
      </c>
      <c r="G1" s="5" t="s">
        <v>402</v>
      </c>
    </row>
    <row r="2" spans="1:7">
      <c r="A2" s="5" t="s">
        <v>403</v>
      </c>
      <c r="B2" s="5" t="s">
        <v>129</v>
      </c>
      <c r="C2" s="5" t="s">
        <v>404</v>
      </c>
      <c r="D2" s="5">
        <v>40</v>
      </c>
      <c r="E2" s="5">
        <v>100</v>
      </c>
      <c r="F2" s="5">
        <v>35</v>
      </c>
      <c r="G2" s="5" t="s">
        <v>405</v>
      </c>
    </row>
    <row r="3" spans="1:7">
      <c r="A3" s="5" t="s">
        <v>406</v>
      </c>
      <c r="B3" s="5" t="s">
        <v>337</v>
      </c>
      <c r="C3" s="5" t="s">
        <v>404</v>
      </c>
      <c r="D3" s="5">
        <v>50</v>
      </c>
      <c r="E3" s="5">
        <v>100</v>
      </c>
      <c r="F3" s="5">
        <v>25</v>
      </c>
      <c r="G3" s="5" t="s">
        <v>407</v>
      </c>
    </row>
    <row r="4" spans="1:7">
      <c r="A4" s="5" t="s">
        <v>408</v>
      </c>
      <c r="B4" s="5" t="s">
        <v>129</v>
      </c>
      <c r="C4" s="5" t="s">
        <v>404</v>
      </c>
      <c r="D4" s="5">
        <v>15</v>
      </c>
      <c r="E4" s="5">
        <v>85</v>
      </c>
      <c r="F4" s="5">
        <v>10</v>
      </c>
      <c r="G4" s="5" t="s">
        <v>409</v>
      </c>
    </row>
    <row r="5" spans="1:7">
      <c r="A5" s="5" t="s">
        <v>410</v>
      </c>
      <c r="B5" s="5" t="s">
        <v>129</v>
      </c>
      <c r="C5" s="5" t="s">
        <v>404</v>
      </c>
      <c r="D5" s="5">
        <v>18</v>
      </c>
      <c r="E5" s="5">
        <v>85</v>
      </c>
      <c r="F5" s="5">
        <v>15</v>
      </c>
      <c r="G5" s="5" t="s">
        <v>409</v>
      </c>
    </row>
    <row r="6" spans="1:7">
      <c r="A6" s="5" t="s">
        <v>411</v>
      </c>
      <c r="B6" s="5" t="s">
        <v>129</v>
      </c>
      <c r="C6" s="5" t="s">
        <v>404</v>
      </c>
      <c r="D6" s="5">
        <v>80</v>
      </c>
      <c r="E6" s="5">
        <v>85</v>
      </c>
      <c r="F6" s="5">
        <v>20</v>
      </c>
      <c r="G6" s="5" t="s">
        <v>405</v>
      </c>
    </row>
    <row r="7" spans="1:7">
      <c r="A7" s="5" t="s">
        <v>412</v>
      </c>
      <c r="B7" s="5" t="s">
        <v>129</v>
      </c>
      <c r="C7" s="5" t="s">
        <v>404</v>
      </c>
      <c r="D7" s="5">
        <v>40</v>
      </c>
      <c r="E7" s="5">
        <v>100</v>
      </c>
      <c r="F7" s="5">
        <v>20</v>
      </c>
      <c r="G7" s="5" t="s">
        <v>413</v>
      </c>
    </row>
    <row r="8" spans="1:7">
      <c r="A8" s="5" t="s">
        <v>414</v>
      </c>
      <c r="B8" s="5" t="s">
        <v>59</v>
      </c>
      <c r="C8" s="5" t="s">
        <v>404</v>
      </c>
      <c r="D8" s="5">
        <v>75</v>
      </c>
      <c r="E8" s="5">
        <v>100</v>
      </c>
      <c r="F8" s="5">
        <v>15</v>
      </c>
      <c r="G8" s="5" t="s">
        <v>415</v>
      </c>
    </row>
    <row r="9" spans="1:7">
      <c r="A9" s="5" t="s">
        <v>416</v>
      </c>
      <c r="B9" s="5" t="s">
        <v>64</v>
      </c>
      <c r="C9" s="5" t="s">
        <v>404</v>
      </c>
      <c r="D9" s="5">
        <v>75</v>
      </c>
      <c r="E9" s="5">
        <v>100</v>
      </c>
      <c r="F9" s="5">
        <v>15</v>
      </c>
      <c r="G9" s="5" t="s">
        <v>417</v>
      </c>
    </row>
    <row r="10" spans="1:7">
      <c r="A10" s="5" t="s">
        <v>418</v>
      </c>
      <c r="B10" s="5" t="s">
        <v>76</v>
      </c>
      <c r="C10" s="5" t="s">
        <v>404</v>
      </c>
      <c r="D10" s="5">
        <v>75</v>
      </c>
      <c r="E10" s="5">
        <v>100</v>
      </c>
      <c r="F10" s="5">
        <v>15</v>
      </c>
      <c r="G10" s="5" t="s">
        <v>419</v>
      </c>
    </row>
    <row r="11" spans="1:7">
      <c r="A11" s="5" t="s">
        <v>420</v>
      </c>
      <c r="B11" s="5" t="s">
        <v>129</v>
      </c>
      <c r="C11" s="5" t="s">
        <v>404</v>
      </c>
      <c r="D11" s="5">
        <v>40</v>
      </c>
      <c r="E11" s="5">
        <v>100</v>
      </c>
      <c r="F11" s="5">
        <v>35</v>
      </c>
      <c r="G11" s="5" t="s">
        <v>405</v>
      </c>
    </row>
    <row r="12" spans="1:7">
      <c r="A12" s="5" t="s">
        <v>421</v>
      </c>
      <c r="B12" s="5" t="s">
        <v>129</v>
      </c>
      <c r="C12" s="5" t="s">
        <v>404</v>
      </c>
      <c r="D12" s="5">
        <v>55</v>
      </c>
      <c r="E12" s="5">
        <v>100</v>
      </c>
      <c r="F12" s="5">
        <v>30</v>
      </c>
      <c r="G12" s="5" t="s">
        <v>405</v>
      </c>
    </row>
    <row r="13" spans="1:7">
      <c r="A13" s="5" t="s">
        <v>422</v>
      </c>
      <c r="B13" s="5" t="s">
        <v>129</v>
      </c>
      <c r="C13" s="5" t="s">
        <v>404</v>
      </c>
      <c r="D13" s="5"/>
      <c r="E13" s="5">
        <v>30</v>
      </c>
      <c r="F13" s="5">
        <v>5</v>
      </c>
      <c r="G13" s="5" t="s">
        <v>423</v>
      </c>
    </row>
    <row r="14" spans="1:7">
      <c r="A14" s="5" t="s">
        <v>424</v>
      </c>
      <c r="B14" s="5" t="s">
        <v>129</v>
      </c>
      <c r="C14" s="5" t="s">
        <v>327</v>
      </c>
      <c r="D14" s="5">
        <v>80</v>
      </c>
      <c r="E14" s="5">
        <v>100</v>
      </c>
      <c r="F14" s="5">
        <v>10</v>
      </c>
      <c r="G14" s="5" t="s">
        <v>425</v>
      </c>
    </row>
    <row r="15" spans="1:7">
      <c r="A15" s="5" t="s">
        <v>426</v>
      </c>
      <c r="B15" s="5" t="s">
        <v>129</v>
      </c>
      <c r="C15" s="5" t="s">
        <v>427</v>
      </c>
      <c r="D15" s="5"/>
      <c r="E15" s="5"/>
      <c r="F15" s="5">
        <v>20</v>
      </c>
      <c r="G15" s="5" t="s">
        <v>428</v>
      </c>
    </row>
    <row r="16" spans="1:7">
      <c r="A16" s="5" t="s">
        <v>429</v>
      </c>
      <c r="B16" s="5" t="s">
        <v>129</v>
      </c>
      <c r="C16" s="5" t="s">
        <v>404</v>
      </c>
      <c r="D16" s="5">
        <v>50</v>
      </c>
      <c r="E16" s="5">
        <v>95</v>
      </c>
      <c r="F16" s="5">
        <v>30</v>
      </c>
      <c r="G16" s="5" t="s">
        <v>405</v>
      </c>
    </row>
    <row r="17" spans="1:7">
      <c r="A17" s="5" t="s">
        <v>430</v>
      </c>
      <c r="B17" s="5" t="s">
        <v>431</v>
      </c>
      <c r="C17" s="5" t="s">
        <v>327</v>
      </c>
      <c r="D17" s="5">
        <v>40</v>
      </c>
      <c r="E17" s="5">
        <v>100</v>
      </c>
      <c r="F17" s="5">
        <v>35</v>
      </c>
      <c r="G17" s="5" t="s">
        <v>432</v>
      </c>
    </row>
    <row r="18" spans="1:7">
      <c r="A18" s="5" t="s">
        <v>433</v>
      </c>
      <c r="B18" s="5" t="s">
        <v>431</v>
      </c>
      <c r="C18" s="5" t="s">
        <v>404</v>
      </c>
      <c r="D18" s="5">
        <v>60</v>
      </c>
      <c r="E18" s="5">
        <v>100</v>
      </c>
      <c r="F18" s="5">
        <v>35</v>
      </c>
      <c r="G18" s="5" t="s">
        <v>405</v>
      </c>
    </row>
    <row r="19" spans="1:7">
      <c r="A19" s="5" t="s">
        <v>434</v>
      </c>
      <c r="B19" s="5" t="s">
        <v>129</v>
      </c>
      <c r="C19" s="5" t="s">
        <v>427</v>
      </c>
      <c r="D19" s="5"/>
      <c r="E19" s="5"/>
      <c r="F19" s="5">
        <v>20</v>
      </c>
      <c r="G19" s="5" t="s">
        <v>435</v>
      </c>
    </row>
    <row r="20" spans="1:7">
      <c r="A20" s="5" t="s">
        <v>436</v>
      </c>
      <c r="B20" s="5" t="s">
        <v>431</v>
      </c>
      <c r="C20" s="5" t="s">
        <v>404</v>
      </c>
      <c r="D20" s="5">
        <v>90</v>
      </c>
      <c r="E20" s="5">
        <v>95</v>
      </c>
      <c r="F20" s="5">
        <v>15</v>
      </c>
      <c r="G20" s="5" t="s">
        <v>437</v>
      </c>
    </row>
    <row r="21" spans="1:7">
      <c r="A21" s="5" t="s">
        <v>438</v>
      </c>
      <c r="B21" s="5" t="s">
        <v>129</v>
      </c>
      <c r="C21" s="5" t="s">
        <v>404</v>
      </c>
      <c r="D21" s="5">
        <v>15</v>
      </c>
      <c r="E21" s="5">
        <v>85</v>
      </c>
      <c r="F21" s="5">
        <v>20</v>
      </c>
      <c r="G21" s="5" t="s">
        <v>439</v>
      </c>
    </row>
    <row r="22" spans="1:7">
      <c r="A22" s="5" t="s">
        <v>440</v>
      </c>
      <c r="B22" s="5" t="s">
        <v>129</v>
      </c>
      <c r="C22" s="5" t="s">
        <v>404</v>
      </c>
      <c r="D22" s="5">
        <v>80</v>
      </c>
      <c r="E22" s="5">
        <v>75</v>
      </c>
      <c r="F22" s="5">
        <v>20</v>
      </c>
      <c r="G22" s="5" t="s">
        <v>405</v>
      </c>
    </row>
    <row r="23" spans="1:7">
      <c r="A23" s="5" t="s">
        <v>441</v>
      </c>
      <c r="B23" s="5" t="s">
        <v>82</v>
      </c>
      <c r="C23" s="5" t="s">
        <v>404</v>
      </c>
      <c r="D23" s="5">
        <v>45</v>
      </c>
      <c r="E23" s="5">
        <v>100</v>
      </c>
      <c r="F23" s="5">
        <v>25</v>
      </c>
      <c r="G23" s="5" t="s">
        <v>405</v>
      </c>
    </row>
    <row r="24" spans="1:7">
      <c r="A24" s="5" t="s">
        <v>442</v>
      </c>
      <c r="B24" s="5" t="s">
        <v>129</v>
      </c>
      <c r="C24" s="5" t="s">
        <v>404</v>
      </c>
      <c r="D24" s="5">
        <v>65</v>
      </c>
      <c r="E24" s="5">
        <v>100</v>
      </c>
      <c r="F24" s="5">
        <v>20</v>
      </c>
      <c r="G24" s="5" t="s">
        <v>443</v>
      </c>
    </row>
    <row r="25" spans="1:7">
      <c r="A25" s="5" t="s">
        <v>444</v>
      </c>
      <c r="B25" s="5" t="s">
        <v>337</v>
      </c>
      <c r="C25" s="5" t="s">
        <v>404</v>
      </c>
      <c r="D25" s="5">
        <v>30</v>
      </c>
      <c r="E25" s="5">
        <v>100</v>
      </c>
      <c r="F25" s="5">
        <v>30</v>
      </c>
      <c r="G25" s="5" t="s">
        <v>445</v>
      </c>
    </row>
    <row r="26" spans="1:7">
      <c r="A26" s="5" t="s">
        <v>446</v>
      </c>
      <c r="B26" s="5" t="s">
        <v>129</v>
      </c>
      <c r="C26" s="5" t="s">
        <v>404</v>
      </c>
      <c r="D26" s="5">
        <v>120</v>
      </c>
      <c r="E26" s="5">
        <v>75</v>
      </c>
      <c r="F26" s="5">
        <v>5</v>
      </c>
      <c r="G26" s="5" t="s">
        <v>405</v>
      </c>
    </row>
    <row r="27" spans="1:7">
      <c r="A27" s="5" t="s">
        <v>447</v>
      </c>
      <c r="B27" s="5" t="s">
        <v>337</v>
      </c>
      <c r="C27" s="5" t="s">
        <v>404</v>
      </c>
      <c r="D27" s="5">
        <v>100</v>
      </c>
      <c r="E27" s="5">
        <v>95</v>
      </c>
      <c r="F27" s="5">
        <v>10</v>
      </c>
      <c r="G27" s="5" t="s">
        <v>448</v>
      </c>
    </row>
    <row r="28" spans="1:7">
      <c r="A28" s="5" t="s">
        <v>449</v>
      </c>
      <c r="B28" s="5" t="s">
        <v>337</v>
      </c>
      <c r="C28" s="5" t="s">
        <v>404</v>
      </c>
      <c r="D28" s="5">
        <v>60</v>
      </c>
      <c r="E28" s="5">
        <v>85</v>
      </c>
      <c r="F28" s="5">
        <v>15</v>
      </c>
      <c r="G28" s="5" t="s">
        <v>443</v>
      </c>
    </row>
    <row r="29" spans="1:7">
      <c r="A29" s="5" t="s">
        <v>450</v>
      </c>
      <c r="B29" s="5" t="s">
        <v>154</v>
      </c>
      <c r="C29" s="5" t="s">
        <v>427</v>
      </c>
      <c r="D29" s="5"/>
      <c r="E29" s="5">
        <v>100</v>
      </c>
      <c r="F29" s="5">
        <v>15</v>
      </c>
      <c r="G29" s="5" t="s">
        <v>451</v>
      </c>
    </row>
    <row r="30" spans="1:7">
      <c r="A30" s="5" t="s">
        <v>452</v>
      </c>
      <c r="B30" s="5" t="s">
        <v>129</v>
      </c>
      <c r="C30" s="5" t="s">
        <v>404</v>
      </c>
      <c r="D30" s="5">
        <v>70</v>
      </c>
      <c r="E30" s="5">
        <v>100</v>
      </c>
      <c r="F30" s="5">
        <v>15</v>
      </c>
      <c r="G30" s="5" t="s">
        <v>443</v>
      </c>
    </row>
    <row r="31" spans="1:7">
      <c r="A31" s="5" t="s">
        <v>453</v>
      </c>
      <c r="B31" s="5" t="s">
        <v>129</v>
      </c>
      <c r="C31" s="5" t="s">
        <v>404</v>
      </c>
      <c r="D31" s="5">
        <v>65</v>
      </c>
      <c r="E31" s="5">
        <v>100</v>
      </c>
      <c r="F31" s="5">
        <v>25</v>
      </c>
      <c r="G31" s="5" t="s">
        <v>405</v>
      </c>
    </row>
    <row r="32" spans="1:7">
      <c r="A32" s="5" t="s">
        <v>454</v>
      </c>
      <c r="B32" s="5" t="s">
        <v>129</v>
      </c>
      <c r="C32" s="5" t="s">
        <v>404</v>
      </c>
      <c r="D32" s="5">
        <v>15</v>
      </c>
      <c r="E32" s="5">
        <v>85</v>
      </c>
      <c r="F32" s="5">
        <v>20</v>
      </c>
      <c r="G32" s="5" t="s">
        <v>409</v>
      </c>
    </row>
    <row r="33" spans="1:7">
      <c r="A33" s="5" t="s">
        <v>455</v>
      </c>
      <c r="B33" s="5" t="s">
        <v>129</v>
      </c>
      <c r="C33" s="5" t="s">
        <v>404</v>
      </c>
      <c r="D33" s="5"/>
      <c r="E33" s="5">
        <v>30</v>
      </c>
      <c r="F33" s="5">
        <v>5</v>
      </c>
      <c r="G33" s="5" t="s">
        <v>423</v>
      </c>
    </row>
    <row r="34" spans="1:7">
      <c r="A34" s="5" t="s">
        <v>456</v>
      </c>
      <c r="B34" s="5" t="s">
        <v>129</v>
      </c>
      <c r="C34" s="5" t="s">
        <v>404</v>
      </c>
      <c r="D34" s="5">
        <v>40</v>
      </c>
      <c r="E34" s="5">
        <v>100</v>
      </c>
      <c r="F34" s="5">
        <v>35</v>
      </c>
      <c r="G34" s="5" t="s">
        <v>405</v>
      </c>
    </row>
    <row r="35" spans="1:7">
      <c r="A35" s="5" t="s">
        <v>457</v>
      </c>
      <c r="B35" s="5" t="s">
        <v>129</v>
      </c>
      <c r="C35" s="5" t="s">
        <v>404</v>
      </c>
      <c r="D35" s="5">
        <v>85</v>
      </c>
      <c r="E35" s="5">
        <v>100</v>
      </c>
      <c r="F35" s="5">
        <v>15</v>
      </c>
      <c r="G35" s="5" t="s">
        <v>419</v>
      </c>
    </row>
    <row r="36" spans="1:7">
      <c r="A36" s="5" t="s">
        <v>458</v>
      </c>
      <c r="B36" s="5" t="s">
        <v>129</v>
      </c>
      <c r="C36" s="5" t="s">
        <v>404</v>
      </c>
      <c r="D36" s="5">
        <v>15</v>
      </c>
      <c r="E36" s="5">
        <v>90</v>
      </c>
      <c r="F36" s="5">
        <v>20</v>
      </c>
      <c r="G36" s="5" t="s">
        <v>439</v>
      </c>
    </row>
    <row r="37" spans="1:7">
      <c r="A37" s="5" t="s">
        <v>459</v>
      </c>
      <c r="B37" s="5" t="s">
        <v>129</v>
      </c>
      <c r="C37" s="5" t="s">
        <v>404</v>
      </c>
      <c r="D37" s="5">
        <v>90</v>
      </c>
      <c r="E37" s="5">
        <v>85</v>
      </c>
      <c r="F37" s="5">
        <v>20</v>
      </c>
      <c r="G37" s="5" t="s">
        <v>460</v>
      </c>
    </row>
    <row r="38" spans="1:7">
      <c r="A38" s="5" t="s">
        <v>461</v>
      </c>
      <c r="B38" s="5" t="s">
        <v>129</v>
      </c>
      <c r="C38" s="5" t="s">
        <v>404</v>
      </c>
      <c r="D38" s="5">
        <v>120</v>
      </c>
      <c r="E38" s="5">
        <v>100</v>
      </c>
      <c r="F38" s="5">
        <v>10</v>
      </c>
      <c r="G38" s="5" t="s">
        <v>462</v>
      </c>
    </row>
    <row r="39" spans="1:7">
      <c r="A39" s="5" t="s">
        <v>463</v>
      </c>
      <c r="B39" s="5" t="s">
        <v>129</v>
      </c>
      <c r="C39" s="5" t="s">
        <v>404</v>
      </c>
      <c r="D39" s="5">
        <v>120</v>
      </c>
      <c r="E39" s="5">
        <v>100</v>
      </c>
      <c r="F39" s="5">
        <v>15</v>
      </c>
      <c r="G39" s="5" t="s">
        <v>464</v>
      </c>
    </row>
    <row r="40" spans="1:7">
      <c r="A40" s="5" t="s">
        <v>465</v>
      </c>
      <c r="B40" s="5" t="s">
        <v>129</v>
      </c>
      <c r="C40" s="5" t="s">
        <v>427</v>
      </c>
      <c r="D40" s="5"/>
      <c r="E40" s="5">
        <v>100</v>
      </c>
      <c r="F40" s="5">
        <v>30</v>
      </c>
      <c r="G40" s="5" t="s">
        <v>466</v>
      </c>
    </row>
    <row r="41" spans="1:7">
      <c r="A41" s="5" t="s">
        <v>467</v>
      </c>
      <c r="B41" s="5" t="s">
        <v>341</v>
      </c>
      <c r="C41" s="5" t="s">
        <v>404</v>
      </c>
      <c r="D41" s="5">
        <v>15</v>
      </c>
      <c r="E41" s="5">
        <v>100</v>
      </c>
      <c r="F41" s="5">
        <v>35</v>
      </c>
      <c r="G41" s="5" t="s">
        <v>468</v>
      </c>
    </row>
    <row r="42" spans="1:7">
      <c r="A42" s="5" t="s">
        <v>469</v>
      </c>
      <c r="B42" s="5" t="s">
        <v>164</v>
      </c>
      <c r="C42" s="5" t="s">
        <v>404</v>
      </c>
      <c r="D42" s="5">
        <v>25</v>
      </c>
      <c r="E42" s="5">
        <v>100</v>
      </c>
      <c r="F42" s="5">
        <v>20</v>
      </c>
      <c r="G42" s="5" t="s">
        <v>470</v>
      </c>
    </row>
    <row r="43" spans="1:7">
      <c r="A43" s="5" t="s">
        <v>471</v>
      </c>
      <c r="B43" s="5" t="s">
        <v>164</v>
      </c>
      <c r="C43" s="5" t="s">
        <v>404</v>
      </c>
      <c r="D43" s="5">
        <v>25</v>
      </c>
      <c r="E43" s="5">
        <v>95</v>
      </c>
      <c r="F43" s="5">
        <v>20</v>
      </c>
      <c r="G43" s="5" t="s">
        <v>409</v>
      </c>
    </row>
    <row r="44" spans="1:7">
      <c r="A44" s="5" t="s">
        <v>472</v>
      </c>
      <c r="B44" s="5" t="s">
        <v>129</v>
      </c>
      <c r="C44" s="5" t="s">
        <v>427</v>
      </c>
      <c r="D44" s="5"/>
      <c r="E44" s="5">
        <v>100</v>
      </c>
      <c r="F44" s="5">
        <v>30</v>
      </c>
      <c r="G44" s="5" t="s">
        <v>466</v>
      </c>
    </row>
    <row r="45" spans="1:7">
      <c r="A45" s="5" t="s">
        <v>473</v>
      </c>
      <c r="B45" s="5" t="s">
        <v>62</v>
      </c>
      <c r="C45" s="5" t="s">
        <v>404</v>
      </c>
      <c r="D45" s="5">
        <v>60</v>
      </c>
      <c r="E45" s="5">
        <v>100</v>
      </c>
      <c r="F45" s="5">
        <v>25</v>
      </c>
      <c r="G45" s="5" t="s">
        <v>443</v>
      </c>
    </row>
    <row r="46" spans="1:7">
      <c r="A46" s="5" t="s">
        <v>474</v>
      </c>
      <c r="B46" s="5" t="s">
        <v>129</v>
      </c>
      <c r="C46" s="5" t="s">
        <v>427</v>
      </c>
      <c r="D46" s="5"/>
      <c r="E46" s="5">
        <v>100</v>
      </c>
      <c r="F46" s="5">
        <v>40</v>
      </c>
      <c r="G46" s="5" t="s">
        <v>475</v>
      </c>
    </row>
    <row r="47" spans="1:7">
      <c r="A47" s="5" t="s">
        <v>476</v>
      </c>
      <c r="B47" s="5" t="s">
        <v>129</v>
      </c>
      <c r="C47" s="5" t="s">
        <v>427</v>
      </c>
      <c r="D47" s="5"/>
      <c r="E47" s="5"/>
      <c r="F47" s="5">
        <v>20</v>
      </c>
      <c r="G47" s="5" t="s">
        <v>435</v>
      </c>
    </row>
    <row r="48" spans="1:7">
      <c r="A48" s="5" t="s">
        <v>477</v>
      </c>
      <c r="B48" s="5" t="s">
        <v>129</v>
      </c>
      <c r="C48" s="5" t="s">
        <v>427</v>
      </c>
      <c r="D48" s="5"/>
      <c r="E48" s="5">
        <v>55</v>
      </c>
      <c r="F48" s="5">
        <v>15</v>
      </c>
      <c r="G48" s="5" t="s">
        <v>478</v>
      </c>
    </row>
    <row r="49" spans="1:7">
      <c r="A49" s="5" t="s">
        <v>479</v>
      </c>
      <c r="B49" s="5" t="s">
        <v>129</v>
      </c>
      <c r="C49" s="5" t="s">
        <v>427</v>
      </c>
      <c r="D49" s="5"/>
      <c r="E49" s="5">
        <v>55</v>
      </c>
      <c r="F49" s="5">
        <v>20</v>
      </c>
      <c r="G49" s="5" t="s">
        <v>480</v>
      </c>
    </row>
    <row r="50" spans="1:7">
      <c r="A50" s="5" t="s">
        <v>481</v>
      </c>
      <c r="B50" s="5" t="s">
        <v>129</v>
      </c>
      <c r="C50" s="5" t="s">
        <v>327</v>
      </c>
      <c r="D50" s="5"/>
      <c r="E50" s="5">
        <v>90</v>
      </c>
      <c r="F50" s="5">
        <v>20</v>
      </c>
      <c r="G50" s="5" t="s">
        <v>482</v>
      </c>
    </row>
    <row r="51" spans="1:7">
      <c r="A51" s="5" t="s">
        <v>483</v>
      </c>
      <c r="B51" s="5" t="s">
        <v>129</v>
      </c>
      <c r="C51" s="5" t="s">
        <v>427</v>
      </c>
      <c r="D51" s="5"/>
      <c r="E51" s="5">
        <v>100</v>
      </c>
      <c r="F51" s="5">
        <v>20</v>
      </c>
      <c r="G51" s="5" t="s">
        <v>484</v>
      </c>
    </row>
    <row r="52" spans="1:7">
      <c r="A52" s="5" t="s">
        <v>485</v>
      </c>
      <c r="B52" s="5" t="s">
        <v>341</v>
      </c>
      <c r="C52" s="5" t="s">
        <v>327</v>
      </c>
      <c r="D52" s="5">
        <v>40</v>
      </c>
      <c r="E52" s="5">
        <v>100</v>
      </c>
      <c r="F52" s="5">
        <v>30</v>
      </c>
      <c r="G52" s="5" t="s">
        <v>486</v>
      </c>
    </row>
    <row r="53" spans="1:7">
      <c r="A53" s="5" t="s">
        <v>487</v>
      </c>
      <c r="B53" s="5" t="s">
        <v>59</v>
      </c>
      <c r="C53" s="5" t="s">
        <v>327</v>
      </c>
      <c r="D53" s="5">
        <v>40</v>
      </c>
      <c r="E53" s="5">
        <v>100</v>
      </c>
      <c r="F53" s="5">
        <v>25</v>
      </c>
      <c r="G53" s="5" t="s">
        <v>415</v>
      </c>
    </row>
    <row r="54" spans="1:7">
      <c r="A54" s="5" t="s">
        <v>488</v>
      </c>
      <c r="B54" s="5" t="s">
        <v>59</v>
      </c>
      <c r="C54" s="5" t="s">
        <v>327</v>
      </c>
      <c r="D54" s="5">
        <v>90</v>
      </c>
      <c r="E54" s="5">
        <v>100</v>
      </c>
      <c r="F54" s="5">
        <v>15</v>
      </c>
      <c r="G54" s="5" t="s">
        <v>415</v>
      </c>
    </row>
    <row r="55" spans="1:7">
      <c r="A55" s="5" t="s">
        <v>489</v>
      </c>
      <c r="B55" s="5" t="s">
        <v>64</v>
      </c>
      <c r="C55" s="5" t="s">
        <v>427</v>
      </c>
      <c r="D55" s="5"/>
      <c r="E55" s="5"/>
      <c r="F55" s="5">
        <v>30</v>
      </c>
      <c r="G55" s="5" t="s">
        <v>490</v>
      </c>
    </row>
    <row r="56" spans="1:7">
      <c r="A56" s="5" t="s">
        <v>491</v>
      </c>
      <c r="B56" s="5" t="s">
        <v>54</v>
      </c>
      <c r="C56" s="5" t="s">
        <v>327</v>
      </c>
      <c r="D56" s="5">
        <v>40</v>
      </c>
      <c r="E56" s="5">
        <v>100</v>
      </c>
      <c r="F56" s="5">
        <v>25</v>
      </c>
      <c r="G56" s="5" t="s">
        <v>405</v>
      </c>
    </row>
    <row r="57" spans="1:7">
      <c r="A57" s="5" t="s">
        <v>492</v>
      </c>
      <c r="B57" s="5" t="s">
        <v>54</v>
      </c>
      <c r="C57" s="5" t="s">
        <v>327</v>
      </c>
      <c r="D57" s="5">
        <v>110</v>
      </c>
      <c r="E57" s="5">
        <v>80</v>
      </c>
      <c r="F57" s="5">
        <v>5</v>
      </c>
      <c r="G57" s="5" t="s">
        <v>405</v>
      </c>
    </row>
    <row r="58" spans="1:7">
      <c r="A58" s="5" t="s">
        <v>493</v>
      </c>
      <c r="B58" s="5" t="s">
        <v>54</v>
      </c>
      <c r="C58" s="5" t="s">
        <v>327</v>
      </c>
      <c r="D58" s="5">
        <v>90</v>
      </c>
      <c r="E58" s="5">
        <v>100</v>
      </c>
      <c r="F58" s="5">
        <v>15</v>
      </c>
      <c r="G58" s="5" t="s">
        <v>494</v>
      </c>
    </row>
    <row r="59" spans="1:7">
      <c r="A59" s="5" t="s">
        <v>495</v>
      </c>
      <c r="B59" s="5" t="s">
        <v>64</v>
      </c>
      <c r="C59" s="5" t="s">
        <v>327</v>
      </c>
      <c r="D59" s="5">
        <v>90</v>
      </c>
      <c r="E59" s="5">
        <v>100</v>
      </c>
      <c r="F59" s="5">
        <v>10</v>
      </c>
      <c r="G59" s="5" t="s">
        <v>417</v>
      </c>
    </row>
    <row r="60" spans="1:7">
      <c r="A60" s="5" t="s">
        <v>496</v>
      </c>
      <c r="B60" s="5" t="s">
        <v>64</v>
      </c>
      <c r="C60" s="5" t="s">
        <v>327</v>
      </c>
      <c r="D60" s="5">
        <v>110</v>
      </c>
      <c r="E60" s="5">
        <v>70</v>
      </c>
      <c r="F60" s="5">
        <v>5</v>
      </c>
      <c r="G60" s="5" t="s">
        <v>417</v>
      </c>
    </row>
    <row r="61" spans="1:7">
      <c r="A61" s="5" t="s">
        <v>497</v>
      </c>
      <c r="B61" s="5" t="s">
        <v>32</v>
      </c>
      <c r="C61" s="5" t="s">
        <v>327</v>
      </c>
      <c r="D61" s="5">
        <v>65</v>
      </c>
      <c r="E61" s="5">
        <v>100</v>
      </c>
      <c r="F61" s="5">
        <v>20</v>
      </c>
      <c r="G61" s="5" t="s">
        <v>498</v>
      </c>
    </row>
    <row r="62" spans="1:7">
      <c r="A62" s="5" t="s">
        <v>499</v>
      </c>
      <c r="B62" s="5" t="s">
        <v>54</v>
      </c>
      <c r="C62" s="5" t="s">
        <v>327</v>
      </c>
      <c r="D62" s="5">
        <v>65</v>
      </c>
      <c r="E62" s="5">
        <v>100</v>
      </c>
      <c r="F62" s="5">
        <v>20</v>
      </c>
      <c r="G62" s="5" t="s">
        <v>500</v>
      </c>
    </row>
    <row r="63" spans="1:7">
      <c r="A63" s="5" t="s">
        <v>501</v>
      </c>
      <c r="B63" s="5" t="s">
        <v>64</v>
      </c>
      <c r="C63" s="5" t="s">
        <v>327</v>
      </c>
      <c r="D63" s="5">
        <v>65</v>
      </c>
      <c r="E63" s="5">
        <v>100</v>
      </c>
      <c r="F63" s="5">
        <v>20</v>
      </c>
      <c r="G63" s="5" t="s">
        <v>502</v>
      </c>
    </row>
    <row r="64" spans="1:7">
      <c r="A64" s="5" t="s">
        <v>503</v>
      </c>
      <c r="B64" s="5" t="s">
        <v>129</v>
      </c>
      <c r="C64" s="5" t="s">
        <v>327</v>
      </c>
      <c r="D64" s="5">
        <v>150</v>
      </c>
      <c r="E64" s="5">
        <v>90</v>
      </c>
      <c r="F64" s="5">
        <v>5</v>
      </c>
      <c r="G64" s="5" t="s">
        <v>504</v>
      </c>
    </row>
    <row r="65" spans="1:7">
      <c r="A65" s="5" t="s">
        <v>505</v>
      </c>
      <c r="B65" s="5" t="s">
        <v>431</v>
      </c>
      <c r="C65" s="5" t="s">
        <v>404</v>
      </c>
      <c r="D65" s="5">
        <v>35</v>
      </c>
      <c r="E65" s="5">
        <v>100</v>
      </c>
      <c r="F65" s="5">
        <v>35</v>
      </c>
      <c r="G65" s="5" t="s">
        <v>405</v>
      </c>
    </row>
    <row r="66" spans="1:7">
      <c r="A66" s="5" t="s">
        <v>506</v>
      </c>
      <c r="B66" s="5" t="s">
        <v>431</v>
      </c>
      <c r="C66" s="5" t="s">
        <v>404</v>
      </c>
      <c r="D66" s="5">
        <v>80</v>
      </c>
      <c r="E66" s="5">
        <v>100</v>
      </c>
      <c r="F66" s="5">
        <v>20</v>
      </c>
      <c r="G66" s="5" t="s">
        <v>405</v>
      </c>
    </row>
    <row r="67" spans="1:7">
      <c r="A67" s="5" t="s">
        <v>507</v>
      </c>
      <c r="B67" s="5" t="s">
        <v>337</v>
      </c>
      <c r="C67" s="5" t="s">
        <v>404</v>
      </c>
      <c r="D67" s="5">
        <v>80</v>
      </c>
      <c r="E67" s="5">
        <v>80</v>
      </c>
      <c r="F67" s="5">
        <v>20</v>
      </c>
      <c r="G67" s="5" t="s">
        <v>460</v>
      </c>
    </row>
    <row r="68" spans="1:7">
      <c r="A68" s="5" t="s">
        <v>508</v>
      </c>
      <c r="B68" s="5" t="s">
        <v>337</v>
      </c>
      <c r="C68" s="5" t="s">
        <v>404</v>
      </c>
      <c r="D68" s="5"/>
      <c r="E68" s="5">
        <v>100</v>
      </c>
      <c r="F68" s="5">
        <v>20</v>
      </c>
      <c r="G68" s="5" t="s">
        <v>509</v>
      </c>
    </row>
    <row r="69" spans="1:7">
      <c r="A69" s="5" t="s">
        <v>510</v>
      </c>
      <c r="B69" s="5" t="s">
        <v>337</v>
      </c>
      <c r="C69" s="5" t="s">
        <v>404</v>
      </c>
      <c r="D69" s="5"/>
      <c r="E69" s="5">
        <v>100</v>
      </c>
      <c r="F69" s="5">
        <v>20</v>
      </c>
      <c r="G69" s="5" t="s">
        <v>511</v>
      </c>
    </row>
    <row r="70" spans="1:7">
      <c r="A70" s="5" t="s">
        <v>512</v>
      </c>
      <c r="B70" s="5" t="s">
        <v>337</v>
      </c>
      <c r="C70" s="5" t="s">
        <v>404</v>
      </c>
      <c r="D70" s="5"/>
      <c r="E70" s="5">
        <v>100</v>
      </c>
      <c r="F70" s="5">
        <v>20</v>
      </c>
      <c r="G70" s="5" t="s">
        <v>513</v>
      </c>
    </row>
    <row r="71" spans="1:7">
      <c r="A71" s="5" t="s">
        <v>514</v>
      </c>
      <c r="B71" s="5" t="s">
        <v>129</v>
      </c>
      <c r="C71" s="5" t="s">
        <v>404</v>
      </c>
      <c r="D71" s="5">
        <v>80</v>
      </c>
      <c r="E71" s="5">
        <v>100</v>
      </c>
      <c r="F71" s="5">
        <v>15</v>
      </c>
      <c r="G71" s="5" t="s">
        <v>405</v>
      </c>
    </row>
    <row r="72" spans="1:7">
      <c r="A72" s="5" t="s">
        <v>515</v>
      </c>
      <c r="B72" s="5" t="s">
        <v>82</v>
      </c>
      <c r="C72" s="5" t="s">
        <v>327</v>
      </c>
      <c r="D72" s="5">
        <v>20</v>
      </c>
      <c r="E72" s="5">
        <v>100</v>
      </c>
      <c r="F72" s="5">
        <v>25</v>
      </c>
      <c r="G72" s="5" t="s">
        <v>516</v>
      </c>
    </row>
    <row r="73" spans="1:7">
      <c r="A73" s="5" t="s">
        <v>517</v>
      </c>
      <c r="B73" s="5" t="s">
        <v>82</v>
      </c>
      <c r="C73" s="5" t="s">
        <v>327</v>
      </c>
      <c r="D73" s="5">
        <v>40</v>
      </c>
      <c r="E73" s="5">
        <v>100</v>
      </c>
      <c r="F73" s="5">
        <v>15</v>
      </c>
      <c r="G73" s="5" t="s">
        <v>516</v>
      </c>
    </row>
    <row r="74" spans="1:7">
      <c r="A74" s="5" t="s">
        <v>518</v>
      </c>
      <c r="B74" s="5" t="s">
        <v>82</v>
      </c>
      <c r="C74" s="5" t="s">
        <v>427</v>
      </c>
      <c r="D74" s="5"/>
      <c r="E74" s="5">
        <v>90</v>
      </c>
      <c r="F74" s="5">
        <v>10</v>
      </c>
      <c r="G74" s="5" t="s">
        <v>519</v>
      </c>
    </row>
    <row r="75" spans="1:7">
      <c r="A75" s="5" t="s">
        <v>520</v>
      </c>
      <c r="B75" s="5" t="s">
        <v>129</v>
      </c>
      <c r="C75" s="5" t="s">
        <v>427</v>
      </c>
      <c r="D75" s="5"/>
      <c r="E75" s="5"/>
      <c r="F75" s="5">
        <v>20</v>
      </c>
      <c r="G75" s="5" t="s">
        <v>521</v>
      </c>
    </row>
    <row r="76" spans="1:7">
      <c r="A76" s="5" t="s">
        <v>522</v>
      </c>
      <c r="B76" s="5" t="s">
        <v>82</v>
      </c>
      <c r="C76" s="5" t="s">
        <v>404</v>
      </c>
      <c r="D76" s="5">
        <v>55</v>
      </c>
      <c r="E76" s="5">
        <v>95</v>
      </c>
      <c r="F76" s="5">
        <v>25</v>
      </c>
      <c r="G76" s="5" t="s">
        <v>407</v>
      </c>
    </row>
    <row r="77" spans="1:7">
      <c r="A77" s="5" t="s">
        <v>523</v>
      </c>
      <c r="B77" s="5" t="s">
        <v>82</v>
      </c>
      <c r="C77" s="5" t="s">
        <v>327</v>
      </c>
      <c r="D77" s="5">
        <v>120</v>
      </c>
      <c r="E77" s="5">
        <v>100</v>
      </c>
      <c r="F77" s="5">
        <v>10</v>
      </c>
      <c r="G77" s="5" t="s">
        <v>425</v>
      </c>
    </row>
    <row r="78" spans="1:7">
      <c r="A78" s="5" t="s">
        <v>524</v>
      </c>
      <c r="B78" s="5" t="s">
        <v>341</v>
      </c>
      <c r="C78" s="5" t="s">
        <v>427</v>
      </c>
      <c r="D78" s="5"/>
      <c r="E78" s="5">
        <v>75</v>
      </c>
      <c r="F78" s="5">
        <v>35</v>
      </c>
      <c r="G78" s="5" t="s">
        <v>525</v>
      </c>
    </row>
    <row r="79" spans="1:7">
      <c r="A79" s="5" t="s">
        <v>526</v>
      </c>
      <c r="B79" s="5" t="s">
        <v>82</v>
      </c>
      <c r="C79" s="5" t="s">
        <v>427</v>
      </c>
      <c r="D79" s="5"/>
      <c r="E79" s="5">
        <v>75</v>
      </c>
      <c r="F79" s="5">
        <v>30</v>
      </c>
      <c r="G79" s="5" t="s">
        <v>527</v>
      </c>
    </row>
    <row r="80" spans="1:7">
      <c r="A80" s="5" t="s">
        <v>528</v>
      </c>
      <c r="B80" s="5" t="s">
        <v>82</v>
      </c>
      <c r="C80" s="5" t="s">
        <v>427</v>
      </c>
      <c r="D80" s="5"/>
      <c r="E80" s="5">
        <v>75</v>
      </c>
      <c r="F80" s="5">
        <v>15</v>
      </c>
      <c r="G80" s="5" t="s">
        <v>478</v>
      </c>
    </row>
    <row r="81" spans="1:7">
      <c r="A81" s="5" t="s">
        <v>529</v>
      </c>
      <c r="B81" s="5" t="s">
        <v>82</v>
      </c>
      <c r="C81" s="5" t="s">
        <v>327</v>
      </c>
      <c r="D81" s="5">
        <v>120</v>
      </c>
      <c r="E81" s="5">
        <v>100</v>
      </c>
      <c r="F81" s="5">
        <v>10</v>
      </c>
      <c r="G81" s="5" t="s">
        <v>462</v>
      </c>
    </row>
    <row r="82" spans="1:7">
      <c r="A82" s="5" t="s">
        <v>530</v>
      </c>
      <c r="B82" s="5" t="s">
        <v>164</v>
      </c>
      <c r="C82" s="5" t="s">
        <v>427</v>
      </c>
      <c r="D82" s="5"/>
      <c r="E82" s="5">
        <v>95</v>
      </c>
      <c r="F82" s="5">
        <v>40</v>
      </c>
      <c r="G82" s="5" t="s">
        <v>531</v>
      </c>
    </row>
    <row r="83" spans="1:7">
      <c r="A83" s="5" t="s">
        <v>532</v>
      </c>
      <c r="B83" s="5" t="s">
        <v>336</v>
      </c>
      <c r="C83" s="5" t="s">
        <v>327</v>
      </c>
      <c r="D83" s="5"/>
      <c r="E83" s="5">
        <v>100</v>
      </c>
      <c r="F83" s="5">
        <v>10</v>
      </c>
      <c r="G83" s="5" t="s">
        <v>533</v>
      </c>
    </row>
    <row r="84" spans="1:7">
      <c r="A84" s="5" t="s">
        <v>534</v>
      </c>
      <c r="B84" s="5" t="s">
        <v>59</v>
      </c>
      <c r="C84" s="5" t="s">
        <v>327</v>
      </c>
      <c r="D84" s="5">
        <v>35</v>
      </c>
      <c r="E84" s="5">
        <v>85</v>
      </c>
      <c r="F84" s="5">
        <v>15</v>
      </c>
      <c r="G84" s="5" t="s">
        <v>439</v>
      </c>
    </row>
    <row r="85" spans="1:7">
      <c r="A85" s="5" t="s">
        <v>535</v>
      </c>
      <c r="B85" s="5" t="s">
        <v>76</v>
      </c>
      <c r="C85" s="5" t="s">
        <v>327</v>
      </c>
      <c r="D85" s="5">
        <v>40</v>
      </c>
      <c r="E85" s="5">
        <v>100</v>
      </c>
      <c r="F85" s="5">
        <v>30</v>
      </c>
      <c r="G85" s="5" t="s">
        <v>419</v>
      </c>
    </row>
    <row r="86" spans="1:7">
      <c r="A86" s="5" t="s">
        <v>536</v>
      </c>
      <c r="B86" s="5" t="s">
        <v>76</v>
      </c>
      <c r="C86" s="5" t="s">
        <v>327</v>
      </c>
      <c r="D86" s="5">
        <v>90</v>
      </c>
      <c r="E86" s="5">
        <v>100</v>
      </c>
      <c r="F86" s="5">
        <v>15</v>
      </c>
      <c r="G86" s="5" t="s">
        <v>419</v>
      </c>
    </row>
    <row r="87" spans="1:7">
      <c r="A87" s="5" t="s">
        <v>537</v>
      </c>
      <c r="B87" s="5" t="s">
        <v>76</v>
      </c>
      <c r="C87" s="5" t="s">
        <v>427</v>
      </c>
      <c r="D87" s="5"/>
      <c r="E87" s="5">
        <v>90</v>
      </c>
      <c r="F87" s="5">
        <v>20</v>
      </c>
      <c r="G87" s="5" t="s">
        <v>527</v>
      </c>
    </row>
    <row r="88" spans="1:7">
      <c r="A88" s="5" t="s">
        <v>538</v>
      </c>
      <c r="B88" s="5" t="s">
        <v>76</v>
      </c>
      <c r="C88" s="5" t="s">
        <v>327</v>
      </c>
      <c r="D88" s="5">
        <v>110</v>
      </c>
      <c r="E88" s="5">
        <v>70</v>
      </c>
      <c r="F88" s="5">
        <v>10</v>
      </c>
      <c r="G88" s="5" t="s">
        <v>419</v>
      </c>
    </row>
    <row r="89" spans="1:7">
      <c r="A89" s="5" t="s">
        <v>539</v>
      </c>
      <c r="B89" s="5" t="s">
        <v>540</v>
      </c>
      <c r="C89" s="5" t="s">
        <v>404</v>
      </c>
      <c r="D89" s="5">
        <v>50</v>
      </c>
      <c r="E89" s="5">
        <v>90</v>
      </c>
      <c r="F89" s="5">
        <v>15</v>
      </c>
      <c r="G89" s="5" t="s">
        <v>405</v>
      </c>
    </row>
    <row r="90" spans="1:7">
      <c r="A90" s="5" t="s">
        <v>541</v>
      </c>
      <c r="B90" s="5" t="s">
        <v>154</v>
      </c>
      <c r="C90" s="5" t="s">
        <v>404</v>
      </c>
      <c r="D90" s="5">
        <v>100</v>
      </c>
      <c r="E90" s="5">
        <v>100</v>
      </c>
      <c r="F90" s="5">
        <v>10</v>
      </c>
      <c r="G90" s="5" t="s">
        <v>542</v>
      </c>
    </row>
    <row r="91" spans="1:7">
      <c r="A91" s="5" t="s">
        <v>543</v>
      </c>
      <c r="B91" s="5" t="s">
        <v>154</v>
      </c>
      <c r="C91" s="5" t="s">
        <v>404</v>
      </c>
      <c r="D91" s="5"/>
      <c r="E91" s="5">
        <v>30</v>
      </c>
      <c r="F91" s="5">
        <v>5</v>
      </c>
      <c r="G91" s="5" t="s">
        <v>423</v>
      </c>
    </row>
    <row r="92" spans="1:7">
      <c r="A92" s="5" t="s">
        <v>544</v>
      </c>
      <c r="B92" s="5" t="s">
        <v>154</v>
      </c>
      <c r="C92" s="5" t="s">
        <v>404</v>
      </c>
      <c r="D92" s="5">
        <v>80</v>
      </c>
      <c r="E92" s="5">
        <v>100</v>
      </c>
      <c r="F92" s="5">
        <v>10</v>
      </c>
      <c r="G92" s="5" t="s">
        <v>545</v>
      </c>
    </row>
    <row r="93" spans="1:7">
      <c r="A93" s="5" t="s">
        <v>546</v>
      </c>
      <c r="B93" s="5" t="s">
        <v>341</v>
      </c>
      <c r="C93" s="5" t="s">
        <v>427</v>
      </c>
      <c r="D93" s="5"/>
      <c r="E93" s="5">
        <v>90</v>
      </c>
      <c r="F93" s="5">
        <v>10</v>
      </c>
      <c r="G93" s="5" t="s">
        <v>547</v>
      </c>
    </row>
    <row r="94" spans="1:7">
      <c r="A94" s="5" t="s">
        <v>548</v>
      </c>
      <c r="B94" s="5" t="s">
        <v>32</v>
      </c>
      <c r="C94" s="5" t="s">
        <v>327</v>
      </c>
      <c r="D94" s="5">
        <v>50</v>
      </c>
      <c r="E94" s="5">
        <v>100</v>
      </c>
      <c r="F94" s="5">
        <v>25</v>
      </c>
      <c r="G94" s="5" t="s">
        <v>498</v>
      </c>
    </row>
    <row r="95" spans="1:7">
      <c r="A95" s="5" t="s">
        <v>32</v>
      </c>
      <c r="B95" s="5" t="s">
        <v>32</v>
      </c>
      <c r="C95" s="5" t="s">
        <v>327</v>
      </c>
      <c r="D95" s="5">
        <v>90</v>
      </c>
      <c r="E95" s="5">
        <v>100</v>
      </c>
      <c r="F95" s="5">
        <v>10</v>
      </c>
      <c r="G95" s="5" t="s">
        <v>486</v>
      </c>
    </row>
    <row r="96" spans="1:7">
      <c r="A96" s="5" t="s">
        <v>549</v>
      </c>
      <c r="B96" s="5" t="s">
        <v>32</v>
      </c>
      <c r="C96" s="5" t="s">
        <v>427</v>
      </c>
      <c r="D96" s="5"/>
      <c r="E96" s="5">
        <v>60</v>
      </c>
      <c r="F96" s="5">
        <v>20</v>
      </c>
      <c r="G96" s="5" t="s">
        <v>478</v>
      </c>
    </row>
    <row r="97" spans="1:7">
      <c r="A97" s="5" t="s">
        <v>550</v>
      </c>
      <c r="B97" s="5" t="s">
        <v>32</v>
      </c>
      <c r="C97" s="5" t="s">
        <v>427</v>
      </c>
      <c r="D97" s="5"/>
      <c r="E97" s="5"/>
      <c r="F97" s="5">
        <v>40</v>
      </c>
      <c r="G97" s="5" t="s">
        <v>551</v>
      </c>
    </row>
    <row r="98" spans="1:7">
      <c r="A98" s="5" t="s">
        <v>552</v>
      </c>
      <c r="B98" s="5" t="s">
        <v>32</v>
      </c>
      <c r="C98" s="5" t="s">
        <v>427</v>
      </c>
      <c r="D98" s="5"/>
      <c r="E98" s="5"/>
      <c r="F98" s="5">
        <v>30</v>
      </c>
      <c r="G98" s="5" t="s">
        <v>553</v>
      </c>
    </row>
    <row r="99" spans="1:7">
      <c r="A99" s="5" t="s">
        <v>554</v>
      </c>
      <c r="B99" s="5" t="s">
        <v>129</v>
      </c>
      <c r="C99" s="5" t="s">
        <v>404</v>
      </c>
      <c r="D99" s="5">
        <v>40</v>
      </c>
      <c r="E99" s="5">
        <v>100</v>
      </c>
      <c r="F99" s="5">
        <v>30</v>
      </c>
      <c r="G99" s="5" t="s">
        <v>405</v>
      </c>
    </row>
    <row r="100" spans="1:7">
      <c r="A100" s="5" t="s">
        <v>555</v>
      </c>
      <c r="B100" s="5" t="s">
        <v>129</v>
      </c>
      <c r="C100" s="5" t="s">
        <v>404</v>
      </c>
      <c r="D100" s="5">
        <v>20</v>
      </c>
      <c r="E100" s="5">
        <v>100</v>
      </c>
      <c r="F100" s="5">
        <v>20</v>
      </c>
      <c r="G100" s="5" t="s">
        <v>556</v>
      </c>
    </row>
    <row r="101" spans="1:7">
      <c r="A101" s="5" t="s">
        <v>557</v>
      </c>
      <c r="B101" s="5" t="s">
        <v>32</v>
      </c>
      <c r="C101" s="5" t="s">
        <v>427</v>
      </c>
      <c r="D101" s="5"/>
      <c r="E101" s="5"/>
      <c r="F101" s="5">
        <v>20</v>
      </c>
      <c r="G101" s="5" t="s">
        <v>558</v>
      </c>
    </row>
    <row r="102" spans="1:7">
      <c r="A102" s="5" t="s">
        <v>559</v>
      </c>
      <c r="B102" s="5" t="s">
        <v>363</v>
      </c>
      <c r="C102" s="5" t="s">
        <v>327</v>
      </c>
      <c r="D102" s="5"/>
      <c r="E102" s="5">
        <v>100</v>
      </c>
      <c r="F102" s="5">
        <v>15</v>
      </c>
      <c r="G102" s="5" t="s">
        <v>513</v>
      </c>
    </row>
    <row r="103" spans="1:7">
      <c r="A103" s="5" t="s">
        <v>560</v>
      </c>
      <c r="B103" s="5" t="s">
        <v>129</v>
      </c>
      <c r="C103" s="5" t="s">
        <v>427</v>
      </c>
      <c r="D103" s="5"/>
      <c r="E103" s="5"/>
      <c r="F103" s="5">
        <v>10</v>
      </c>
      <c r="G103" s="5" t="s">
        <v>561</v>
      </c>
    </row>
    <row r="104" spans="1:7">
      <c r="A104" s="5" t="s">
        <v>562</v>
      </c>
      <c r="B104" s="5" t="s">
        <v>129</v>
      </c>
      <c r="C104" s="5" t="s">
        <v>427</v>
      </c>
      <c r="D104" s="5"/>
      <c r="E104" s="5">
        <v>85</v>
      </c>
      <c r="F104" s="5">
        <v>40</v>
      </c>
      <c r="G104" s="5" t="s">
        <v>563</v>
      </c>
    </row>
    <row r="105" spans="1:7">
      <c r="A105" s="5" t="s">
        <v>564</v>
      </c>
      <c r="B105" s="5" t="s">
        <v>129</v>
      </c>
      <c r="C105" s="5" t="s">
        <v>427</v>
      </c>
      <c r="D105" s="5"/>
      <c r="E105" s="5"/>
      <c r="F105" s="5">
        <v>15</v>
      </c>
      <c r="G105" s="5" t="s">
        <v>565</v>
      </c>
    </row>
    <row r="106" spans="1:7">
      <c r="A106" s="5" t="s">
        <v>566</v>
      </c>
      <c r="B106" s="5" t="s">
        <v>129</v>
      </c>
      <c r="C106" s="5" t="s">
        <v>427</v>
      </c>
      <c r="D106" s="5"/>
      <c r="E106" s="5"/>
      <c r="F106" s="5">
        <v>5</v>
      </c>
      <c r="G106" s="5" t="s">
        <v>567</v>
      </c>
    </row>
    <row r="107" spans="1:7">
      <c r="A107" s="5" t="s">
        <v>568</v>
      </c>
      <c r="B107" s="5" t="s">
        <v>129</v>
      </c>
      <c r="C107" s="5" t="s">
        <v>427</v>
      </c>
      <c r="D107" s="5"/>
      <c r="E107" s="5"/>
      <c r="F107" s="5">
        <v>30</v>
      </c>
      <c r="G107" s="5" t="s">
        <v>569</v>
      </c>
    </row>
    <row r="108" spans="1:7">
      <c r="A108" s="5" t="s">
        <v>570</v>
      </c>
      <c r="B108" s="5" t="s">
        <v>129</v>
      </c>
      <c r="C108" s="5" t="s">
        <v>427</v>
      </c>
      <c r="D108" s="5"/>
      <c r="E108" s="5"/>
      <c r="F108" s="5">
        <v>10</v>
      </c>
      <c r="G108" s="5" t="s">
        <v>571</v>
      </c>
    </row>
    <row r="109" spans="1:7">
      <c r="A109" s="5" t="s">
        <v>572</v>
      </c>
      <c r="B109" s="5" t="s">
        <v>129</v>
      </c>
      <c r="C109" s="5" t="s">
        <v>427</v>
      </c>
      <c r="D109" s="5"/>
      <c r="E109" s="5">
        <v>100</v>
      </c>
      <c r="F109" s="5">
        <v>20</v>
      </c>
      <c r="G109" s="5" t="s">
        <v>451</v>
      </c>
    </row>
    <row r="110" spans="1:7">
      <c r="A110" s="5" t="s">
        <v>573</v>
      </c>
      <c r="B110" s="5" t="s">
        <v>363</v>
      </c>
      <c r="C110" s="5" t="s">
        <v>427</v>
      </c>
      <c r="D110" s="5"/>
      <c r="E110" s="5">
        <v>100</v>
      </c>
      <c r="F110" s="5">
        <v>10</v>
      </c>
      <c r="G110" s="5" t="s">
        <v>480</v>
      </c>
    </row>
    <row r="111" spans="1:7">
      <c r="A111" s="5" t="s">
        <v>574</v>
      </c>
      <c r="B111" s="5" t="s">
        <v>54</v>
      </c>
      <c r="C111" s="5" t="s">
        <v>427</v>
      </c>
      <c r="D111" s="5"/>
      <c r="E111" s="5"/>
      <c r="F111" s="5">
        <v>40</v>
      </c>
      <c r="G111" s="5" t="s">
        <v>569</v>
      </c>
    </row>
    <row r="112" spans="1:7">
      <c r="A112" s="5" t="s">
        <v>575</v>
      </c>
      <c r="B112" s="5" t="s">
        <v>129</v>
      </c>
      <c r="C112" s="5" t="s">
        <v>427</v>
      </c>
      <c r="D112" s="5"/>
      <c r="E112" s="5"/>
      <c r="F112" s="5">
        <v>40</v>
      </c>
      <c r="G112" s="5" t="s">
        <v>576</v>
      </c>
    </row>
    <row r="113" spans="1:7">
      <c r="A113" s="5" t="s">
        <v>577</v>
      </c>
      <c r="B113" s="5" t="s">
        <v>32</v>
      </c>
      <c r="C113" s="5" t="s">
        <v>427</v>
      </c>
      <c r="D113" s="5"/>
      <c r="E113" s="5"/>
      <c r="F113" s="5">
        <v>20</v>
      </c>
      <c r="G113" s="5" t="s">
        <v>578</v>
      </c>
    </row>
    <row r="114" spans="1:7">
      <c r="A114" s="5" t="s">
        <v>579</v>
      </c>
      <c r="B114" s="5" t="s">
        <v>32</v>
      </c>
      <c r="C114" s="5" t="s">
        <v>427</v>
      </c>
      <c r="D114" s="5"/>
      <c r="E114" s="5"/>
      <c r="F114" s="5">
        <v>30</v>
      </c>
      <c r="G114" s="5" t="s">
        <v>580</v>
      </c>
    </row>
    <row r="115" spans="1:7">
      <c r="A115" s="5" t="s">
        <v>581</v>
      </c>
      <c r="B115" s="5" t="s">
        <v>64</v>
      </c>
      <c r="C115" s="5" t="s">
        <v>427</v>
      </c>
      <c r="D115" s="5"/>
      <c r="E115" s="5"/>
      <c r="F115" s="5">
        <v>30</v>
      </c>
      <c r="G115" s="5" t="s">
        <v>582</v>
      </c>
    </row>
    <row r="116" spans="1:7">
      <c r="A116" s="5" t="s">
        <v>583</v>
      </c>
      <c r="B116" s="5" t="s">
        <v>32</v>
      </c>
      <c r="C116" s="5" t="s">
        <v>427</v>
      </c>
      <c r="D116" s="5"/>
      <c r="E116" s="5"/>
      <c r="F116" s="5">
        <v>20</v>
      </c>
      <c r="G116" s="5" t="s">
        <v>584</v>
      </c>
    </row>
    <row r="117" spans="1:7">
      <c r="A117" s="5" t="s">
        <v>585</v>
      </c>
      <c r="B117" s="5" t="s">
        <v>129</v>
      </c>
      <c r="C117" s="5" t="s">
        <v>427</v>
      </c>
      <c r="D117" s="5"/>
      <c r="E117" s="5"/>
      <c r="F117" s="5">
        <v>30</v>
      </c>
      <c r="G117" s="5" t="s">
        <v>586</v>
      </c>
    </row>
    <row r="118" spans="1:7">
      <c r="A118" s="5" t="s">
        <v>587</v>
      </c>
      <c r="B118" s="5" t="s">
        <v>129</v>
      </c>
      <c r="C118" s="5" t="s">
        <v>404</v>
      </c>
      <c r="D118" s="5"/>
      <c r="E118" s="5"/>
      <c r="F118" s="5">
        <v>10</v>
      </c>
      <c r="G118" s="5" t="s">
        <v>588</v>
      </c>
    </row>
    <row r="119" spans="1:7">
      <c r="A119" s="5" t="s">
        <v>589</v>
      </c>
      <c r="B119" s="5" t="s">
        <v>129</v>
      </c>
      <c r="C119" s="5" t="s">
        <v>427</v>
      </c>
      <c r="D119" s="5"/>
      <c r="E119" s="5"/>
      <c r="F119" s="5">
        <v>10</v>
      </c>
      <c r="G119" s="5" t="s">
        <v>590</v>
      </c>
    </row>
    <row r="120" spans="1:7">
      <c r="A120" s="5" t="s">
        <v>591</v>
      </c>
      <c r="B120" s="5" t="s">
        <v>431</v>
      </c>
      <c r="C120" s="5" t="s">
        <v>427</v>
      </c>
      <c r="D120" s="5"/>
      <c r="E120" s="5"/>
      <c r="F120" s="5">
        <v>20</v>
      </c>
      <c r="G120" s="5" t="s">
        <v>592</v>
      </c>
    </row>
    <row r="121" spans="1:7">
      <c r="A121" s="5" t="s">
        <v>593</v>
      </c>
      <c r="B121" s="5" t="s">
        <v>129</v>
      </c>
      <c r="C121" s="5" t="s">
        <v>404</v>
      </c>
      <c r="D121" s="5">
        <v>200</v>
      </c>
      <c r="E121" s="5">
        <v>100</v>
      </c>
      <c r="F121" s="5">
        <v>5</v>
      </c>
      <c r="G121" s="5" t="s">
        <v>594</v>
      </c>
    </row>
    <row r="122" spans="1:7">
      <c r="A122" s="5" t="s">
        <v>595</v>
      </c>
      <c r="B122" s="5" t="s">
        <v>129</v>
      </c>
      <c r="C122" s="5" t="s">
        <v>404</v>
      </c>
      <c r="D122" s="5">
        <v>100</v>
      </c>
      <c r="E122" s="5">
        <v>75</v>
      </c>
      <c r="F122" s="5">
        <v>10</v>
      </c>
      <c r="G122" s="5" t="s">
        <v>405</v>
      </c>
    </row>
    <row r="123" spans="1:7">
      <c r="A123" s="5" t="s">
        <v>596</v>
      </c>
      <c r="B123" s="5" t="s">
        <v>363</v>
      </c>
      <c r="C123" s="5" t="s">
        <v>404</v>
      </c>
      <c r="D123" s="5">
        <v>30</v>
      </c>
      <c r="E123" s="5">
        <v>100</v>
      </c>
      <c r="F123" s="5">
        <v>30</v>
      </c>
      <c r="G123" s="5" t="s">
        <v>419</v>
      </c>
    </row>
    <row r="124" spans="1:7">
      <c r="A124" s="5" t="s">
        <v>597</v>
      </c>
      <c r="B124" s="5" t="s">
        <v>341</v>
      </c>
      <c r="C124" s="5" t="s">
        <v>327</v>
      </c>
      <c r="D124" s="5">
        <v>30</v>
      </c>
      <c r="E124" s="5">
        <v>70</v>
      </c>
      <c r="F124" s="5">
        <v>20</v>
      </c>
      <c r="G124" s="5" t="s">
        <v>468</v>
      </c>
    </row>
    <row r="125" spans="1:7">
      <c r="A125" s="5" t="s">
        <v>598</v>
      </c>
      <c r="B125" s="5" t="s">
        <v>341</v>
      </c>
      <c r="C125" s="5" t="s">
        <v>327</v>
      </c>
      <c r="D125" s="5">
        <v>65</v>
      </c>
      <c r="E125" s="5">
        <v>100</v>
      </c>
      <c r="F125" s="5">
        <v>20</v>
      </c>
      <c r="G125" s="5" t="s">
        <v>468</v>
      </c>
    </row>
    <row r="126" spans="1:7">
      <c r="A126" s="5" t="s">
        <v>599</v>
      </c>
      <c r="B126" s="5" t="s">
        <v>154</v>
      </c>
      <c r="C126" s="5" t="s">
        <v>404</v>
      </c>
      <c r="D126" s="5">
        <v>65</v>
      </c>
      <c r="E126" s="5">
        <v>85</v>
      </c>
      <c r="F126" s="5">
        <v>20</v>
      </c>
      <c r="G126" s="5" t="s">
        <v>443</v>
      </c>
    </row>
    <row r="127" spans="1:7">
      <c r="A127" s="5" t="s">
        <v>600</v>
      </c>
      <c r="B127" s="5" t="s">
        <v>59</v>
      </c>
      <c r="C127" s="5" t="s">
        <v>327</v>
      </c>
      <c r="D127" s="5">
        <v>110</v>
      </c>
      <c r="E127" s="5">
        <v>85</v>
      </c>
      <c r="F127" s="5">
        <v>5</v>
      </c>
      <c r="G127" s="5" t="s">
        <v>415</v>
      </c>
    </row>
    <row r="128" spans="1:7">
      <c r="A128" s="5" t="s">
        <v>601</v>
      </c>
      <c r="B128" s="5" t="s">
        <v>54</v>
      </c>
      <c r="C128" s="5" t="s">
        <v>404</v>
      </c>
      <c r="D128" s="5">
        <v>80</v>
      </c>
      <c r="E128" s="5">
        <v>100</v>
      </c>
      <c r="F128" s="5">
        <v>15</v>
      </c>
      <c r="G128" s="5" t="s">
        <v>443</v>
      </c>
    </row>
    <row r="129" spans="1:7">
      <c r="A129" s="5" t="s">
        <v>602</v>
      </c>
      <c r="B129" s="5" t="s">
        <v>54</v>
      </c>
      <c r="C129" s="5" t="s">
        <v>404</v>
      </c>
      <c r="D129" s="5">
        <v>35</v>
      </c>
      <c r="E129" s="5">
        <v>85</v>
      </c>
      <c r="F129" s="5">
        <v>15</v>
      </c>
      <c r="G129" s="5" t="s">
        <v>439</v>
      </c>
    </row>
    <row r="130" spans="1:7">
      <c r="A130" s="5" t="s">
        <v>603</v>
      </c>
      <c r="B130" s="5" t="s">
        <v>129</v>
      </c>
      <c r="C130" s="5" t="s">
        <v>327</v>
      </c>
      <c r="D130" s="5">
        <v>60</v>
      </c>
      <c r="E130" s="5"/>
      <c r="F130" s="5">
        <v>20</v>
      </c>
      <c r="G130" s="5" t="s">
        <v>604</v>
      </c>
    </row>
    <row r="131" spans="1:7">
      <c r="A131" s="5" t="s">
        <v>605</v>
      </c>
      <c r="B131" s="5" t="s">
        <v>129</v>
      </c>
      <c r="C131" s="5" t="s">
        <v>404</v>
      </c>
      <c r="D131" s="5">
        <v>130</v>
      </c>
      <c r="E131" s="5">
        <v>100</v>
      </c>
      <c r="F131" s="5">
        <v>10</v>
      </c>
      <c r="G131" s="5" t="s">
        <v>606</v>
      </c>
    </row>
    <row r="132" spans="1:7">
      <c r="A132" s="5" t="s">
        <v>607</v>
      </c>
      <c r="B132" s="5" t="s">
        <v>129</v>
      </c>
      <c r="C132" s="5" t="s">
        <v>404</v>
      </c>
      <c r="D132" s="5">
        <v>20</v>
      </c>
      <c r="E132" s="5">
        <v>100</v>
      </c>
      <c r="F132" s="5">
        <v>15</v>
      </c>
      <c r="G132" s="5" t="s">
        <v>409</v>
      </c>
    </row>
    <row r="133" spans="1:7">
      <c r="A133" s="5" t="s">
        <v>608</v>
      </c>
      <c r="B133" s="5" t="s">
        <v>129</v>
      </c>
      <c r="C133" s="5" t="s">
        <v>404</v>
      </c>
      <c r="D133" s="5">
        <v>10</v>
      </c>
      <c r="E133" s="5">
        <v>100</v>
      </c>
      <c r="F133" s="5">
        <v>35</v>
      </c>
      <c r="G133" s="5" t="s">
        <v>500</v>
      </c>
    </row>
    <row r="134" spans="1:7">
      <c r="A134" s="5" t="s">
        <v>609</v>
      </c>
      <c r="B134" s="5" t="s">
        <v>32</v>
      </c>
      <c r="C134" s="5" t="s">
        <v>427</v>
      </c>
      <c r="D134" s="5"/>
      <c r="E134" s="5"/>
      <c r="F134" s="5">
        <v>20</v>
      </c>
      <c r="G134" s="5" t="s">
        <v>610</v>
      </c>
    </row>
    <row r="135" spans="1:7">
      <c r="A135" s="5" t="s">
        <v>611</v>
      </c>
      <c r="B135" s="5" t="s">
        <v>32</v>
      </c>
      <c r="C135" s="5" t="s">
        <v>427</v>
      </c>
      <c r="D135" s="5"/>
      <c r="E135" s="5">
        <v>80</v>
      </c>
      <c r="F135" s="5">
        <v>15</v>
      </c>
      <c r="G135" s="5" t="s">
        <v>451</v>
      </c>
    </row>
    <row r="136" spans="1:7">
      <c r="A136" s="5" t="s">
        <v>612</v>
      </c>
      <c r="B136" s="5" t="s">
        <v>129</v>
      </c>
      <c r="C136" s="5" t="s">
        <v>427</v>
      </c>
      <c r="D136" s="5"/>
      <c r="E136" s="5"/>
      <c r="F136" s="5">
        <v>5</v>
      </c>
      <c r="G136" s="5" t="s">
        <v>567</v>
      </c>
    </row>
    <row r="137" spans="1:7">
      <c r="A137" s="5" t="s">
        <v>613</v>
      </c>
      <c r="B137" s="5" t="s">
        <v>337</v>
      </c>
      <c r="C137" s="5" t="s">
        <v>404</v>
      </c>
      <c r="D137" s="5">
        <v>130</v>
      </c>
      <c r="E137" s="5">
        <v>90</v>
      </c>
      <c r="F137" s="5">
        <v>10</v>
      </c>
      <c r="G137" s="5" t="s">
        <v>448</v>
      </c>
    </row>
    <row r="138" spans="1:7">
      <c r="A138" s="5" t="s">
        <v>614</v>
      </c>
      <c r="B138" s="5" t="s">
        <v>129</v>
      </c>
      <c r="C138" s="5" t="s">
        <v>427</v>
      </c>
      <c r="D138" s="5"/>
      <c r="E138" s="5">
        <v>100</v>
      </c>
      <c r="F138" s="5">
        <v>30</v>
      </c>
      <c r="G138" s="5" t="s">
        <v>527</v>
      </c>
    </row>
    <row r="139" spans="1:7">
      <c r="A139" s="5" t="s">
        <v>615</v>
      </c>
      <c r="B139" s="5" t="s">
        <v>32</v>
      </c>
      <c r="C139" s="5" t="s">
        <v>327</v>
      </c>
      <c r="D139" s="5">
        <v>100</v>
      </c>
      <c r="E139" s="5">
        <v>100</v>
      </c>
      <c r="F139" s="5">
        <v>15</v>
      </c>
      <c r="G139" s="5" t="s">
        <v>616</v>
      </c>
    </row>
    <row r="140" spans="1:7">
      <c r="A140" s="5" t="s">
        <v>617</v>
      </c>
      <c r="B140" s="5" t="s">
        <v>341</v>
      </c>
      <c r="C140" s="5" t="s">
        <v>427</v>
      </c>
      <c r="D140" s="5"/>
      <c r="E140" s="5">
        <v>90</v>
      </c>
      <c r="F140" s="5">
        <v>40</v>
      </c>
      <c r="G140" s="5" t="s">
        <v>525</v>
      </c>
    </row>
    <row r="141" spans="1:7">
      <c r="A141" s="5" t="s">
        <v>618</v>
      </c>
      <c r="B141" s="5" t="s">
        <v>129</v>
      </c>
      <c r="C141" s="5" t="s">
        <v>404</v>
      </c>
      <c r="D141" s="5">
        <v>15</v>
      </c>
      <c r="E141" s="5">
        <v>85</v>
      </c>
      <c r="F141" s="5">
        <v>20</v>
      </c>
      <c r="G141" s="5" t="s">
        <v>409</v>
      </c>
    </row>
    <row r="142" spans="1:7">
      <c r="A142" s="5" t="s">
        <v>619</v>
      </c>
      <c r="B142" s="5" t="s">
        <v>164</v>
      </c>
      <c r="C142" s="5" t="s">
        <v>404</v>
      </c>
      <c r="D142" s="5">
        <v>80</v>
      </c>
      <c r="E142" s="5">
        <v>100</v>
      </c>
      <c r="F142" s="5">
        <v>10</v>
      </c>
      <c r="G142" s="5" t="s">
        <v>516</v>
      </c>
    </row>
    <row r="143" spans="1:7">
      <c r="A143" s="5" t="s">
        <v>620</v>
      </c>
      <c r="B143" s="5" t="s">
        <v>129</v>
      </c>
      <c r="C143" s="5" t="s">
        <v>427</v>
      </c>
      <c r="D143" s="5"/>
      <c r="E143" s="5">
        <v>75</v>
      </c>
      <c r="F143" s="5">
        <v>10</v>
      </c>
      <c r="G143" s="5" t="s">
        <v>478</v>
      </c>
    </row>
    <row r="144" spans="1:7">
      <c r="A144" s="5" t="s">
        <v>621</v>
      </c>
      <c r="B144" s="5" t="s">
        <v>431</v>
      </c>
      <c r="C144" s="5" t="s">
        <v>404</v>
      </c>
      <c r="D144" s="5">
        <v>140</v>
      </c>
      <c r="E144" s="5">
        <v>90</v>
      </c>
      <c r="F144" s="5">
        <v>5</v>
      </c>
      <c r="G144" s="5" t="s">
        <v>622</v>
      </c>
    </row>
    <row r="145" spans="1:7">
      <c r="A145" s="5" t="s">
        <v>623</v>
      </c>
      <c r="B145" s="5" t="s">
        <v>129</v>
      </c>
      <c r="C145" s="5" t="s">
        <v>427</v>
      </c>
      <c r="D145" s="5"/>
      <c r="E145" s="5"/>
      <c r="F145" s="5">
        <v>10</v>
      </c>
      <c r="G145" s="5" t="s">
        <v>624</v>
      </c>
    </row>
    <row r="146" spans="1:7">
      <c r="A146" s="5" t="s">
        <v>625</v>
      </c>
      <c r="B146" s="5" t="s">
        <v>54</v>
      </c>
      <c r="C146" s="5" t="s">
        <v>327</v>
      </c>
      <c r="D146" s="5">
        <v>40</v>
      </c>
      <c r="E146" s="5">
        <v>100</v>
      </c>
      <c r="F146" s="5">
        <v>30</v>
      </c>
      <c r="G146" s="5" t="s">
        <v>500</v>
      </c>
    </row>
    <row r="147" spans="1:7">
      <c r="A147" s="5" t="s">
        <v>626</v>
      </c>
      <c r="B147" s="5" t="s">
        <v>129</v>
      </c>
      <c r="C147" s="5" t="s">
        <v>404</v>
      </c>
      <c r="D147" s="5">
        <v>70</v>
      </c>
      <c r="E147" s="5">
        <v>100</v>
      </c>
      <c r="F147" s="5">
        <v>10</v>
      </c>
      <c r="G147" s="5" t="s">
        <v>498</v>
      </c>
    </row>
    <row r="148" spans="1:7">
      <c r="A148" s="5" t="s">
        <v>627</v>
      </c>
      <c r="B148" s="5" t="s">
        <v>82</v>
      </c>
      <c r="C148" s="5" t="s">
        <v>427</v>
      </c>
      <c r="D148" s="5"/>
      <c r="E148" s="5">
        <v>100</v>
      </c>
      <c r="F148" s="5">
        <v>15</v>
      </c>
      <c r="G148" s="5" t="s">
        <v>478</v>
      </c>
    </row>
    <row r="149" spans="1:7">
      <c r="A149" s="5" t="s">
        <v>628</v>
      </c>
      <c r="B149" s="5" t="s">
        <v>129</v>
      </c>
      <c r="C149" s="5" t="s">
        <v>427</v>
      </c>
      <c r="D149" s="5"/>
      <c r="E149" s="5">
        <v>100</v>
      </c>
      <c r="F149" s="5">
        <v>20</v>
      </c>
      <c r="G149" s="5" t="s">
        <v>451</v>
      </c>
    </row>
    <row r="150" spans="1:7">
      <c r="A150" s="5" t="s">
        <v>629</v>
      </c>
      <c r="B150" s="5" t="s">
        <v>32</v>
      </c>
      <c r="C150" s="5" t="s">
        <v>327</v>
      </c>
      <c r="D150" s="5"/>
      <c r="E150" s="5">
        <v>100</v>
      </c>
      <c r="F150" s="5">
        <v>15</v>
      </c>
      <c r="G150" s="5" t="s">
        <v>630</v>
      </c>
    </row>
    <row r="151" spans="1:7">
      <c r="A151" s="5" t="s">
        <v>631</v>
      </c>
      <c r="B151" s="5" t="s">
        <v>129</v>
      </c>
      <c r="C151" s="5" t="s">
        <v>427</v>
      </c>
      <c r="D151" s="5"/>
      <c r="E151" s="5"/>
      <c r="F151" s="5">
        <v>40</v>
      </c>
      <c r="G151" s="5" t="s">
        <v>632</v>
      </c>
    </row>
    <row r="152" spans="1:7">
      <c r="A152" s="5" t="s">
        <v>633</v>
      </c>
      <c r="B152" s="5" t="s">
        <v>341</v>
      </c>
      <c r="C152" s="5" t="s">
        <v>427</v>
      </c>
      <c r="D152" s="5"/>
      <c r="E152" s="5"/>
      <c r="F152" s="5">
        <v>20</v>
      </c>
      <c r="G152" s="5" t="s">
        <v>578</v>
      </c>
    </row>
    <row r="153" spans="1:7">
      <c r="A153" s="5" t="s">
        <v>634</v>
      </c>
      <c r="B153" s="5" t="s">
        <v>54</v>
      </c>
      <c r="C153" s="5" t="s">
        <v>404</v>
      </c>
      <c r="D153" s="5">
        <v>100</v>
      </c>
      <c r="E153" s="5">
        <v>90</v>
      </c>
      <c r="F153" s="5">
        <v>10</v>
      </c>
      <c r="G153" s="5" t="s">
        <v>407</v>
      </c>
    </row>
    <row r="154" spans="1:7">
      <c r="A154" s="5" t="s">
        <v>635</v>
      </c>
      <c r="B154" s="5" t="s">
        <v>129</v>
      </c>
      <c r="C154" s="5" t="s">
        <v>404</v>
      </c>
      <c r="D154" s="5">
        <v>250</v>
      </c>
      <c r="E154" s="5">
        <v>100</v>
      </c>
      <c r="F154" s="5">
        <v>5</v>
      </c>
      <c r="G154" s="5" t="s">
        <v>594</v>
      </c>
    </row>
    <row r="155" spans="1:7">
      <c r="A155" s="5" t="s">
        <v>636</v>
      </c>
      <c r="B155" s="5" t="s">
        <v>129</v>
      </c>
      <c r="C155" s="5" t="s">
        <v>404</v>
      </c>
      <c r="D155" s="5">
        <v>18</v>
      </c>
      <c r="E155" s="5">
        <v>80</v>
      </c>
      <c r="F155" s="5">
        <v>15</v>
      </c>
      <c r="G155" s="5" t="s">
        <v>409</v>
      </c>
    </row>
    <row r="156" spans="1:7">
      <c r="A156" s="5" t="s">
        <v>637</v>
      </c>
      <c r="B156" s="5" t="s">
        <v>154</v>
      </c>
      <c r="C156" s="5" t="s">
        <v>404</v>
      </c>
      <c r="D156" s="5">
        <v>50</v>
      </c>
      <c r="E156" s="5">
        <v>90</v>
      </c>
      <c r="F156" s="5">
        <v>10</v>
      </c>
      <c r="G156" s="5" t="s">
        <v>445</v>
      </c>
    </row>
    <row r="157" spans="1:7">
      <c r="A157" s="5" t="s">
        <v>638</v>
      </c>
      <c r="B157" s="5" t="s">
        <v>32</v>
      </c>
      <c r="C157" s="5" t="s">
        <v>427</v>
      </c>
      <c r="D157" s="5"/>
      <c r="E157" s="5"/>
      <c r="F157" s="5">
        <v>5</v>
      </c>
      <c r="G157" s="5" t="s">
        <v>639</v>
      </c>
    </row>
    <row r="158" spans="1:7">
      <c r="A158" s="5" t="s">
        <v>640</v>
      </c>
      <c r="B158" s="5" t="s">
        <v>540</v>
      </c>
      <c r="C158" s="5" t="s">
        <v>404</v>
      </c>
      <c r="D158" s="5">
        <v>75</v>
      </c>
      <c r="E158" s="5">
        <v>90</v>
      </c>
      <c r="F158" s="5">
        <v>10</v>
      </c>
      <c r="G158" s="5" t="s">
        <v>443</v>
      </c>
    </row>
    <row r="159" spans="1:7">
      <c r="A159" s="5" t="s">
        <v>641</v>
      </c>
      <c r="B159" s="5" t="s">
        <v>129</v>
      </c>
      <c r="C159" s="5" t="s">
        <v>404</v>
      </c>
      <c r="D159" s="5">
        <v>80</v>
      </c>
      <c r="E159" s="5">
        <v>90</v>
      </c>
      <c r="F159" s="5">
        <v>15</v>
      </c>
      <c r="G159" s="5" t="s">
        <v>443</v>
      </c>
    </row>
    <row r="160" spans="1:7">
      <c r="A160" s="5" t="s">
        <v>642</v>
      </c>
      <c r="B160" s="5" t="s">
        <v>129</v>
      </c>
      <c r="C160" s="5" t="s">
        <v>427</v>
      </c>
      <c r="D160" s="5"/>
      <c r="E160" s="5"/>
      <c r="F160" s="5">
        <v>30</v>
      </c>
      <c r="G160" s="5" t="s">
        <v>551</v>
      </c>
    </row>
    <row r="161" spans="1:7">
      <c r="A161" s="5" t="s">
        <v>643</v>
      </c>
      <c r="B161" s="5" t="s">
        <v>129</v>
      </c>
      <c r="C161" s="5" t="s">
        <v>427</v>
      </c>
      <c r="D161" s="5"/>
      <c r="E161" s="5"/>
      <c r="F161" s="5">
        <v>30</v>
      </c>
      <c r="G161" s="5" t="s">
        <v>644</v>
      </c>
    </row>
    <row r="162" spans="1:7">
      <c r="A162" s="5" t="s">
        <v>645</v>
      </c>
      <c r="B162" s="5" t="s">
        <v>129</v>
      </c>
      <c r="C162" s="5" t="s">
        <v>327</v>
      </c>
      <c r="D162" s="5">
        <v>80</v>
      </c>
      <c r="E162" s="5">
        <v>100</v>
      </c>
      <c r="F162" s="5">
        <v>10</v>
      </c>
      <c r="G162" s="5" t="s">
        <v>646</v>
      </c>
    </row>
    <row r="163" spans="1:7">
      <c r="A163" s="5" t="s">
        <v>647</v>
      </c>
      <c r="B163" s="5" t="s">
        <v>129</v>
      </c>
      <c r="C163" s="5" t="s">
        <v>404</v>
      </c>
      <c r="D163" s="5"/>
      <c r="E163" s="5">
        <v>90</v>
      </c>
      <c r="F163" s="5">
        <v>10</v>
      </c>
      <c r="G163" s="5" t="s">
        <v>648</v>
      </c>
    </row>
    <row r="164" spans="1:7">
      <c r="A164" s="5" t="s">
        <v>649</v>
      </c>
      <c r="B164" s="5" t="s">
        <v>129</v>
      </c>
      <c r="C164" s="5" t="s">
        <v>404</v>
      </c>
      <c r="D164" s="5">
        <v>70</v>
      </c>
      <c r="E164" s="5">
        <v>100</v>
      </c>
      <c r="F164" s="5">
        <v>20</v>
      </c>
      <c r="G164" s="5" t="s">
        <v>407</v>
      </c>
    </row>
    <row r="165" spans="1:7">
      <c r="A165" s="5" t="s">
        <v>650</v>
      </c>
      <c r="B165" s="5" t="s">
        <v>129</v>
      </c>
      <c r="C165" s="5" t="s">
        <v>427</v>
      </c>
      <c r="D165" s="5"/>
      <c r="E165" s="5"/>
      <c r="F165" s="5">
        <v>10</v>
      </c>
      <c r="G165" s="5" t="s">
        <v>651</v>
      </c>
    </row>
    <row r="166" spans="1:7">
      <c r="A166" s="5" t="s">
        <v>652</v>
      </c>
      <c r="B166" s="5" t="s">
        <v>129</v>
      </c>
      <c r="C166" s="5" t="s">
        <v>404</v>
      </c>
      <c r="D166" s="5">
        <v>50</v>
      </c>
      <c r="E166" s="5"/>
      <c r="F166" s="5">
        <v>1</v>
      </c>
      <c r="G166" s="5" t="s">
        <v>653</v>
      </c>
    </row>
    <row r="167" spans="1:7">
      <c r="A167" s="5" t="s">
        <v>654</v>
      </c>
      <c r="B167" s="5" t="s">
        <v>129</v>
      </c>
      <c r="C167" s="5" t="s">
        <v>427</v>
      </c>
      <c r="D167" s="5"/>
      <c r="E167" s="5"/>
      <c r="F167" s="5">
        <v>1</v>
      </c>
      <c r="G167" s="5" t="s">
        <v>655</v>
      </c>
    </row>
    <row r="168" spans="1:7">
      <c r="A168" s="5" t="s">
        <v>656</v>
      </c>
      <c r="B168" s="5" t="s">
        <v>337</v>
      </c>
      <c r="C168" s="5" t="s">
        <v>404</v>
      </c>
      <c r="D168" s="5">
        <v>10</v>
      </c>
      <c r="E168" s="5">
        <v>90</v>
      </c>
      <c r="F168" s="5">
        <v>10</v>
      </c>
      <c r="G168" s="5" t="s">
        <v>657</v>
      </c>
    </row>
    <row r="169" spans="1:7">
      <c r="A169" s="5" t="s">
        <v>658</v>
      </c>
      <c r="B169" s="5" t="s">
        <v>62</v>
      </c>
      <c r="C169" s="5" t="s">
        <v>404</v>
      </c>
      <c r="D169" s="5">
        <v>60</v>
      </c>
      <c r="E169" s="5">
        <v>100</v>
      </c>
      <c r="F169" s="5">
        <v>25</v>
      </c>
      <c r="G169" s="5" t="s">
        <v>659</v>
      </c>
    </row>
    <row r="170" spans="1:7">
      <c r="A170" s="5" t="s">
        <v>660</v>
      </c>
      <c r="B170" s="5" t="s">
        <v>164</v>
      </c>
      <c r="C170" s="5" t="s">
        <v>427</v>
      </c>
      <c r="D170" s="5"/>
      <c r="E170" s="5"/>
      <c r="F170" s="5">
        <v>10</v>
      </c>
      <c r="G170" s="5" t="s">
        <v>661</v>
      </c>
    </row>
    <row r="171" spans="1:7">
      <c r="A171" s="5" t="s">
        <v>662</v>
      </c>
      <c r="B171" s="5" t="s">
        <v>129</v>
      </c>
      <c r="C171" s="5" t="s">
        <v>427</v>
      </c>
      <c r="D171" s="5"/>
      <c r="E171" s="5"/>
      <c r="F171" s="5">
        <v>5</v>
      </c>
      <c r="G171" s="5" t="s">
        <v>663</v>
      </c>
    </row>
    <row r="172" spans="1:7">
      <c r="A172" s="5" t="s">
        <v>664</v>
      </c>
      <c r="B172" s="5" t="s">
        <v>363</v>
      </c>
      <c r="C172" s="5" t="s">
        <v>427</v>
      </c>
      <c r="D172" s="5"/>
      <c r="E172" s="5">
        <v>100</v>
      </c>
      <c r="F172" s="5">
        <v>15</v>
      </c>
      <c r="G172" s="5" t="s">
        <v>665</v>
      </c>
    </row>
    <row r="173" spans="1:7">
      <c r="A173" s="5" t="s">
        <v>666</v>
      </c>
      <c r="B173" s="5" t="s">
        <v>59</v>
      </c>
      <c r="C173" s="5" t="s">
        <v>404</v>
      </c>
      <c r="D173" s="5">
        <v>60</v>
      </c>
      <c r="E173" s="5">
        <v>100</v>
      </c>
      <c r="F173" s="5">
        <v>25</v>
      </c>
      <c r="G173" s="5" t="s">
        <v>667</v>
      </c>
    </row>
    <row r="174" spans="1:7">
      <c r="A174" s="5" t="s">
        <v>668</v>
      </c>
      <c r="B174" s="5" t="s">
        <v>129</v>
      </c>
      <c r="C174" s="5" t="s">
        <v>327</v>
      </c>
      <c r="D174" s="5">
        <v>50</v>
      </c>
      <c r="E174" s="5">
        <v>100</v>
      </c>
      <c r="F174" s="5">
        <v>15</v>
      </c>
      <c r="G174" s="5" t="s">
        <v>669</v>
      </c>
    </row>
    <row r="175" spans="1:7">
      <c r="A175" s="5" t="s">
        <v>670</v>
      </c>
      <c r="B175" s="5" t="s">
        <v>363</v>
      </c>
      <c r="C175" s="5" t="s">
        <v>427</v>
      </c>
      <c r="D175" s="5"/>
      <c r="E175" s="5"/>
      <c r="F175" s="5">
        <v>10</v>
      </c>
      <c r="G175" s="5" t="s">
        <v>671</v>
      </c>
    </row>
    <row r="176" spans="1:7">
      <c r="A176" s="5" t="s">
        <v>672</v>
      </c>
      <c r="B176" s="5" t="s">
        <v>129</v>
      </c>
      <c r="C176" s="5" t="s">
        <v>404</v>
      </c>
      <c r="D176" s="5"/>
      <c r="E176" s="5">
        <v>100</v>
      </c>
      <c r="F176" s="5">
        <v>15</v>
      </c>
      <c r="G176" s="5" t="s">
        <v>673</v>
      </c>
    </row>
    <row r="177" spans="1:7">
      <c r="A177" s="5" t="s">
        <v>674</v>
      </c>
      <c r="B177" s="5" t="s">
        <v>129</v>
      </c>
      <c r="C177" s="5" t="s">
        <v>427</v>
      </c>
      <c r="D177" s="5"/>
      <c r="E177" s="5"/>
      <c r="F177" s="5">
        <v>30</v>
      </c>
      <c r="G177" s="5" t="s">
        <v>675</v>
      </c>
    </row>
    <row r="178" spans="1:7">
      <c r="A178" s="5" t="s">
        <v>676</v>
      </c>
      <c r="B178" s="5" t="s">
        <v>431</v>
      </c>
      <c r="C178" s="5" t="s">
        <v>327</v>
      </c>
      <c r="D178" s="5">
        <v>100</v>
      </c>
      <c r="E178" s="5">
        <v>95</v>
      </c>
      <c r="F178" s="5">
        <v>5</v>
      </c>
      <c r="G178" s="5" t="s">
        <v>407</v>
      </c>
    </row>
    <row r="179" spans="1:7">
      <c r="A179" s="5" t="s">
        <v>677</v>
      </c>
      <c r="B179" s="5" t="s">
        <v>82</v>
      </c>
      <c r="C179" s="5" t="s">
        <v>427</v>
      </c>
      <c r="D179" s="5"/>
      <c r="E179" s="5">
        <v>100</v>
      </c>
      <c r="F179" s="5">
        <v>40</v>
      </c>
      <c r="G179" s="5" t="s">
        <v>531</v>
      </c>
    </row>
    <row r="180" spans="1:7">
      <c r="A180" s="5" t="s">
        <v>678</v>
      </c>
      <c r="B180" s="5" t="s">
        <v>337</v>
      </c>
      <c r="C180" s="5" t="s">
        <v>404</v>
      </c>
      <c r="D180" s="5"/>
      <c r="E180" s="5">
        <v>100</v>
      </c>
      <c r="F180" s="5">
        <v>15</v>
      </c>
      <c r="G180" s="5" t="s">
        <v>673</v>
      </c>
    </row>
    <row r="181" spans="1:7">
      <c r="A181" s="5" t="s">
        <v>679</v>
      </c>
      <c r="B181" s="5" t="s">
        <v>363</v>
      </c>
      <c r="C181" s="5" t="s">
        <v>427</v>
      </c>
      <c r="D181" s="5"/>
      <c r="E181" s="5">
        <v>100</v>
      </c>
      <c r="F181" s="5">
        <v>10</v>
      </c>
      <c r="G181" s="5" t="s">
        <v>680</v>
      </c>
    </row>
    <row r="182" spans="1:7">
      <c r="A182" s="5" t="s">
        <v>681</v>
      </c>
      <c r="B182" s="5" t="s">
        <v>64</v>
      </c>
      <c r="C182" s="5" t="s">
        <v>327</v>
      </c>
      <c r="D182" s="5">
        <v>40</v>
      </c>
      <c r="E182" s="5">
        <v>100</v>
      </c>
      <c r="F182" s="5">
        <v>25</v>
      </c>
      <c r="G182" s="5" t="s">
        <v>417</v>
      </c>
    </row>
    <row r="183" spans="1:7">
      <c r="A183" s="5" t="s">
        <v>682</v>
      </c>
      <c r="B183" s="5" t="s">
        <v>129</v>
      </c>
      <c r="C183" s="5" t="s">
        <v>427</v>
      </c>
      <c r="D183" s="5"/>
      <c r="E183" s="5"/>
      <c r="F183" s="5">
        <v>10</v>
      </c>
      <c r="G183" s="5" t="s">
        <v>683</v>
      </c>
    </row>
    <row r="184" spans="1:7">
      <c r="A184" s="5" t="s">
        <v>684</v>
      </c>
      <c r="B184" s="5" t="s">
        <v>337</v>
      </c>
      <c r="C184" s="5" t="s">
        <v>404</v>
      </c>
      <c r="D184" s="5">
        <v>40</v>
      </c>
      <c r="E184" s="5">
        <v>100</v>
      </c>
      <c r="F184" s="5">
        <v>30</v>
      </c>
      <c r="G184" s="5" t="s">
        <v>405</v>
      </c>
    </row>
    <row r="185" spans="1:7">
      <c r="A185" s="5" t="s">
        <v>685</v>
      </c>
      <c r="B185" s="5" t="s">
        <v>129</v>
      </c>
      <c r="C185" s="5" t="s">
        <v>427</v>
      </c>
      <c r="D185" s="5"/>
      <c r="E185" s="5">
        <v>100</v>
      </c>
      <c r="F185" s="5">
        <v>10</v>
      </c>
      <c r="G185" s="5" t="s">
        <v>531</v>
      </c>
    </row>
    <row r="186" spans="1:7">
      <c r="A186" s="5" t="s">
        <v>686</v>
      </c>
      <c r="B186" s="5" t="s">
        <v>62</v>
      </c>
      <c r="C186" s="5" t="s">
        <v>404</v>
      </c>
      <c r="D186" s="5">
        <v>60</v>
      </c>
      <c r="E186" s="5"/>
      <c r="F186" s="5">
        <v>20</v>
      </c>
      <c r="G186" s="5" t="s">
        <v>604</v>
      </c>
    </row>
    <row r="187" spans="1:7">
      <c r="A187" s="5" t="s">
        <v>687</v>
      </c>
      <c r="B187" s="5" t="s">
        <v>138</v>
      </c>
      <c r="C187" s="5" t="s">
        <v>427</v>
      </c>
      <c r="D187" s="5"/>
      <c r="E187" s="5">
        <v>75</v>
      </c>
      <c r="F187" s="5">
        <v>10</v>
      </c>
      <c r="G187" s="5" t="s">
        <v>480</v>
      </c>
    </row>
    <row r="188" spans="1:7">
      <c r="A188" s="5" t="s">
        <v>688</v>
      </c>
      <c r="B188" s="5" t="s">
        <v>129</v>
      </c>
      <c r="C188" s="5" t="s">
        <v>427</v>
      </c>
      <c r="D188" s="5"/>
      <c r="E188" s="5"/>
      <c r="F188" s="5">
        <v>10</v>
      </c>
      <c r="G188" s="5" t="s">
        <v>689</v>
      </c>
    </row>
    <row r="189" spans="1:7">
      <c r="A189" s="5" t="s">
        <v>690</v>
      </c>
      <c r="B189" s="5" t="s">
        <v>341</v>
      </c>
      <c r="C189" s="5" t="s">
        <v>327</v>
      </c>
      <c r="D189" s="5">
        <v>90</v>
      </c>
      <c r="E189" s="5">
        <v>100</v>
      </c>
      <c r="F189" s="5">
        <v>10</v>
      </c>
      <c r="G189" s="5" t="s">
        <v>468</v>
      </c>
    </row>
    <row r="190" spans="1:7">
      <c r="A190" s="5" t="s">
        <v>691</v>
      </c>
      <c r="B190" s="5" t="s">
        <v>154</v>
      </c>
      <c r="C190" s="5" t="s">
        <v>327</v>
      </c>
      <c r="D190" s="5">
        <v>20</v>
      </c>
      <c r="E190" s="5">
        <v>100</v>
      </c>
      <c r="F190" s="5">
        <v>10</v>
      </c>
      <c r="G190" s="5" t="s">
        <v>692</v>
      </c>
    </row>
    <row r="191" spans="1:7">
      <c r="A191" s="5" t="s">
        <v>693</v>
      </c>
      <c r="B191" s="5" t="s">
        <v>54</v>
      </c>
      <c r="C191" s="5" t="s">
        <v>327</v>
      </c>
      <c r="D191" s="5">
        <v>65</v>
      </c>
      <c r="E191" s="5">
        <v>85</v>
      </c>
      <c r="F191" s="5">
        <v>10</v>
      </c>
      <c r="G191" s="5" t="s">
        <v>692</v>
      </c>
    </row>
    <row r="192" spans="1:7">
      <c r="A192" s="5" t="s">
        <v>694</v>
      </c>
      <c r="B192" s="5" t="s">
        <v>154</v>
      </c>
      <c r="C192" s="5" t="s">
        <v>427</v>
      </c>
      <c r="D192" s="5"/>
      <c r="E192" s="5"/>
      <c r="F192" s="5">
        <v>20</v>
      </c>
      <c r="G192" s="5" t="s">
        <v>695</v>
      </c>
    </row>
    <row r="193" spans="1:7">
      <c r="A193" s="5" t="s">
        <v>696</v>
      </c>
      <c r="B193" s="5" t="s">
        <v>76</v>
      </c>
      <c r="C193" s="5" t="s">
        <v>327</v>
      </c>
      <c r="D193" s="5">
        <v>120</v>
      </c>
      <c r="E193" s="5">
        <v>50</v>
      </c>
      <c r="F193" s="5">
        <v>5</v>
      </c>
      <c r="G193" s="5" t="s">
        <v>419</v>
      </c>
    </row>
    <row r="194" spans="1:7">
      <c r="A194" s="5" t="s">
        <v>697</v>
      </c>
      <c r="B194" s="5" t="s">
        <v>129</v>
      </c>
      <c r="C194" s="5" t="s">
        <v>427</v>
      </c>
      <c r="D194" s="5"/>
      <c r="E194" s="5"/>
      <c r="F194" s="5">
        <v>40</v>
      </c>
      <c r="G194" s="5" t="s">
        <v>698</v>
      </c>
    </row>
    <row r="195" spans="1:7">
      <c r="A195" s="5" t="s">
        <v>699</v>
      </c>
      <c r="B195" s="5" t="s">
        <v>363</v>
      </c>
      <c r="C195" s="5" t="s">
        <v>427</v>
      </c>
      <c r="D195" s="5"/>
      <c r="E195" s="5"/>
      <c r="F195" s="5">
        <v>5</v>
      </c>
      <c r="G195" s="5" t="s">
        <v>700</v>
      </c>
    </row>
    <row r="196" spans="1:7">
      <c r="A196" s="5" t="s">
        <v>701</v>
      </c>
      <c r="B196" s="5" t="s">
        <v>129</v>
      </c>
      <c r="C196" s="5" t="s">
        <v>427</v>
      </c>
      <c r="D196" s="5"/>
      <c r="E196" s="5"/>
      <c r="F196" s="5">
        <v>5</v>
      </c>
      <c r="G196" s="5" t="s">
        <v>702</v>
      </c>
    </row>
    <row r="197" spans="1:7">
      <c r="A197" s="5" t="s">
        <v>703</v>
      </c>
      <c r="B197" s="5" t="s">
        <v>64</v>
      </c>
      <c r="C197" s="5" t="s">
        <v>327</v>
      </c>
      <c r="D197" s="5">
        <v>55</v>
      </c>
      <c r="E197" s="5">
        <v>95</v>
      </c>
      <c r="F197" s="5">
        <v>15</v>
      </c>
      <c r="G197" s="5" t="s">
        <v>500</v>
      </c>
    </row>
    <row r="198" spans="1:7">
      <c r="A198" s="5" t="s">
        <v>704</v>
      </c>
      <c r="B198" s="5" t="s">
        <v>337</v>
      </c>
      <c r="C198" s="5" t="s">
        <v>427</v>
      </c>
      <c r="D198" s="5"/>
      <c r="E198" s="5"/>
      <c r="F198" s="5">
        <v>5</v>
      </c>
      <c r="G198" s="5" t="s">
        <v>683</v>
      </c>
    </row>
    <row r="199" spans="1:7">
      <c r="A199" s="5" t="s">
        <v>705</v>
      </c>
      <c r="B199" s="5" t="s">
        <v>154</v>
      </c>
      <c r="C199" s="5" t="s">
        <v>404</v>
      </c>
      <c r="D199" s="5">
        <v>25</v>
      </c>
      <c r="E199" s="5">
        <v>90</v>
      </c>
      <c r="F199" s="5">
        <v>10</v>
      </c>
      <c r="G199" s="5" t="s">
        <v>409</v>
      </c>
    </row>
    <row r="200" spans="1:7">
      <c r="A200" s="5" t="s">
        <v>706</v>
      </c>
      <c r="B200" s="5" t="s">
        <v>129</v>
      </c>
      <c r="C200" s="5" t="s">
        <v>427</v>
      </c>
      <c r="D200" s="5"/>
      <c r="E200" s="5"/>
      <c r="F200" s="5">
        <v>5</v>
      </c>
      <c r="G200" s="5" t="s">
        <v>663</v>
      </c>
    </row>
    <row r="201" spans="1:7">
      <c r="A201" s="5" t="s">
        <v>707</v>
      </c>
      <c r="B201" s="5" t="s">
        <v>336</v>
      </c>
      <c r="C201" s="5" t="s">
        <v>404</v>
      </c>
      <c r="D201" s="5">
        <v>120</v>
      </c>
      <c r="E201" s="5">
        <v>100</v>
      </c>
      <c r="F201" s="5">
        <v>10</v>
      </c>
      <c r="G201" s="5" t="s">
        <v>462</v>
      </c>
    </row>
    <row r="202" spans="1:7">
      <c r="A202" s="5" t="s">
        <v>708</v>
      </c>
      <c r="B202" s="5" t="s">
        <v>540</v>
      </c>
      <c r="C202" s="5" t="s">
        <v>427</v>
      </c>
      <c r="D202" s="5"/>
      <c r="E202" s="5"/>
      <c r="F202" s="5">
        <v>10</v>
      </c>
      <c r="G202" s="5" t="s">
        <v>709</v>
      </c>
    </row>
    <row r="203" spans="1:7">
      <c r="A203" s="5" t="s">
        <v>710</v>
      </c>
      <c r="B203" s="5" t="s">
        <v>82</v>
      </c>
      <c r="C203" s="5" t="s">
        <v>327</v>
      </c>
      <c r="D203" s="5">
        <v>75</v>
      </c>
      <c r="E203" s="5">
        <v>100</v>
      </c>
      <c r="F203" s="5">
        <v>10</v>
      </c>
      <c r="G203" s="5" t="s">
        <v>516</v>
      </c>
    </row>
    <row r="204" spans="1:7">
      <c r="A204" s="5" t="s">
        <v>711</v>
      </c>
      <c r="B204" s="5" t="s">
        <v>129</v>
      </c>
      <c r="C204" s="5" t="s">
        <v>427</v>
      </c>
      <c r="D204" s="5"/>
      <c r="E204" s="5"/>
      <c r="F204" s="5">
        <v>10</v>
      </c>
      <c r="G204" s="5" t="s">
        <v>712</v>
      </c>
    </row>
    <row r="205" spans="1:7">
      <c r="A205" s="5" t="s">
        <v>713</v>
      </c>
      <c r="B205" s="5" t="s">
        <v>138</v>
      </c>
      <c r="C205" s="5" t="s">
        <v>427</v>
      </c>
      <c r="D205" s="5"/>
      <c r="E205" s="5">
        <v>100</v>
      </c>
      <c r="F205" s="5">
        <v>20</v>
      </c>
      <c r="G205" s="5" t="s">
        <v>714</v>
      </c>
    </row>
    <row r="206" spans="1:7">
      <c r="A206" s="5" t="s">
        <v>715</v>
      </c>
      <c r="B206" s="5" t="s">
        <v>540</v>
      </c>
      <c r="C206" s="5" t="s">
        <v>404</v>
      </c>
      <c r="D206" s="5">
        <v>30</v>
      </c>
      <c r="E206" s="5">
        <v>90</v>
      </c>
      <c r="F206" s="5">
        <v>20</v>
      </c>
      <c r="G206" s="5" t="s">
        <v>716</v>
      </c>
    </row>
    <row r="207" spans="1:7">
      <c r="A207" s="5" t="s">
        <v>717</v>
      </c>
      <c r="B207" s="5" t="s">
        <v>129</v>
      </c>
      <c r="C207" s="5" t="s">
        <v>404</v>
      </c>
      <c r="D207" s="5">
        <v>40</v>
      </c>
      <c r="E207" s="5">
        <v>100</v>
      </c>
      <c r="F207" s="5">
        <v>40</v>
      </c>
      <c r="G207" s="5" t="s">
        <v>718</v>
      </c>
    </row>
    <row r="208" spans="1:7">
      <c r="A208" s="5" t="s">
        <v>719</v>
      </c>
      <c r="B208" s="5" t="s">
        <v>129</v>
      </c>
      <c r="C208" s="5" t="s">
        <v>427</v>
      </c>
      <c r="D208" s="5"/>
      <c r="E208" s="5">
        <v>85</v>
      </c>
      <c r="F208" s="5">
        <v>15</v>
      </c>
      <c r="G208" s="5" t="s">
        <v>720</v>
      </c>
    </row>
    <row r="209" spans="1:7">
      <c r="A209" s="5" t="s">
        <v>721</v>
      </c>
      <c r="B209" s="5" t="s">
        <v>129</v>
      </c>
      <c r="C209" s="5" t="s">
        <v>427</v>
      </c>
      <c r="D209" s="5"/>
      <c r="E209" s="5"/>
      <c r="F209" s="5">
        <v>5</v>
      </c>
      <c r="G209" s="5" t="s">
        <v>567</v>
      </c>
    </row>
    <row r="210" spans="1:7">
      <c r="A210" s="5" t="s">
        <v>722</v>
      </c>
      <c r="B210" s="5" t="s">
        <v>76</v>
      </c>
      <c r="C210" s="5" t="s">
        <v>404</v>
      </c>
      <c r="D210" s="5">
        <v>65</v>
      </c>
      <c r="E210" s="5">
        <v>100</v>
      </c>
      <c r="F210" s="5">
        <v>20</v>
      </c>
      <c r="G210" s="5" t="s">
        <v>419</v>
      </c>
    </row>
    <row r="211" spans="1:7">
      <c r="A211" s="5" t="s">
        <v>723</v>
      </c>
      <c r="B211" s="5" t="s">
        <v>164</v>
      </c>
      <c r="C211" s="5" t="s">
        <v>404</v>
      </c>
      <c r="D211" s="5">
        <v>40</v>
      </c>
      <c r="E211" s="5">
        <v>95</v>
      </c>
      <c r="F211" s="5">
        <v>20</v>
      </c>
      <c r="G211" s="5" t="s">
        <v>724</v>
      </c>
    </row>
    <row r="212" spans="1:7">
      <c r="A212" s="5" t="s">
        <v>725</v>
      </c>
      <c r="B212" s="5" t="s">
        <v>726</v>
      </c>
      <c r="C212" s="5" t="s">
        <v>404</v>
      </c>
      <c r="D212" s="5">
        <v>70</v>
      </c>
      <c r="E212" s="5">
        <v>90</v>
      </c>
      <c r="F212" s="5">
        <v>25</v>
      </c>
      <c r="G212" s="5" t="s">
        <v>727</v>
      </c>
    </row>
    <row r="213" spans="1:7">
      <c r="A213" s="5" t="s">
        <v>728</v>
      </c>
      <c r="B213" s="5" t="s">
        <v>129</v>
      </c>
      <c r="C213" s="5" t="s">
        <v>427</v>
      </c>
      <c r="D213" s="5"/>
      <c r="E213" s="5"/>
      <c r="F213" s="5">
        <v>5</v>
      </c>
      <c r="G213" s="5" t="s">
        <v>661</v>
      </c>
    </row>
    <row r="214" spans="1:7">
      <c r="A214" s="5" t="s">
        <v>729</v>
      </c>
      <c r="B214" s="5" t="s">
        <v>129</v>
      </c>
      <c r="C214" s="5" t="s">
        <v>427</v>
      </c>
      <c r="D214" s="5"/>
      <c r="E214" s="5">
        <v>100</v>
      </c>
      <c r="F214" s="5">
        <v>15</v>
      </c>
      <c r="G214" s="5" t="s">
        <v>730</v>
      </c>
    </row>
    <row r="215" spans="1:7">
      <c r="A215" s="5" t="s">
        <v>731</v>
      </c>
      <c r="B215" s="5" t="s">
        <v>129</v>
      </c>
      <c r="C215" s="5" t="s">
        <v>427</v>
      </c>
      <c r="D215" s="5"/>
      <c r="E215" s="5"/>
      <c r="F215" s="5">
        <v>10</v>
      </c>
      <c r="G215" s="5" t="s">
        <v>732</v>
      </c>
    </row>
    <row r="216" spans="1:7">
      <c r="A216" s="5" t="s">
        <v>733</v>
      </c>
      <c r="B216" s="5" t="s">
        <v>129</v>
      </c>
      <c r="C216" s="5" t="s">
        <v>427</v>
      </c>
      <c r="D216" s="5"/>
      <c r="E216" s="5"/>
      <c r="F216" s="5">
        <v>5</v>
      </c>
      <c r="G216" s="5" t="s">
        <v>734</v>
      </c>
    </row>
    <row r="217" spans="1:7">
      <c r="A217" s="5" t="s">
        <v>735</v>
      </c>
      <c r="B217" s="5" t="s">
        <v>129</v>
      </c>
      <c r="C217" s="5" t="s">
        <v>404</v>
      </c>
      <c r="D217" s="5"/>
      <c r="E217" s="5">
        <v>100</v>
      </c>
      <c r="F217" s="5">
        <v>20</v>
      </c>
      <c r="G217" s="5" t="s">
        <v>736</v>
      </c>
    </row>
    <row r="218" spans="1:7">
      <c r="A218" s="5" t="s">
        <v>737</v>
      </c>
      <c r="B218" s="5" t="s">
        <v>129</v>
      </c>
      <c r="C218" s="5" t="s">
        <v>404</v>
      </c>
      <c r="D218" s="5"/>
      <c r="E218" s="5">
        <v>90</v>
      </c>
      <c r="F218" s="5">
        <v>15</v>
      </c>
      <c r="G218" s="5" t="s">
        <v>738</v>
      </c>
    </row>
    <row r="219" spans="1:7">
      <c r="A219" s="5" t="s">
        <v>739</v>
      </c>
      <c r="B219" s="5" t="s">
        <v>129</v>
      </c>
      <c r="C219" s="5" t="s">
        <v>404</v>
      </c>
      <c r="D219" s="5"/>
      <c r="E219" s="5">
        <v>100</v>
      </c>
      <c r="F219" s="5">
        <v>20</v>
      </c>
      <c r="G219" s="5" t="s">
        <v>740</v>
      </c>
    </row>
    <row r="220" spans="1:7">
      <c r="A220" s="5" t="s">
        <v>741</v>
      </c>
      <c r="B220" s="5" t="s">
        <v>129</v>
      </c>
      <c r="C220" s="5" t="s">
        <v>427</v>
      </c>
      <c r="D220" s="5"/>
      <c r="E220" s="5"/>
      <c r="F220" s="5">
        <v>25</v>
      </c>
      <c r="G220" s="5" t="s">
        <v>742</v>
      </c>
    </row>
    <row r="221" spans="1:7">
      <c r="A221" s="5" t="s">
        <v>743</v>
      </c>
      <c r="B221" s="5" t="s">
        <v>129</v>
      </c>
      <c r="C221" s="5" t="s">
        <v>427</v>
      </c>
      <c r="D221" s="5"/>
      <c r="E221" s="5"/>
      <c r="F221" s="5">
        <v>20</v>
      </c>
      <c r="G221" s="5" t="s">
        <v>744</v>
      </c>
    </row>
    <row r="222" spans="1:7">
      <c r="A222" s="5" t="s">
        <v>745</v>
      </c>
      <c r="B222" s="5" t="s">
        <v>59</v>
      </c>
      <c r="C222" s="5" t="s">
        <v>404</v>
      </c>
      <c r="D222" s="5">
        <v>100</v>
      </c>
      <c r="E222" s="5">
        <v>95</v>
      </c>
      <c r="F222" s="5">
        <v>5</v>
      </c>
      <c r="G222" s="5" t="s">
        <v>667</v>
      </c>
    </row>
    <row r="223" spans="1:7">
      <c r="A223" s="5" t="s">
        <v>746</v>
      </c>
      <c r="B223" s="5" t="s">
        <v>154</v>
      </c>
      <c r="C223" s="5" t="s">
        <v>404</v>
      </c>
      <c r="D223" s="5"/>
      <c r="E223" s="5">
        <v>100</v>
      </c>
      <c r="F223" s="5">
        <v>30</v>
      </c>
      <c r="G223" s="5" t="s">
        <v>747</v>
      </c>
    </row>
    <row r="224" spans="1:7">
      <c r="A224" s="5" t="s">
        <v>748</v>
      </c>
      <c r="B224" s="5" t="s">
        <v>337</v>
      </c>
      <c r="C224" s="5" t="s">
        <v>404</v>
      </c>
      <c r="D224" s="5">
        <v>100</v>
      </c>
      <c r="E224" s="5">
        <v>50</v>
      </c>
      <c r="F224" s="5">
        <v>5</v>
      </c>
      <c r="G224" s="5" t="s">
        <v>498</v>
      </c>
    </row>
    <row r="225" spans="1:7">
      <c r="A225" s="5" t="s">
        <v>749</v>
      </c>
      <c r="B225" s="5" t="s">
        <v>164</v>
      </c>
      <c r="C225" s="5" t="s">
        <v>404</v>
      </c>
      <c r="D225" s="5">
        <v>120</v>
      </c>
      <c r="E225" s="5">
        <v>85</v>
      </c>
      <c r="F225" s="5">
        <v>10</v>
      </c>
      <c r="G225" s="5" t="s">
        <v>405</v>
      </c>
    </row>
    <row r="226" spans="1:7">
      <c r="A226" s="5" t="s">
        <v>750</v>
      </c>
      <c r="B226" s="5" t="s">
        <v>336</v>
      </c>
      <c r="C226" s="5" t="s">
        <v>327</v>
      </c>
      <c r="D226" s="5">
        <v>60</v>
      </c>
      <c r="E226" s="5">
        <v>100</v>
      </c>
      <c r="F226" s="5">
        <v>20</v>
      </c>
      <c r="G226" s="5" t="s">
        <v>419</v>
      </c>
    </row>
    <row r="227" spans="1:7">
      <c r="A227" s="5" t="s">
        <v>751</v>
      </c>
      <c r="B227" s="5" t="s">
        <v>129</v>
      </c>
      <c r="C227" s="5" t="s">
        <v>427</v>
      </c>
      <c r="D227" s="5"/>
      <c r="E227" s="5"/>
      <c r="F227" s="5">
        <v>40</v>
      </c>
      <c r="G227" s="5" t="s">
        <v>752</v>
      </c>
    </row>
    <row r="228" spans="1:7">
      <c r="A228" s="5" t="s">
        <v>753</v>
      </c>
      <c r="B228" s="5" t="s">
        <v>129</v>
      </c>
      <c r="C228" s="5" t="s">
        <v>427</v>
      </c>
      <c r="D228" s="5"/>
      <c r="E228" s="5">
        <v>100</v>
      </c>
      <c r="F228" s="5">
        <v>5</v>
      </c>
      <c r="G228" s="5" t="s">
        <v>754</v>
      </c>
    </row>
    <row r="229" spans="1:7">
      <c r="A229" s="5" t="s">
        <v>755</v>
      </c>
      <c r="B229" s="5" t="s">
        <v>62</v>
      </c>
      <c r="C229" s="5" t="s">
        <v>404</v>
      </c>
      <c r="D229" s="5">
        <v>40</v>
      </c>
      <c r="E229" s="5">
        <v>100</v>
      </c>
      <c r="F229" s="5">
        <v>20</v>
      </c>
      <c r="G229" s="5" t="s">
        <v>756</v>
      </c>
    </row>
    <row r="230" spans="1:7">
      <c r="A230" s="5" t="s">
        <v>757</v>
      </c>
      <c r="B230" s="5" t="s">
        <v>129</v>
      </c>
      <c r="C230" s="5" t="s">
        <v>404</v>
      </c>
      <c r="D230" s="5">
        <v>50</v>
      </c>
      <c r="E230" s="5">
        <v>100</v>
      </c>
      <c r="F230" s="5">
        <v>40</v>
      </c>
      <c r="G230" s="5" t="s">
        <v>758</v>
      </c>
    </row>
    <row r="231" spans="1:7">
      <c r="A231" s="5" t="s">
        <v>759</v>
      </c>
      <c r="B231" s="5" t="s">
        <v>129</v>
      </c>
      <c r="C231" s="5" t="s">
        <v>427</v>
      </c>
      <c r="D231" s="5"/>
      <c r="E231" s="5">
        <v>100</v>
      </c>
      <c r="F231" s="5">
        <v>20</v>
      </c>
      <c r="G231" s="5" t="s">
        <v>760</v>
      </c>
    </row>
    <row r="232" spans="1:7">
      <c r="A232" s="5" t="s">
        <v>761</v>
      </c>
      <c r="B232" s="5" t="s">
        <v>726</v>
      </c>
      <c r="C232" s="5" t="s">
        <v>404</v>
      </c>
      <c r="D232" s="5">
        <v>100</v>
      </c>
      <c r="E232" s="5">
        <v>75</v>
      </c>
      <c r="F232" s="5">
        <v>15</v>
      </c>
      <c r="G232" s="5" t="s">
        <v>762</v>
      </c>
    </row>
    <row r="233" spans="1:7">
      <c r="A233" s="5" t="s">
        <v>763</v>
      </c>
      <c r="B233" s="5" t="s">
        <v>726</v>
      </c>
      <c r="C233" s="5" t="s">
        <v>404</v>
      </c>
      <c r="D233" s="5">
        <v>50</v>
      </c>
      <c r="E233" s="5">
        <v>95</v>
      </c>
      <c r="F233" s="5">
        <v>35</v>
      </c>
      <c r="G233" s="5" t="s">
        <v>764</v>
      </c>
    </row>
    <row r="234" spans="1:7">
      <c r="A234" s="5" t="s">
        <v>765</v>
      </c>
      <c r="B234" s="5" t="s">
        <v>337</v>
      </c>
      <c r="C234" s="5" t="s">
        <v>404</v>
      </c>
      <c r="D234" s="5">
        <v>70</v>
      </c>
      <c r="E234" s="5"/>
      <c r="F234" s="5">
        <v>10</v>
      </c>
      <c r="G234" s="5" t="s">
        <v>604</v>
      </c>
    </row>
    <row r="235" spans="1:7">
      <c r="A235" s="5" t="s">
        <v>766</v>
      </c>
      <c r="B235" s="5" t="s">
        <v>129</v>
      </c>
      <c r="C235" s="5" t="s">
        <v>427</v>
      </c>
      <c r="D235" s="5"/>
      <c r="E235" s="5"/>
      <c r="F235" s="5">
        <v>5</v>
      </c>
      <c r="G235" s="5" t="s">
        <v>767</v>
      </c>
    </row>
    <row r="236" spans="1:7">
      <c r="A236" s="5" t="s">
        <v>768</v>
      </c>
      <c r="B236" s="5" t="s">
        <v>82</v>
      </c>
      <c r="C236" s="5" t="s">
        <v>427</v>
      </c>
      <c r="D236" s="5"/>
      <c r="E236" s="5"/>
      <c r="F236" s="5">
        <v>5</v>
      </c>
      <c r="G236" s="5" t="s">
        <v>767</v>
      </c>
    </row>
    <row r="237" spans="1:7">
      <c r="A237" s="5" t="s">
        <v>769</v>
      </c>
      <c r="B237" s="5" t="s">
        <v>138</v>
      </c>
      <c r="C237" s="5" t="s">
        <v>427</v>
      </c>
      <c r="D237" s="5"/>
      <c r="E237" s="5"/>
      <c r="F237" s="5">
        <v>5</v>
      </c>
      <c r="G237" s="5" t="s">
        <v>767</v>
      </c>
    </row>
    <row r="238" spans="1:7">
      <c r="A238" s="5" t="s">
        <v>770</v>
      </c>
      <c r="B238" s="5" t="s">
        <v>129</v>
      </c>
      <c r="C238" s="5" t="s">
        <v>327</v>
      </c>
      <c r="D238" s="5">
        <v>60</v>
      </c>
      <c r="E238" s="5">
        <v>100</v>
      </c>
      <c r="F238" s="5">
        <v>15</v>
      </c>
      <c r="G238" s="5" t="s">
        <v>771</v>
      </c>
    </row>
    <row r="239" spans="1:7">
      <c r="A239" s="5" t="s">
        <v>772</v>
      </c>
      <c r="B239" s="5" t="s">
        <v>337</v>
      </c>
      <c r="C239" s="5" t="s">
        <v>404</v>
      </c>
      <c r="D239" s="5">
        <v>100</v>
      </c>
      <c r="E239" s="5">
        <v>80</v>
      </c>
      <c r="F239" s="5">
        <v>5</v>
      </c>
      <c r="G239" s="5" t="s">
        <v>407</v>
      </c>
    </row>
    <row r="240" spans="1:7">
      <c r="A240" s="5" t="s">
        <v>773</v>
      </c>
      <c r="B240" s="5" t="s">
        <v>336</v>
      </c>
      <c r="C240" s="5" t="s">
        <v>327</v>
      </c>
      <c r="D240" s="5">
        <v>40</v>
      </c>
      <c r="E240" s="5">
        <v>100</v>
      </c>
      <c r="F240" s="5">
        <v>20</v>
      </c>
      <c r="G240" s="5" t="s">
        <v>443</v>
      </c>
    </row>
    <row r="241" spans="1:7">
      <c r="A241" s="5" t="s">
        <v>774</v>
      </c>
      <c r="B241" s="5" t="s">
        <v>54</v>
      </c>
      <c r="C241" s="5" t="s">
        <v>427</v>
      </c>
      <c r="D241" s="5"/>
      <c r="E241" s="5"/>
      <c r="F241" s="5">
        <v>5</v>
      </c>
      <c r="G241" s="5" t="s">
        <v>775</v>
      </c>
    </row>
    <row r="242" spans="1:7">
      <c r="A242" s="5" t="s">
        <v>776</v>
      </c>
      <c r="B242" s="5" t="s">
        <v>59</v>
      </c>
      <c r="C242" s="5" t="s">
        <v>427</v>
      </c>
      <c r="D242" s="5"/>
      <c r="E242" s="5"/>
      <c r="F242" s="5">
        <v>5</v>
      </c>
      <c r="G242" s="5" t="s">
        <v>777</v>
      </c>
    </row>
    <row r="243" spans="1:7">
      <c r="A243" s="5" t="s">
        <v>778</v>
      </c>
      <c r="B243" s="5" t="s">
        <v>62</v>
      </c>
      <c r="C243" s="5" t="s">
        <v>404</v>
      </c>
      <c r="D243" s="5">
        <v>80</v>
      </c>
      <c r="E243" s="5">
        <v>100</v>
      </c>
      <c r="F243" s="5">
        <v>15</v>
      </c>
      <c r="G243" s="5" t="s">
        <v>762</v>
      </c>
    </row>
    <row r="244" spans="1:7">
      <c r="A244" s="5" t="s">
        <v>779</v>
      </c>
      <c r="B244" s="5" t="s">
        <v>32</v>
      </c>
      <c r="C244" s="5" t="s">
        <v>327</v>
      </c>
      <c r="D244" s="5"/>
      <c r="E244" s="5">
        <v>100</v>
      </c>
      <c r="F244" s="5">
        <v>20</v>
      </c>
      <c r="G244" s="5" t="s">
        <v>780</v>
      </c>
    </row>
    <row r="245" spans="1:7">
      <c r="A245" s="5" t="s">
        <v>781</v>
      </c>
      <c r="B245" s="5" t="s">
        <v>129</v>
      </c>
      <c r="C245" s="5" t="s">
        <v>427</v>
      </c>
      <c r="D245" s="5"/>
      <c r="E245" s="5"/>
      <c r="F245" s="5">
        <v>10</v>
      </c>
      <c r="G245" s="5" t="s">
        <v>782</v>
      </c>
    </row>
    <row r="246" spans="1:7">
      <c r="A246" s="5" t="s">
        <v>783</v>
      </c>
      <c r="B246" s="5" t="s">
        <v>129</v>
      </c>
      <c r="C246" s="5" t="s">
        <v>404</v>
      </c>
      <c r="D246" s="5">
        <v>80</v>
      </c>
      <c r="E246" s="5">
        <v>100</v>
      </c>
      <c r="F246" s="5">
        <v>5</v>
      </c>
      <c r="G246" s="5" t="s">
        <v>405</v>
      </c>
    </row>
    <row r="247" spans="1:7">
      <c r="A247" s="5" t="s">
        <v>784</v>
      </c>
      <c r="B247" s="5" t="s">
        <v>540</v>
      </c>
      <c r="C247" s="5" t="s">
        <v>327</v>
      </c>
      <c r="D247" s="5">
        <v>60</v>
      </c>
      <c r="E247" s="5">
        <v>100</v>
      </c>
      <c r="F247" s="5">
        <v>5</v>
      </c>
      <c r="G247" s="5" t="s">
        <v>785</v>
      </c>
    </row>
    <row r="248" spans="1:7">
      <c r="A248" s="5" t="s">
        <v>786</v>
      </c>
      <c r="B248" s="5" t="s">
        <v>363</v>
      </c>
      <c r="C248" s="5" t="s">
        <v>327</v>
      </c>
      <c r="D248" s="5">
        <v>80</v>
      </c>
      <c r="E248" s="5">
        <v>100</v>
      </c>
      <c r="F248" s="5">
        <v>15</v>
      </c>
      <c r="G248" s="5" t="s">
        <v>486</v>
      </c>
    </row>
    <row r="249" spans="1:7">
      <c r="A249" s="5" t="s">
        <v>787</v>
      </c>
      <c r="B249" s="5" t="s">
        <v>32</v>
      </c>
      <c r="C249" s="5" t="s">
        <v>327</v>
      </c>
      <c r="D249" s="5">
        <v>120</v>
      </c>
      <c r="E249" s="5">
        <v>100</v>
      </c>
      <c r="F249" s="5">
        <v>10</v>
      </c>
      <c r="G249" s="5" t="s">
        <v>788</v>
      </c>
    </row>
    <row r="250" spans="1:7">
      <c r="A250" s="5" t="s">
        <v>789</v>
      </c>
      <c r="B250" s="5" t="s">
        <v>337</v>
      </c>
      <c r="C250" s="5" t="s">
        <v>404</v>
      </c>
      <c r="D250" s="5">
        <v>40</v>
      </c>
      <c r="E250" s="5">
        <v>100</v>
      </c>
      <c r="F250" s="5">
        <v>15</v>
      </c>
      <c r="G250" s="5" t="s">
        <v>762</v>
      </c>
    </row>
    <row r="251" spans="1:7">
      <c r="A251" s="5" t="s">
        <v>790</v>
      </c>
      <c r="B251" s="5" t="s">
        <v>54</v>
      </c>
      <c r="C251" s="5" t="s">
        <v>327</v>
      </c>
      <c r="D251" s="5">
        <v>35</v>
      </c>
      <c r="E251" s="5">
        <v>85</v>
      </c>
      <c r="F251" s="5">
        <v>15</v>
      </c>
      <c r="G251" s="5" t="s">
        <v>791</v>
      </c>
    </row>
    <row r="252" spans="1:7">
      <c r="A252" s="5" t="s">
        <v>792</v>
      </c>
      <c r="B252" s="5" t="s">
        <v>62</v>
      </c>
      <c r="C252" s="5" t="s">
        <v>404</v>
      </c>
      <c r="D252" s="5"/>
      <c r="E252" s="5">
        <v>100</v>
      </c>
      <c r="F252" s="5">
        <v>10</v>
      </c>
      <c r="G252" s="5" t="s">
        <v>793</v>
      </c>
    </row>
    <row r="253" spans="1:7">
      <c r="A253" s="5" t="s">
        <v>794</v>
      </c>
      <c r="B253" s="5" t="s">
        <v>129</v>
      </c>
      <c r="C253" s="5" t="s">
        <v>404</v>
      </c>
      <c r="D253" s="5">
        <v>40</v>
      </c>
      <c r="E253" s="5">
        <v>100</v>
      </c>
      <c r="F253" s="5">
        <v>10</v>
      </c>
      <c r="G253" s="5" t="s">
        <v>795</v>
      </c>
    </row>
    <row r="254" spans="1:7">
      <c r="A254" s="5" t="s">
        <v>796</v>
      </c>
      <c r="B254" s="5" t="s">
        <v>129</v>
      </c>
      <c r="C254" s="5" t="s">
        <v>327</v>
      </c>
      <c r="D254" s="5">
        <v>90</v>
      </c>
      <c r="E254" s="5">
        <v>100</v>
      </c>
      <c r="F254" s="5">
        <v>10</v>
      </c>
      <c r="G254" s="5" t="s">
        <v>797</v>
      </c>
    </row>
    <row r="255" spans="1:7">
      <c r="A255" s="5" t="s">
        <v>798</v>
      </c>
      <c r="B255" s="5" t="s">
        <v>129</v>
      </c>
      <c r="C255" s="5" t="s">
        <v>427</v>
      </c>
      <c r="D255" s="5"/>
      <c r="E255" s="5"/>
      <c r="F255" s="5">
        <v>20</v>
      </c>
      <c r="G255" s="5" t="s">
        <v>799</v>
      </c>
    </row>
    <row r="256" spans="1:7">
      <c r="A256" s="5" t="s">
        <v>800</v>
      </c>
      <c r="B256" s="5" t="s">
        <v>129</v>
      </c>
      <c r="C256" s="5" t="s">
        <v>327</v>
      </c>
      <c r="D256" s="5"/>
      <c r="E256" s="5">
        <v>100</v>
      </c>
      <c r="F256" s="5">
        <v>10</v>
      </c>
      <c r="G256" s="5" t="s">
        <v>801</v>
      </c>
    </row>
    <row r="257" spans="1:7">
      <c r="A257" s="5" t="s">
        <v>802</v>
      </c>
      <c r="B257" s="5" t="s">
        <v>129</v>
      </c>
      <c r="C257" s="5" t="s">
        <v>427</v>
      </c>
      <c r="D257" s="5"/>
      <c r="E257" s="5"/>
      <c r="F257" s="5">
        <v>10</v>
      </c>
      <c r="G257" s="5" t="s">
        <v>803</v>
      </c>
    </row>
    <row r="258" spans="1:7">
      <c r="A258" s="5" t="s">
        <v>804</v>
      </c>
      <c r="B258" s="5" t="s">
        <v>59</v>
      </c>
      <c r="C258" s="5" t="s">
        <v>327</v>
      </c>
      <c r="D258" s="5">
        <v>95</v>
      </c>
      <c r="E258" s="5">
        <v>90</v>
      </c>
      <c r="F258" s="5">
        <v>10</v>
      </c>
      <c r="G258" s="5" t="s">
        <v>415</v>
      </c>
    </row>
    <row r="259" spans="1:7">
      <c r="A259" s="5" t="s">
        <v>805</v>
      </c>
      <c r="B259" s="5" t="s">
        <v>64</v>
      </c>
      <c r="C259" s="5" t="s">
        <v>427</v>
      </c>
      <c r="D259" s="5"/>
      <c r="E259" s="5"/>
      <c r="F259" s="5">
        <v>10</v>
      </c>
      <c r="G259" s="5" t="s">
        <v>806</v>
      </c>
    </row>
    <row r="260" spans="1:7">
      <c r="A260" s="5" t="s">
        <v>807</v>
      </c>
      <c r="B260" s="5" t="s">
        <v>62</v>
      </c>
      <c r="C260" s="5" t="s">
        <v>427</v>
      </c>
      <c r="D260" s="5"/>
      <c r="E260" s="5">
        <v>100</v>
      </c>
      <c r="F260" s="5">
        <v>15</v>
      </c>
      <c r="G260" s="5" t="s">
        <v>808</v>
      </c>
    </row>
    <row r="261" spans="1:7">
      <c r="A261" s="5" t="s">
        <v>809</v>
      </c>
      <c r="B261" s="5" t="s">
        <v>62</v>
      </c>
      <c r="C261" s="5" t="s">
        <v>427</v>
      </c>
      <c r="D261" s="5"/>
      <c r="E261" s="5">
        <v>100</v>
      </c>
      <c r="F261" s="5">
        <v>15</v>
      </c>
      <c r="G261" s="5" t="s">
        <v>810</v>
      </c>
    </row>
    <row r="262" spans="1:7">
      <c r="A262" s="5" t="s">
        <v>811</v>
      </c>
      <c r="B262" s="5" t="s">
        <v>59</v>
      </c>
      <c r="C262" s="5" t="s">
        <v>427</v>
      </c>
      <c r="D262" s="5"/>
      <c r="E262" s="5">
        <v>85</v>
      </c>
      <c r="F262" s="5">
        <v>15</v>
      </c>
      <c r="G262" s="5" t="s">
        <v>812</v>
      </c>
    </row>
    <row r="263" spans="1:7">
      <c r="A263" s="5" t="s">
        <v>813</v>
      </c>
      <c r="B263" s="5" t="s">
        <v>62</v>
      </c>
      <c r="C263" s="5" t="s">
        <v>427</v>
      </c>
      <c r="D263" s="5"/>
      <c r="E263" s="5">
        <v>100</v>
      </c>
      <c r="F263" s="5">
        <v>10</v>
      </c>
      <c r="G263" s="5" t="s">
        <v>814</v>
      </c>
    </row>
    <row r="264" spans="1:7">
      <c r="A264" s="5" t="s">
        <v>815</v>
      </c>
      <c r="B264" s="5" t="s">
        <v>129</v>
      </c>
      <c r="C264" s="5" t="s">
        <v>404</v>
      </c>
      <c r="D264" s="5">
        <v>70</v>
      </c>
      <c r="E264" s="5">
        <v>100</v>
      </c>
      <c r="F264" s="5">
        <v>20</v>
      </c>
      <c r="G264" s="5" t="s">
        <v>816</v>
      </c>
    </row>
    <row r="265" spans="1:7">
      <c r="A265" s="5" t="s">
        <v>817</v>
      </c>
      <c r="B265" s="5" t="s">
        <v>337</v>
      </c>
      <c r="C265" s="5" t="s">
        <v>404</v>
      </c>
      <c r="D265" s="5">
        <v>150</v>
      </c>
      <c r="E265" s="5">
        <v>100</v>
      </c>
      <c r="F265" s="5">
        <v>20</v>
      </c>
      <c r="G265" s="5" t="s">
        <v>818</v>
      </c>
    </row>
    <row r="266" spans="1:7">
      <c r="A266" s="5" t="s">
        <v>819</v>
      </c>
      <c r="B266" s="5" t="s">
        <v>129</v>
      </c>
      <c r="C266" s="5" t="s">
        <v>404</v>
      </c>
      <c r="D266" s="5">
        <v>70</v>
      </c>
      <c r="E266" s="5">
        <v>100</v>
      </c>
      <c r="F266" s="5">
        <v>10</v>
      </c>
      <c r="G266" s="5" t="s">
        <v>820</v>
      </c>
    </row>
    <row r="267" spans="1:7">
      <c r="A267" s="5" t="s">
        <v>821</v>
      </c>
      <c r="B267" s="5" t="s">
        <v>129</v>
      </c>
      <c r="C267" s="5" t="s">
        <v>427</v>
      </c>
      <c r="D267" s="5"/>
      <c r="E267" s="5"/>
      <c r="F267" s="5">
        <v>20</v>
      </c>
      <c r="G267" s="5" t="s">
        <v>822</v>
      </c>
    </row>
    <row r="268" spans="1:7">
      <c r="A268" s="5" t="s">
        <v>823</v>
      </c>
      <c r="B268" s="5" t="s">
        <v>129</v>
      </c>
      <c r="C268" s="5" t="s">
        <v>427</v>
      </c>
      <c r="D268" s="5"/>
      <c r="E268" s="5"/>
      <c r="F268" s="5">
        <v>20</v>
      </c>
      <c r="G268" s="5" t="s">
        <v>824</v>
      </c>
    </row>
    <row r="269" spans="1:7">
      <c r="A269" s="5" t="s">
        <v>825</v>
      </c>
      <c r="B269" s="5" t="s">
        <v>76</v>
      </c>
      <c r="C269" s="5" t="s">
        <v>427</v>
      </c>
      <c r="D269" s="5"/>
      <c r="E269" s="5"/>
      <c r="F269" s="5">
        <v>20</v>
      </c>
      <c r="G269" s="5" t="s">
        <v>826</v>
      </c>
    </row>
    <row r="270" spans="1:7">
      <c r="A270" s="5" t="s">
        <v>827</v>
      </c>
      <c r="B270" s="5" t="s">
        <v>62</v>
      </c>
      <c r="C270" s="5" t="s">
        <v>427</v>
      </c>
      <c r="D270" s="5"/>
      <c r="E270" s="5">
        <v>100</v>
      </c>
      <c r="F270" s="5">
        <v>20</v>
      </c>
      <c r="G270" s="5" t="s">
        <v>828</v>
      </c>
    </row>
    <row r="271" spans="1:7">
      <c r="A271" s="5" t="s">
        <v>829</v>
      </c>
      <c r="B271" s="5" t="s">
        <v>129</v>
      </c>
      <c r="C271" s="5" t="s">
        <v>427</v>
      </c>
      <c r="D271" s="5"/>
      <c r="E271" s="5"/>
      <c r="F271" s="5">
        <v>20</v>
      </c>
      <c r="G271" s="5" t="s">
        <v>830</v>
      </c>
    </row>
    <row r="272" spans="1:7">
      <c r="A272" s="5" t="s">
        <v>831</v>
      </c>
      <c r="B272" s="5" t="s">
        <v>32</v>
      </c>
      <c r="C272" s="5" t="s">
        <v>427</v>
      </c>
      <c r="D272" s="5"/>
      <c r="E272" s="5">
        <v>100</v>
      </c>
      <c r="F272" s="5">
        <v>10</v>
      </c>
      <c r="G272" s="5" t="s">
        <v>832</v>
      </c>
    </row>
    <row r="273" spans="1:7">
      <c r="A273" s="5" t="s">
        <v>833</v>
      </c>
      <c r="B273" s="5" t="s">
        <v>32</v>
      </c>
      <c r="C273" s="5" t="s">
        <v>427</v>
      </c>
      <c r="D273" s="5"/>
      <c r="E273" s="5"/>
      <c r="F273" s="5">
        <v>10</v>
      </c>
      <c r="G273" s="5" t="s">
        <v>834</v>
      </c>
    </row>
    <row r="274" spans="1:7">
      <c r="A274" s="5" t="s">
        <v>835</v>
      </c>
      <c r="B274" s="5" t="s">
        <v>129</v>
      </c>
      <c r="C274" s="5" t="s">
        <v>427</v>
      </c>
      <c r="D274" s="5"/>
      <c r="E274" s="5"/>
      <c r="F274" s="5">
        <v>10</v>
      </c>
      <c r="G274" s="5" t="s">
        <v>836</v>
      </c>
    </row>
    <row r="275" spans="1:7">
      <c r="A275" s="5" t="s">
        <v>837</v>
      </c>
      <c r="B275" s="5" t="s">
        <v>129</v>
      </c>
      <c r="C275" s="5" t="s">
        <v>427</v>
      </c>
      <c r="D275" s="5"/>
      <c r="E275" s="5"/>
      <c r="F275" s="5">
        <v>20</v>
      </c>
      <c r="G275" s="5" t="s">
        <v>838</v>
      </c>
    </row>
    <row r="276" spans="1:7">
      <c r="A276" s="5" t="s">
        <v>839</v>
      </c>
      <c r="B276" s="5" t="s">
        <v>82</v>
      </c>
      <c r="C276" s="5" t="s">
        <v>427</v>
      </c>
      <c r="D276" s="5"/>
      <c r="E276" s="5"/>
      <c r="F276" s="5">
        <v>20</v>
      </c>
      <c r="G276" s="5" t="s">
        <v>840</v>
      </c>
    </row>
    <row r="277" spans="1:7">
      <c r="A277" s="5" t="s">
        <v>841</v>
      </c>
      <c r="B277" s="5" t="s">
        <v>337</v>
      </c>
      <c r="C277" s="5" t="s">
        <v>404</v>
      </c>
      <c r="D277" s="5">
        <v>120</v>
      </c>
      <c r="E277" s="5">
        <v>100</v>
      </c>
      <c r="F277" s="5">
        <v>5</v>
      </c>
      <c r="G277" s="5" t="s">
        <v>842</v>
      </c>
    </row>
    <row r="278" spans="1:7">
      <c r="A278" s="5" t="s">
        <v>843</v>
      </c>
      <c r="B278" s="5" t="s">
        <v>32</v>
      </c>
      <c r="C278" s="5" t="s">
        <v>427</v>
      </c>
      <c r="D278" s="5"/>
      <c r="E278" s="5"/>
      <c r="F278" s="5">
        <v>15</v>
      </c>
      <c r="G278" s="5" t="s">
        <v>844</v>
      </c>
    </row>
    <row r="279" spans="1:7">
      <c r="A279" s="5" t="s">
        <v>845</v>
      </c>
      <c r="B279" s="5" t="s">
        <v>129</v>
      </c>
      <c r="C279" s="5" t="s">
        <v>427</v>
      </c>
      <c r="D279" s="5"/>
      <c r="E279" s="5"/>
      <c r="F279" s="5">
        <v>10</v>
      </c>
      <c r="G279" s="5" t="s">
        <v>846</v>
      </c>
    </row>
    <row r="280" spans="1:7">
      <c r="A280" s="5" t="s">
        <v>847</v>
      </c>
      <c r="B280" s="5" t="s">
        <v>337</v>
      </c>
      <c r="C280" s="5" t="s">
        <v>404</v>
      </c>
      <c r="D280" s="5">
        <v>60</v>
      </c>
      <c r="E280" s="5">
        <v>100</v>
      </c>
      <c r="F280" s="5">
        <v>10</v>
      </c>
      <c r="G280" s="5" t="s">
        <v>848</v>
      </c>
    </row>
    <row r="281" spans="1:7">
      <c r="A281" s="5" t="s">
        <v>849</v>
      </c>
      <c r="B281" s="5" t="s">
        <v>337</v>
      </c>
      <c r="C281" s="5" t="s">
        <v>404</v>
      </c>
      <c r="D281" s="5">
        <v>75</v>
      </c>
      <c r="E281" s="5">
        <v>100</v>
      </c>
      <c r="F281" s="5">
        <v>15</v>
      </c>
      <c r="G281" s="5" t="s">
        <v>850</v>
      </c>
    </row>
    <row r="282" spans="1:7">
      <c r="A282" s="5" t="s">
        <v>851</v>
      </c>
      <c r="B282" s="5" t="s">
        <v>129</v>
      </c>
      <c r="C282" s="5" t="s">
        <v>427</v>
      </c>
      <c r="D282" s="5"/>
      <c r="E282" s="5"/>
      <c r="F282" s="5">
        <v>10</v>
      </c>
      <c r="G282" s="5" t="s">
        <v>852</v>
      </c>
    </row>
    <row r="283" spans="1:7">
      <c r="A283" s="5" t="s">
        <v>853</v>
      </c>
      <c r="B283" s="5" t="s">
        <v>62</v>
      </c>
      <c r="C283" s="5" t="s">
        <v>404</v>
      </c>
      <c r="D283" s="5">
        <v>65</v>
      </c>
      <c r="E283" s="5">
        <v>100</v>
      </c>
      <c r="F283" s="5">
        <v>20</v>
      </c>
      <c r="G283" s="5" t="s">
        <v>854</v>
      </c>
    </row>
    <row r="284" spans="1:7">
      <c r="A284" s="5" t="s">
        <v>855</v>
      </c>
      <c r="B284" s="5" t="s">
        <v>129</v>
      </c>
      <c r="C284" s="5" t="s">
        <v>404</v>
      </c>
      <c r="D284" s="5"/>
      <c r="E284" s="5">
        <v>100</v>
      </c>
      <c r="F284" s="5">
        <v>5</v>
      </c>
      <c r="G284" s="5" t="s">
        <v>856</v>
      </c>
    </row>
    <row r="285" spans="1:7">
      <c r="A285" s="5" t="s">
        <v>857</v>
      </c>
      <c r="B285" s="5" t="s">
        <v>59</v>
      </c>
      <c r="C285" s="5" t="s">
        <v>327</v>
      </c>
      <c r="D285" s="5">
        <v>150</v>
      </c>
      <c r="E285" s="5">
        <v>100</v>
      </c>
      <c r="F285" s="5">
        <v>5</v>
      </c>
      <c r="G285" s="5" t="s">
        <v>858</v>
      </c>
    </row>
    <row r="286" spans="1:7">
      <c r="A286" s="5" t="s">
        <v>859</v>
      </c>
      <c r="B286" s="5" t="s">
        <v>32</v>
      </c>
      <c r="C286" s="5" t="s">
        <v>427</v>
      </c>
      <c r="D286" s="5"/>
      <c r="E286" s="5"/>
      <c r="F286" s="5">
        <v>10</v>
      </c>
      <c r="G286" s="5" t="s">
        <v>860</v>
      </c>
    </row>
    <row r="287" spans="1:7">
      <c r="A287" s="5" t="s">
        <v>861</v>
      </c>
      <c r="B287" s="5" t="s">
        <v>32</v>
      </c>
      <c r="C287" s="5" t="s">
        <v>427</v>
      </c>
      <c r="D287" s="5"/>
      <c r="E287" s="5"/>
      <c r="F287" s="5">
        <v>10</v>
      </c>
      <c r="G287" s="5" t="s">
        <v>862</v>
      </c>
    </row>
    <row r="288" spans="1:7">
      <c r="A288" s="5" t="s">
        <v>863</v>
      </c>
      <c r="B288" s="5" t="s">
        <v>129</v>
      </c>
      <c r="C288" s="5" t="s">
        <v>427</v>
      </c>
      <c r="D288" s="5"/>
      <c r="E288" s="5"/>
      <c r="F288" s="5">
        <v>20</v>
      </c>
      <c r="G288" s="5" t="s">
        <v>864</v>
      </c>
    </row>
    <row r="289" spans="1:7">
      <c r="A289" s="5" t="s">
        <v>865</v>
      </c>
      <c r="B289" s="5" t="s">
        <v>363</v>
      </c>
      <c r="C289" s="5" t="s">
        <v>427</v>
      </c>
      <c r="D289" s="5"/>
      <c r="E289" s="5"/>
      <c r="F289" s="5">
        <v>5</v>
      </c>
      <c r="G289" s="5" t="s">
        <v>866</v>
      </c>
    </row>
    <row r="290" spans="1:7">
      <c r="A290" s="5" t="s">
        <v>867</v>
      </c>
      <c r="B290" s="5" t="s">
        <v>62</v>
      </c>
      <c r="C290" s="5" t="s">
        <v>427</v>
      </c>
      <c r="D290" s="5"/>
      <c r="E290" s="5"/>
      <c r="F290" s="5">
        <v>10</v>
      </c>
      <c r="G290" s="5" t="s">
        <v>868</v>
      </c>
    </row>
    <row r="291" spans="1:7">
      <c r="A291" s="5" t="s">
        <v>869</v>
      </c>
      <c r="B291" s="5" t="s">
        <v>129</v>
      </c>
      <c r="C291" s="5" t="s">
        <v>404</v>
      </c>
      <c r="D291" s="5">
        <v>70</v>
      </c>
      <c r="E291" s="5">
        <v>100</v>
      </c>
      <c r="F291" s="5">
        <v>20</v>
      </c>
      <c r="G291" s="5" t="s">
        <v>870</v>
      </c>
    </row>
    <row r="292" spans="1:7">
      <c r="A292" s="5" t="s">
        <v>871</v>
      </c>
      <c r="B292" s="5" t="s">
        <v>54</v>
      </c>
      <c r="C292" s="5" t="s">
        <v>404</v>
      </c>
      <c r="D292" s="5">
        <v>80</v>
      </c>
      <c r="E292" s="5">
        <v>100</v>
      </c>
      <c r="F292" s="5">
        <v>10</v>
      </c>
      <c r="G292" s="5" t="s">
        <v>872</v>
      </c>
    </row>
    <row r="293" spans="1:7">
      <c r="A293" s="5" t="s">
        <v>873</v>
      </c>
      <c r="B293" s="5" t="s">
        <v>337</v>
      </c>
      <c r="C293" s="5" t="s">
        <v>404</v>
      </c>
      <c r="D293" s="5">
        <v>15</v>
      </c>
      <c r="E293" s="5">
        <v>100</v>
      </c>
      <c r="F293" s="5">
        <v>20</v>
      </c>
      <c r="G293" s="5" t="s">
        <v>409</v>
      </c>
    </row>
    <row r="294" spans="1:7">
      <c r="A294" s="5" t="s">
        <v>874</v>
      </c>
      <c r="B294" s="5" t="s">
        <v>129</v>
      </c>
      <c r="C294" s="5" t="s">
        <v>427</v>
      </c>
      <c r="D294" s="5"/>
      <c r="E294" s="5"/>
      <c r="F294" s="5">
        <v>20</v>
      </c>
      <c r="G294" s="5" t="s">
        <v>875</v>
      </c>
    </row>
    <row r="295" spans="1:7">
      <c r="A295" s="5" t="s">
        <v>876</v>
      </c>
      <c r="B295" s="5" t="s">
        <v>164</v>
      </c>
      <c r="C295" s="5" t="s">
        <v>427</v>
      </c>
      <c r="D295" s="5"/>
      <c r="E295" s="5"/>
      <c r="F295" s="5">
        <v>20</v>
      </c>
      <c r="G295" s="5" t="s">
        <v>877</v>
      </c>
    </row>
    <row r="296" spans="1:7">
      <c r="A296" s="5" t="s">
        <v>878</v>
      </c>
      <c r="B296" s="5" t="s">
        <v>32</v>
      </c>
      <c r="C296" s="5" t="s">
        <v>327</v>
      </c>
      <c r="D296" s="5">
        <v>95</v>
      </c>
      <c r="E296" s="5">
        <v>100</v>
      </c>
      <c r="F296" s="5">
        <v>5</v>
      </c>
      <c r="G296" s="5" t="s">
        <v>486</v>
      </c>
    </row>
    <row r="297" spans="1:7">
      <c r="A297" s="5" t="s">
        <v>879</v>
      </c>
      <c r="B297" s="5" t="s">
        <v>32</v>
      </c>
      <c r="C297" s="5" t="s">
        <v>327</v>
      </c>
      <c r="D297" s="5">
        <v>95</v>
      </c>
      <c r="E297" s="5">
        <v>100</v>
      </c>
      <c r="F297" s="5">
        <v>5</v>
      </c>
      <c r="G297" s="5" t="s">
        <v>880</v>
      </c>
    </row>
    <row r="298" spans="1:7">
      <c r="A298" s="5" t="s">
        <v>881</v>
      </c>
      <c r="B298" s="5" t="s">
        <v>431</v>
      </c>
      <c r="C298" s="5" t="s">
        <v>427</v>
      </c>
      <c r="D298" s="5"/>
      <c r="E298" s="5">
        <v>100</v>
      </c>
      <c r="F298" s="5">
        <v>15</v>
      </c>
      <c r="G298" s="5" t="s">
        <v>714</v>
      </c>
    </row>
    <row r="299" spans="1:7">
      <c r="A299" s="5" t="s">
        <v>882</v>
      </c>
      <c r="B299" s="5" t="s">
        <v>129</v>
      </c>
      <c r="C299" s="5" t="s">
        <v>427</v>
      </c>
      <c r="D299" s="5"/>
      <c r="E299" s="5">
        <v>100</v>
      </c>
      <c r="F299" s="5">
        <v>20</v>
      </c>
      <c r="G299" s="5" t="s">
        <v>480</v>
      </c>
    </row>
    <row r="300" spans="1:7">
      <c r="A300" s="5" t="s">
        <v>883</v>
      </c>
      <c r="B300" s="5" t="s">
        <v>59</v>
      </c>
      <c r="C300" s="5" t="s">
        <v>404</v>
      </c>
      <c r="D300" s="5">
        <v>85</v>
      </c>
      <c r="E300" s="5">
        <v>90</v>
      </c>
      <c r="F300" s="5">
        <v>10</v>
      </c>
      <c r="G300" s="5" t="s">
        <v>884</v>
      </c>
    </row>
    <row r="301" spans="1:7">
      <c r="A301" s="5" t="s">
        <v>885</v>
      </c>
      <c r="B301" s="5" t="s">
        <v>154</v>
      </c>
      <c r="C301" s="5" t="s">
        <v>427</v>
      </c>
      <c r="D301" s="5"/>
      <c r="E301" s="5"/>
      <c r="F301" s="5">
        <v>15</v>
      </c>
      <c r="G301" s="5" t="s">
        <v>886</v>
      </c>
    </row>
    <row r="302" spans="1:7">
      <c r="A302" s="5" t="s">
        <v>887</v>
      </c>
      <c r="B302" s="5" t="s">
        <v>64</v>
      </c>
      <c r="C302" s="5" t="s">
        <v>404</v>
      </c>
      <c r="D302" s="5">
        <v>30</v>
      </c>
      <c r="E302" s="5">
        <v>90</v>
      </c>
      <c r="F302" s="5">
        <v>20</v>
      </c>
      <c r="G302" s="5" t="s">
        <v>716</v>
      </c>
    </row>
    <row r="303" spans="1:7">
      <c r="A303" s="5" t="s">
        <v>888</v>
      </c>
      <c r="B303" s="5" t="s">
        <v>82</v>
      </c>
      <c r="C303" s="5" t="s">
        <v>404</v>
      </c>
      <c r="D303" s="5">
        <v>60</v>
      </c>
      <c r="E303" s="5">
        <v>100</v>
      </c>
      <c r="F303" s="5">
        <v>15</v>
      </c>
      <c r="G303" s="5" t="s">
        <v>443</v>
      </c>
    </row>
    <row r="304" spans="1:7">
      <c r="A304" s="5" t="s">
        <v>889</v>
      </c>
      <c r="B304" s="5" t="s">
        <v>129</v>
      </c>
      <c r="C304" s="5" t="s">
        <v>427</v>
      </c>
      <c r="D304" s="5"/>
      <c r="E304" s="5"/>
      <c r="F304" s="5">
        <v>5</v>
      </c>
      <c r="G304" s="5" t="s">
        <v>567</v>
      </c>
    </row>
    <row r="305" spans="1:7">
      <c r="A305" s="5" t="s">
        <v>890</v>
      </c>
      <c r="B305" s="5" t="s">
        <v>129</v>
      </c>
      <c r="C305" s="5" t="s">
        <v>327</v>
      </c>
      <c r="D305" s="5">
        <v>90</v>
      </c>
      <c r="E305" s="5">
        <v>100</v>
      </c>
      <c r="F305" s="5">
        <v>10</v>
      </c>
      <c r="G305" s="5" t="s">
        <v>405</v>
      </c>
    </row>
    <row r="306" spans="1:7">
      <c r="A306" s="5" t="s">
        <v>891</v>
      </c>
      <c r="B306" s="5" t="s">
        <v>341</v>
      </c>
      <c r="C306" s="5" t="s">
        <v>404</v>
      </c>
      <c r="D306" s="5">
        <v>50</v>
      </c>
      <c r="E306" s="5">
        <v>100</v>
      </c>
      <c r="F306" s="5">
        <v>15</v>
      </c>
      <c r="G306" s="5" t="s">
        <v>892</v>
      </c>
    </row>
    <row r="307" spans="1:7">
      <c r="A307" s="5" t="s">
        <v>893</v>
      </c>
      <c r="B307" s="5" t="s">
        <v>129</v>
      </c>
      <c r="C307" s="5" t="s">
        <v>404</v>
      </c>
      <c r="D307" s="5">
        <v>75</v>
      </c>
      <c r="E307" s="5">
        <v>95</v>
      </c>
      <c r="F307" s="5">
        <v>10</v>
      </c>
      <c r="G307" s="5" t="s">
        <v>762</v>
      </c>
    </row>
    <row r="308" spans="1:7">
      <c r="A308" s="5" t="s">
        <v>894</v>
      </c>
      <c r="B308" s="5" t="s">
        <v>59</v>
      </c>
      <c r="C308" s="5" t="s">
        <v>327</v>
      </c>
      <c r="D308" s="5">
        <v>150</v>
      </c>
      <c r="E308" s="5">
        <v>90</v>
      </c>
      <c r="F308" s="5">
        <v>5</v>
      </c>
      <c r="G308" s="5" t="s">
        <v>504</v>
      </c>
    </row>
    <row r="309" spans="1:7">
      <c r="A309" s="5" t="s">
        <v>895</v>
      </c>
      <c r="B309" s="5" t="s">
        <v>54</v>
      </c>
      <c r="C309" s="5" t="s">
        <v>327</v>
      </c>
      <c r="D309" s="5">
        <v>150</v>
      </c>
      <c r="E309" s="5">
        <v>90</v>
      </c>
      <c r="F309" s="5">
        <v>5</v>
      </c>
      <c r="G309" s="5" t="s">
        <v>504</v>
      </c>
    </row>
    <row r="310" spans="1:7">
      <c r="A310" s="5" t="s">
        <v>896</v>
      </c>
      <c r="B310" s="5" t="s">
        <v>726</v>
      </c>
      <c r="C310" s="5" t="s">
        <v>404</v>
      </c>
      <c r="D310" s="5">
        <v>90</v>
      </c>
      <c r="E310" s="5">
        <v>90</v>
      </c>
      <c r="F310" s="5">
        <v>10</v>
      </c>
      <c r="G310" s="5" t="s">
        <v>764</v>
      </c>
    </row>
    <row r="311" spans="1:7">
      <c r="A311" s="5" t="s">
        <v>897</v>
      </c>
      <c r="B311" s="5" t="s">
        <v>363</v>
      </c>
      <c r="C311" s="5" t="s">
        <v>404</v>
      </c>
      <c r="D311" s="5">
        <v>30</v>
      </c>
      <c r="E311" s="5">
        <v>100</v>
      </c>
      <c r="F311" s="5">
        <v>15</v>
      </c>
      <c r="G311" s="5" t="s">
        <v>443</v>
      </c>
    </row>
    <row r="312" spans="1:7">
      <c r="A312" s="5" t="s">
        <v>898</v>
      </c>
      <c r="B312" s="5" t="s">
        <v>129</v>
      </c>
      <c r="C312" s="5" t="s">
        <v>327</v>
      </c>
      <c r="D312" s="5">
        <v>50</v>
      </c>
      <c r="E312" s="5">
        <v>100</v>
      </c>
      <c r="F312" s="5">
        <v>10</v>
      </c>
      <c r="G312" s="5" t="s">
        <v>899</v>
      </c>
    </row>
    <row r="313" spans="1:7">
      <c r="A313" s="5" t="s">
        <v>900</v>
      </c>
      <c r="B313" s="5" t="s">
        <v>82</v>
      </c>
      <c r="C313" s="5" t="s">
        <v>427</v>
      </c>
      <c r="D313" s="5"/>
      <c r="E313" s="5"/>
      <c r="F313" s="5">
        <v>5</v>
      </c>
      <c r="G313" s="5" t="s">
        <v>734</v>
      </c>
    </row>
    <row r="314" spans="1:7">
      <c r="A314" s="5" t="s">
        <v>901</v>
      </c>
      <c r="B314" s="5" t="s">
        <v>62</v>
      </c>
      <c r="C314" s="5" t="s">
        <v>427</v>
      </c>
      <c r="D314" s="5"/>
      <c r="E314" s="5">
        <v>100</v>
      </c>
      <c r="F314" s="5">
        <v>20</v>
      </c>
      <c r="G314" s="5" t="s">
        <v>902</v>
      </c>
    </row>
    <row r="315" spans="1:7">
      <c r="A315" s="5" t="s">
        <v>903</v>
      </c>
      <c r="B315" s="5" t="s">
        <v>431</v>
      </c>
      <c r="C315" s="5" t="s">
        <v>327</v>
      </c>
      <c r="D315" s="5">
        <v>60</v>
      </c>
      <c r="E315" s="5">
        <v>95</v>
      </c>
      <c r="F315" s="5">
        <v>25</v>
      </c>
      <c r="G315" s="5" t="s">
        <v>407</v>
      </c>
    </row>
    <row r="316" spans="1:7">
      <c r="A316" s="5" t="s">
        <v>904</v>
      </c>
      <c r="B316" s="5" t="s">
        <v>59</v>
      </c>
      <c r="C316" s="5" t="s">
        <v>327</v>
      </c>
      <c r="D316" s="5">
        <v>130</v>
      </c>
      <c r="E316" s="5">
        <v>90</v>
      </c>
      <c r="F316" s="5">
        <v>5</v>
      </c>
      <c r="G316" s="5" t="s">
        <v>905</v>
      </c>
    </row>
    <row r="317" spans="1:7">
      <c r="A317" s="5" t="s">
        <v>906</v>
      </c>
      <c r="B317" s="5" t="s">
        <v>129</v>
      </c>
      <c r="C317" s="5" t="s">
        <v>427</v>
      </c>
      <c r="D317" s="5"/>
      <c r="E317" s="5"/>
      <c r="F317" s="5">
        <v>40</v>
      </c>
      <c r="G317" s="5" t="s">
        <v>698</v>
      </c>
    </row>
    <row r="318" spans="1:7">
      <c r="A318" s="5" t="s">
        <v>907</v>
      </c>
      <c r="B318" s="5" t="s">
        <v>540</v>
      </c>
      <c r="C318" s="5" t="s">
        <v>404</v>
      </c>
      <c r="D318" s="5">
        <v>60</v>
      </c>
      <c r="E318" s="5">
        <v>95</v>
      </c>
      <c r="F318" s="5">
        <v>15</v>
      </c>
      <c r="G318" s="5" t="s">
        <v>500</v>
      </c>
    </row>
    <row r="319" spans="1:7">
      <c r="A319" s="5" t="s">
        <v>908</v>
      </c>
      <c r="B319" s="5" t="s">
        <v>164</v>
      </c>
      <c r="C319" s="5" t="s">
        <v>327</v>
      </c>
      <c r="D319" s="5">
        <v>60</v>
      </c>
      <c r="E319" s="5">
        <v>100</v>
      </c>
      <c r="F319" s="5">
        <v>5</v>
      </c>
      <c r="G319" s="5" t="s">
        <v>785</v>
      </c>
    </row>
    <row r="320" spans="1:7">
      <c r="A320" s="5" t="s">
        <v>909</v>
      </c>
      <c r="B320" s="5" t="s">
        <v>726</v>
      </c>
      <c r="C320" s="5" t="s">
        <v>427</v>
      </c>
      <c r="D320" s="5"/>
      <c r="E320" s="5">
        <v>85</v>
      </c>
      <c r="F320" s="5">
        <v>40</v>
      </c>
      <c r="G320" s="5" t="s">
        <v>902</v>
      </c>
    </row>
    <row r="321" spans="1:7">
      <c r="A321" s="5" t="s">
        <v>910</v>
      </c>
      <c r="B321" s="5" t="s">
        <v>82</v>
      </c>
      <c r="C321" s="5" t="s">
        <v>427</v>
      </c>
      <c r="D321" s="5"/>
      <c r="E321" s="5">
        <v>55</v>
      </c>
      <c r="F321" s="5">
        <v>15</v>
      </c>
      <c r="G321" s="5" t="s">
        <v>478</v>
      </c>
    </row>
    <row r="322" spans="1:7">
      <c r="A322" s="5" t="s">
        <v>911</v>
      </c>
      <c r="B322" s="5" t="s">
        <v>129</v>
      </c>
      <c r="C322" s="5" t="s">
        <v>427</v>
      </c>
      <c r="D322" s="5"/>
      <c r="E322" s="5">
        <v>100</v>
      </c>
      <c r="F322" s="5">
        <v>20</v>
      </c>
      <c r="G322" s="5" t="s">
        <v>912</v>
      </c>
    </row>
    <row r="323" spans="1:7">
      <c r="A323" s="5" t="s">
        <v>913</v>
      </c>
      <c r="B323" s="5" t="s">
        <v>32</v>
      </c>
      <c r="C323" s="5" t="s">
        <v>427</v>
      </c>
      <c r="D323" s="5"/>
      <c r="E323" s="5"/>
      <c r="F323" s="5">
        <v>20</v>
      </c>
      <c r="G323" s="5" t="s">
        <v>914</v>
      </c>
    </row>
    <row r="324" spans="1:7">
      <c r="A324" s="5" t="s">
        <v>915</v>
      </c>
      <c r="B324" s="5" t="s">
        <v>54</v>
      </c>
      <c r="C324" s="5" t="s">
        <v>327</v>
      </c>
      <c r="D324" s="5">
        <v>150</v>
      </c>
      <c r="E324" s="5">
        <v>100</v>
      </c>
      <c r="F324" s="5">
        <v>5</v>
      </c>
      <c r="G324" s="5" t="s">
        <v>858</v>
      </c>
    </row>
    <row r="325" spans="1:7">
      <c r="A325" s="5" t="s">
        <v>916</v>
      </c>
      <c r="B325" s="5" t="s">
        <v>164</v>
      </c>
      <c r="C325" s="5" t="s">
        <v>327</v>
      </c>
      <c r="D325" s="5">
        <v>75</v>
      </c>
      <c r="E325" s="5">
        <v>100</v>
      </c>
      <c r="F325" s="5">
        <v>15</v>
      </c>
      <c r="G325" s="5" t="s">
        <v>498</v>
      </c>
    </row>
    <row r="326" spans="1:7">
      <c r="A326" s="5" t="s">
        <v>917</v>
      </c>
      <c r="B326" s="5" t="s">
        <v>363</v>
      </c>
      <c r="C326" s="5" t="s">
        <v>404</v>
      </c>
      <c r="D326" s="5">
        <v>60</v>
      </c>
      <c r="E326" s="5"/>
      <c r="F326" s="5">
        <v>20</v>
      </c>
      <c r="G326" s="5" t="s">
        <v>604</v>
      </c>
    </row>
    <row r="327" spans="1:7">
      <c r="A327" s="5" t="s">
        <v>918</v>
      </c>
      <c r="B327" s="5" t="s">
        <v>32</v>
      </c>
      <c r="C327" s="5" t="s">
        <v>327</v>
      </c>
      <c r="D327" s="5">
        <v>80</v>
      </c>
      <c r="E327" s="5">
        <v>100</v>
      </c>
      <c r="F327" s="5">
        <v>20</v>
      </c>
      <c r="G327" s="5" t="s">
        <v>443</v>
      </c>
    </row>
    <row r="328" spans="1:7">
      <c r="A328" s="5" t="s">
        <v>919</v>
      </c>
      <c r="B328" s="5" t="s">
        <v>337</v>
      </c>
      <c r="C328" s="5" t="s">
        <v>404</v>
      </c>
      <c r="D328" s="5">
        <v>85</v>
      </c>
      <c r="E328" s="5">
        <v>90</v>
      </c>
      <c r="F328" s="5">
        <v>15</v>
      </c>
      <c r="G328" s="5" t="s">
        <v>920</v>
      </c>
    </row>
    <row r="329" spans="1:7">
      <c r="A329" s="5" t="s">
        <v>921</v>
      </c>
      <c r="B329" s="5" t="s">
        <v>154</v>
      </c>
      <c r="C329" s="5" t="s">
        <v>404</v>
      </c>
      <c r="D329" s="5">
        <v>35</v>
      </c>
      <c r="E329" s="5">
        <v>85</v>
      </c>
      <c r="F329" s="5">
        <v>15</v>
      </c>
      <c r="G329" s="5" t="s">
        <v>439</v>
      </c>
    </row>
    <row r="330" spans="1:7">
      <c r="A330" s="5" t="s">
        <v>922</v>
      </c>
      <c r="B330" s="5" t="s">
        <v>64</v>
      </c>
      <c r="C330" s="5" t="s">
        <v>327</v>
      </c>
      <c r="D330" s="5"/>
      <c r="E330" s="5">
        <v>30</v>
      </c>
      <c r="F330" s="5">
        <v>5</v>
      </c>
      <c r="G330" s="5" t="s">
        <v>423</v>
      </c>
    </row>
    <row r="331" spans="1:7">
      <c r="A331" s="5" t="s">
        <v>923</v>
      </c>
      <c r="B331" s="5" t="s">
        <v>54</v>
      </c>
      <c r="C331" s="5" t="s">
        <v>327</v>
      </c>
      <c r="D331" s="5">
        <v>90</v>
      </c>
      <c r="E331" s="5">
        <v>85</v>
      </c>
      <c r="F331" s="5">
        <v>10</v>
      </c>
      <c r="G331" s="5" t="s">
        <v>692</v>
      </c>
    </row>
    <row r="332" spans="1:7">
      <c r="A332" s="5" t="s">
        <v>924</v>
      </c>
      <c r="B332" s="5" t="s">
        <v>82</v>
      </c>
      <c r="C332" s="5" t="s">
        <v>404</v>
      </c>
      <c r="D332" s="5">
        <v>25</v>
      </c>
      <c r="E332" s="5">
        <v>100</v>
      </c>
      <c r="F332" s="5">
        <v>30</v>
      </c>
      <c r="G332" s="5" t="s">
        <v>409</v>
      </c>
    </row>
    <row r="333" spans="1:7">
      <c r="A333" s="5" t="s">
        <v>925</v>
      </c>
      <c r="B333" s="5" t="s">
        <v>431</v>
      </c>
      <c r="C333" s="5" t="s">
        <v>404</v>
      </c>
      <c r="D333" s="5">
        <v>60</v>
      </c>
      <c r="E333" s="5"/>
      <c r="F333" s="5">
        <v>20</v>
      </c>
      <c r="G333" s="5" t="s">
        <v>604</v>
      </c>
    </row>
    <row r="334" spans="1:7">
      <c r="A334" s="5" t="s">
        <v>926</v>
      </c>
      <c r="B334" s="5" t="s">
        <v>64</v>
      </c>
      <c r="C334" s="5" t="s">
        <v>404</v>
      </c>
      <c r="D334" s="5">
        <v>25</v>
      </c>
      <c r="E334" s="5">
        <v>100</v>
      </c>
      <c r="F334" s="5">
        <v>30</v>
      </c>
      <c r="G334" s="5" t="s">
        <v>409</v>
      </c>
    </row>
    <row r="335" spans="1:7">
      <c r="A335" s="5" t="s">
        <v>927</v>
      </c>
      <c r="B335" s="5" t="s">
        <v>726</v>
      </c>
      <c r="C335" s="5" t="s">
        <v>427</v>
      </c>
      <c r="D335" s="5"/>
      <c r="E335" s="5"/>
      <c r="F335" s="5">
        <v>15</v>
      </c>
      <c r="G335" s="5" t="s">
        <v>578</v>
      </c>
    </row>
    <row r="336" spans="1:7">
      <c r="A336" s="5" t="s">
        <v>928</v>
      </c>
      <c r="B336" s="5" t="s">
        <v>129</v>
      </c>
      <c r="C336" s="5" t="s">
        <v>427</v>
      </c>
      <c r="D336" s="5"/>
      <c r="E336" s="5"/>
      <c r="F336" s="5">
        <v>5</v>
      </c>
      <c r="G336" s="5" t="s">
        <v>661</v>
      </c>
    </row>
    <row r="337" spans="1:7">
      <c r="A337" s="5" t="s">
        <v>929</v>
      </c>
      <c r="B337" s="5" t="s">
        <v>129</v>
      </c>
      <c r="C337" s="5" t="s">
        <v>427</v>
      </c>
      <c r="D337" s="5"/>
      <c r="E337" s="5"/>
      <c r="F337" s="5">
        <v>40</v>
      </c>
      <c r="G337" s="5" t="s">
        <v>551</v>
      </c>
    </row>
    <row r="338" spans="1:7">
      <c r="A338" s="5" t="s">
        <v>930</v>
      </c>
      <c r="B338" s="5" t="s">
        <v>336</v>
      </c>
      <c r="C338" s="5" t="s">
        <v>404</v>
      </c>
      <c r="D338" s="5">
        <v>80</v>
      </c>
      <c r="E338" s="5">
        <v>100</v>
      </c>
      <c r="F338" s="5">
        <v>15</v>
      </c>
      <c r="G338" s="5" t="s">
        <v>405</v>
      </c>
    </row>
    <row r="339" spans="1:7">
      <c r="A339" s="5" t="s">
        <v>931</v>
      </c>
      <c r="B339" s="5" t="s">
        <v>82</v>
      </c>
      <c r="C339" s="5" t="s">
        <v>327</v>
      </c>
      <c r="D339" s="5">
        <v>150</v>
      </c>
      <c r="E339" s="5">
        <v>90</v>
      </c>
      <c r="F339" s="5">
        <v>5</v>
      </c>
      <c r="G339" s="5" t="s">
        <v>504</v>
      </c>
    </row>
    <row r="340" spans="1:7">
      <c r="A340" s="5" t="s">
        <v>932</v>
      </c>
      <c r="B340" s="5" t="s">
        <v>337</v>
      </c>
      <c r="C340" s="5" t="s">
        <v>427</v>
      </c>
      <c r="D340" s="5"/>
      <c r="E340" s="5"/>
      <c r="F340" s="5">
        <v>20</v>
      </c>
      <c r="G340" s="5" t="s">
        <v>933</v>
      </c>
    </row>
    <row r="341" spans="1:7">
      <c r="A341" s="5" t="s">
        <v>934</v>
      </c>
      <c r="B341" s="5" t="s">
        <v>431</v>
      </c>
      <c r="C341" s="5" t="s">
        <v>404</v>
      </c>
      <c r="D341" s="5">
        <v>85</v>
      </c>
      <c r="E341" s="5">
        <v>85</v>
      </c>
      <c r="F341" s="5">
        <v>5</v>
      </c>
      <c r="G341" s="5" t="s">
        <v>935</v>
      </c>
    </row>
    <row r="342" spans="1:7">
      <c r="A342" s="5" t="s">
        <v>936</v>
      </c>
      <c r="B342" s="5" t="s">
        <v>154</v>
      </c>
      <c r="C342" s="5" t="s">
        <v>327</v>
      </c>
      <c r="D342" s="5">
        <v>55</v>
      </c>
      <c r="E342" s="5">
        <v>95</v>
      </c>
      <c r="F342" s="5">
        <v>15</v>
      </c>
      <c r="G342" s="5" t="s">
        <v>500</v>
      </c>
    </row>
    <row r="343" spans="1:7">
      <c r="A343" s="5" t="s">
        <v>937</v>
      </c>
      <c r="B343" s="5" t="s">
        <v>341</v>
      </c>
      <c r="C343" s="5" t="s">
        <v>404</v>
      </c>
      <c r="D343" s="5">
        <v>50</v>
      </c>
      <c r="E343" s="5">
        <v>100</v>
      </c>
      <c r="F343" s="5">
        <v>25</v>
      </c>
      <c r="G343" s="5" t="s">
        <v>938</v>
      </c>
    </row>
    <row r="344" spans="1:7">
      <c r="A344" s="5" t="s">
        <v>939</v>
      </c>
      <c r="B344" s="5" t="s">
        <v>129</v>
      </c>
      <c r="C344" s="5" t="s">
        <v>404</v>
      </c>
      <c r="D344" s="5">
        <v>60</v>
      </c>
      <c r="E344" s="5">
        <v>100</v>
      </c>
      <c r="F344" s="5">
        <v>25</v>
      </c>
      <c r="G344" s="5" t="s">
        <v>659</v>
      </c>
    </row>
    <row r="345" spans="1:7">
      <c r="A345" s="5" t="s">
        <v>940</v>
      </c>
      <c r="B345" s="5" t="s">
        <v>76</v>
      </c>
      <c r="C345" s="5" t="s">
        <v>404</v>
      </c>
      <c r="D345" s="5">
        <v>120</v>
      </c>
      <c r="E345" s="5">
        <v>100</v>
      </c>
      <c r="F345" s="5">
        <v>15</v>
      </c>
      <c r="G345" s="5" t="s">
        <v>941</v>
      </c>
    </row>
    <row r="346" spans="1:7">
      <c r="A346" s="5" t="s">
        <v>942</v>
      </c>
      <c r="B346" s="5" t="s">
        <v>82</v>
      </c>
      <c r="C346" s="5" t="s">
        <v>327</v>
      </c>
      <c r="D346" s="5">
        <v>60</v>
      </c>
      <c r="E346" s="5"/>
      <c r="F346" s="5">
        <v>20</v>
      </c>
      <c r="G346" s="5" t="s">
        <v>604</v>
      </c>
    </row>
    <row r="347" spans="1:7">
      <c r="A347" s="5" t="s">
        <v>943</v>
      </c>
      <c r="B347" s="5" t="s">
        <v>54</v>
      </c>
      <c r="C347" s="5" t="s">
        <v>427</v>
      </c>
      <c r="D347" s="5"/>
      <c r="E347" s="5"/>
      <c r="F347" s="5">
        <v>15</v>
      </c>
      <c r="G347" s="5" t="s">
        <v>944</v>
      </c>
    </row>
    <row r="348" spans="1:7">
      <c r="A348" s="5" t="s">
        <v>945</v>
      </c>
      <c r="B348" s="5" t="s">
        <v>32</v>
      </c>
      <c r="C348" s="5" t="s">
        <v>427</v>
      </c>
      <c r="D348" s="5"/>
      <c r="E348" s="5"/>
      <c r="F348" s="5">
        <v>20</v>
      </c>
      <c r="G348" s="5" t="s">
        <v>946</v>
      </c>
    </row>
    <row r="349" spans="1:7">
      <c r="A349" s="5" t="s">
        <v>947</v>
      </c>
      <c r="B349" s="5" t="s">
        <v>82</v>
      </c>
      <c r="C349" s="5" t="s">
        <v>404</v>
      </c>
      <c r="D349" s="5">
        <v>90</v>
      </c>
      <c r="E349" s="5">
        <v>100</v>
      </c>
      <c r="F349" s="5">
        <v>15</v>
      </c>
      <c r="G349" s="5" t="s">
        <v>407</v>
      </c>
    </row>
    <row r="350" spans="1:7">
      <c r="A350" s="5" t="s">
        <v>948</v>
      </c>
      <c r="B350" s="5" t="s">
        <v>336</v>
      </c>
      <c r="C350" s="5" t="s">
        <v>427</v>
      </c>
      <c r="D350" s="5"/>
      <c r="E350" s="5"/>
      <c r="F350" s="5">
        <v>20</v>
      </c>
      <c r="G350" s="5" t="s">
        <v>949</v>
      </c>
    </row>
    <row r="351" spans="1:7">
      <c r="A351" s="5" t="s">
        <v>950</v>
      </c>
      <c r="B351" s="5" t="s">
        <v>540</v>
      </c>
      <c r="C351" s="5" t="s">
        <v>404</v>
      </c>
      <c r="D351" s="5">
        <v>25</v>
      </c>
      <c r="E351" s="5">
        <v>90</v>
      </c>
      <c r="F351" s="5">
        <v>10</v>
      </c>
      <c r="G351" s="5" t="s">
        <v>409</v>
      </c>
    </row>
    <row r="352" spans="1:7">
      <c r="A352" s="5" t="s">
        <v>951</v>
      </c>
      <c r="B352" s="5" t="s">
        <v>76</v>
      </c>
      <c r="C352" s="5" t="s">
        <v>327</v>
      </c>
      <c r="D352" s="5">
        <v>60</v>
      </c>
      <c r="E352" s="5"/>
      <c r="F352" s="5">
        <v>20</v>
      </c>
      <c r="G352" s="5" t="s">
        <v>604</v>
      </c>
    </row>
    <row r="353" spans="1:7">
      <c r="A353" s="5" t="s">
        <v>952</v>
      </c>
      <c r="B353" s="5" t="s">
        <v>54</v>
      </c>
      <c r="C353" s="5" t="s">
        <v>327</v>
      </c>
      <c r="D353" s="5">
        <v>60</v>
      </c>
      <c r="E353" s="5">
        <v>100</v>
      </c>
      <c r="F353" s="5">
        <v>20</v>
      </c>
      <c r="G353" s="5" t="s">
        <v>498</v>
      </c>
    </row>
    <row r="354" spans="1:7">
      <c r="A354" s="5" t="s">
        <v>953</v>
      </c>
      <c r="B354" s="5" t="s">
        <v>726</v>
      </c>
      <c r="C354" s="5" t="s">
        <v>327</v>
      </c>
      <c r="D354" s="5">
        <v>140</v>
      </c>
      <c r="E354" s="5">
        <v>100</v>
      </c>
      <c r="F354" s="5">
        <v>5</v>
      </c>
      <c r="G354" s="5" t="s">
        <v>788</v>
      </c>
    </row>
    <row r="355" spans="1:7">
      <c r="A355" s="5" t="s">
        <v>954</v>
      </c>
      <c r="B355" s="5" t="s">
        <v>32</v>
      </c>
      <c r="C355" s="5" t="s">
        <v>327</v>
      </c>
      <c r="D355" s="5">
        <v>140</v>
      </c>
      <c r="E355" s="5">
        <v>90</v>
      </c>
      <c r="F355" s="5">
        <v>5</v>
      </c>
      <c r="G355" s="5" t="s">
        <v>905</v>
      </c>
    </row>
    <row r="356" spans="1:7">
      <c r="A356" s="5" t="s">
        <v>955</v>
      </c>
      <c r="B356" s="5" t="s">
        <v>431</v>
      </c>
      <c r="C356" s="5" t="s">
        <v>427</v>
      </c>
      <c r="D356" s="5"/>
      <c r="E356" s="5"/>
      <c r="F356" s="5">
        <v>5</v>
      </c>
      <c r="G356" s="5" t="s">
        <v>567</v>
      </c>
    </row>
    <row r="357" spans="1:7">
      <c r="A357" s="5" t="s">
        <v>956</v>
      </c>
      <c r="B357" s="5" t="s">
        <v>32</v>
      </c>
      <c r="C357" s="5" t="s">
        <v>427</v>
      </c>
      <c r="D357" s="5"/>
      <c r="E357" s="5"/>
      <c r="F357" s="5">
        <v>5</v>
      </c>
      <c r="G357" s="5" t="s">
        <v>957</v>
      </c>
    </row>
    <row r="358" spans="1:7">
      <c r="A358" s="5" t="s">
        <v>958</v>
      </c>
      <c r="B358" s="5" t="s">
        <v>32</v>
      </c>
      <c r="C358" s="5" t="s">
        <v>427</v>
      </c>
      <c r="D358" s="5"/>
      <c r="E358" s="5"/>
      <c r="F358" s="5">
        <v>40</v>
      </c>
      <c r="G358" s="5" t="s">
        <v>959</v>
      </c>
    </row>
    <row r="359" spans="1:7">
      <c r="A359" s="5" t="s">
        <v>960</v>
      </c>
      <c r="B359" s="5" t="s">
        <v>337</v>
      </c>
      <c r="C359" s="5" t="s">
        <v>404</v>
      </c>
      <c r="D359" s="5">
        <v>70</v>
      </c>
      <c r="E359" s="5">
        <v>100</v>
      </c>
      <c r="F359" s="5">
        <v>10</v>
      </c>
      <c r="G359" s="5" t="s">
        <v>961</v>
      </c>
    </row>
    <row r="360" spans="1:7">
      <c r="A360" s="5" t="s">
        <v>962</v>
      </c>
      <c r="B360" s="5" t="s">
        <v>337</v>
      </c>
      <c r="C360" s="5" t="s">
        <v>404</v>
      </c>
      <c r="D360" s="5">
        <v>100</v>
      </c>
      <c r="E360" s="5">
        <v>90</v>
      </c>
      <c r="F360" s="5">
        <v>10</v>
      </c>
      <c r="G360" s="5" t="s">
        <v>963</v>
      </c>
    </row>
    <row r="361" spans="1:7">
      <c r="A361" s="5" t="s">
        <v>964</v>
      </c>
      <c r="B361" s="5" t="s">
        <v>726</v>
      </c>
      <c r="C361" s="5" t="s">
        <v>404</v>
      </c>
      <c r="D361" s="5"/>
      <c r="E361" s="5">
        <v>100</v>
      </c>
      <c r="F361" s="5">
        <v>5</v>
      </c>
      <c r="G361" s="5" t="s">
        <v>965</v>
      </c>
    </row>
    <row r="362" spans="1:7">
      <c r="A362" s="5" t="s">
        <v>966</v>
      </c>
      <c r="B362" s="5" t="s">
        <v>32</v>
      </c>
      <c r="C362" s="5" t="s">
        <v>427</v>
      </c>
      <c r="D362" s="5"/>
      <c r="E362" s="5"/>
      <c r="F362" s="5">
        <v>10</v>
      </c>
      <c r="G362" s="5" t="s">
        <v>967</v>
      </c>
    </row>
    <row r="363" spans="1:7">
      <c r="A363" s="5" t="s">
        <v>968</v>
      </c>
      <c r="B363" s="5" t="s">
        <v>54</v>
      </c>
      <c r="C363" s="5" t="s">
        <v>327</v>
      </c>
      <c r="D363" s="5">
        <v>65</v>
      </c>
      <c r="E363" s="5">
        <v>100</v>
      </c>
      <c r="F363" s="5">
        <v>10</v>
      </c>
      <c r="G363" s="5" t="s">
        <v>969</v>
      </c>
    </row>
    <row r="364" spans="1:7">
      <c r="A364" s="5" t="s">
        <v>970</v>
      </c>
      <c r="B364" s="5" t="s">
        <v>129</v>
      </c>
      <c r="C364" s="5" t="s">
        <v>404</v>
      </c>
      <c r="D364" s="5"/>
      <c r="E364" s="5">
        <v>100</v>
      </c>
      <c r="F364" s="5">
        <v>15</v>
      </c>
      <c r="G364" s="5" t="s">
        <v>971</v>
      </c>
    </row>
    <row r="365" spans="1:7">
      <c r="A365" s="5" t="s">
        <v>972</v>
      </c>
      <c r="B365" s="5" t="s">
        <v>129</v>
      </c>
      <c r="C365" s="5" t="s">
        <v>404</v>
      </c>
      <c r="D365" s="5">
        <v>30</v>
      </c>
      <c r="E365" s="5">
        <v>100</v>
      </c>
      <c r="F365" s="5">
        <v>10</v>
      </c>
      <c r="G365" s="5" t="s">
        <v>973</v>
      </c>
    </row>
    <row r="366" spans="1:7">
      <c r="A366" s="5" t="s">
        <v>974</v>
      </c>
      <c r="B366" s="5" t="s">
        <v>431</v>
      </c>
      <c r="C366" s="5" t="s">
        <v>404</v>
      </c>
      <c r="D366" s="5">
        <v>60</v>
      </c>
      <c r="E366" s="5">
        <v>100</v>
      </c>
      <c r="F366" s="5">
        <v>20</v>
      </c>
      <c r="G366" s="5" t="s">
        <v>975</v>
      </c>
    </row>
    <row r="367" spans="1:7">
      <c r="A367" s="5" t="s">
        <v>976</v>
      </c>
      <c r="B367" s="5" t="s">
        <v>431</v>
      </c>
      <c r="C367" s="5" t="s">
        <v>427</v>
      </c>
      <c r="D367" s="5"/>
      <c r="E367" s="5"/>
      <c r="F367" s="5">
        <v>15</v>
      </c>
      <c r="G367" s="5" t="s">
        <v>977</v>
      </c>
    </row>
    <row r="368" spans="1:7">
      <c r="A368" s="5" t="s">
        <v>978</v>
      </c>
      <c r="B368" s="5" t="s">
        <v>129</v>
      </c>
      <c r="C368" s="5" t="s">
        <v>427</v>
      </c>
      <c r="D368" s="5"/>
      <c r="E368" s="5"/>
      <c r="F368" s="5">
        <v>30</v>
      </c>
      <c r="G368" s="5" t="s">
        <v>979</v>
      </c>
    </row>
    <row r="369" spans="1:7">
      <c r="A369" s="5" t="s">
        <v>980</v>
      </c>
      <c r="B369" s="5" t="s">
        <v>726</v>
      </c>
      <c r="C369" s="5" t="s">
        <v>404</v>
      </c>
      <c r="D369" s="5"/>
      <c r="E369" s="5">
        <v>100</v>
      </c>
      <c r="F369" s="5">
        <v>10</v>
      </c>
      <c r="G369" s="5" t="s">
        <v>981</v>
      </c>
    </row>
    <row r="370" spans="1:7">
      <c r="A370" s="5" t="s">
        <v>982</v>
      </c>
      <c r="B370" s="5" t="s">
        <v>164</v>
      </c>
      <c r="C370" s="5" t="s">
        <v>404</v>
      </c>
      <c r="D370" s="5">
        <v>70</v>
      </c>
      <c r="E370" s="5">
        <v>100</v>
      </c>
      <c r="F370" s="5">
        <v>20</v>
      </c>
      <c r="G370" s="5" t="s">
        <v>983</v>
      </c>
    </row>
    <row r="371" spans="1:7">
      <c r="A371" s="5" t="s">
        <v>984</v>
      </c>
      <c r="B371" s="5" t="s">
        <v>337</v>
      </c>
      <c r="C371" s="5" t="s">
        <v>404</v>
      </c>
      <c r="D371" s="5">
        <v>120</v>
      </c>
      <c r="E371" s="5">
        <v>100</v>
      </c>
      <c r="F371" s="5">
        <v>5</v>
      </c>
      <c r="G371" s="5" t="s">
        <v>985</v>
      </c>
    </row>
    <row r="372" spans="1:7">
      <c r="A372" s="5" t="s">
        <v>986</v>
      </c>
      <c r="B372" s="5" t="s">
        <v>62</v>
      </c>
      <c r="C372" s="5" t="s">
        <v>404</v>
      </c>
      <c r="D372" s="5">
        <v>50</v>
      </c>
      <c r="E372" s="5">
        <v>100</v>
      </c>
      <c r="F372" s="5">
        <v>10</v>
      </c>
      <c r="G372" s="5" t="s">
        <v>987</v>
      </c>
    </row>
    <row r="373" spans="1:7">
      <c r="A373" s="5" t="s">
        <v>988</v>
      </c>
      <c r="B373" s="5" t="s">
        <v>62</v>
      </c>
      <c r="C373" s="5" t="s">
        <v>404</v>
      </c>
      <c r="D373" s="5">
        <v>60</v>
      </c>
      <c r="E373" s="5">
        <v>100</v>
      </c>
      <c r="F373" s="5">
        <v>10</v>
      </c>
      <c r="G373" s="5" t="s">
        <v>989</v>
      </c>
    </row>
    <row r="374" spans="1:7">
      <c r="A374" s="5" t="s">
        <v>990</v>
      </c>
      <c r="B374" s="5" t="s">
        <v>62</v>
      </c>
      <c r="C374" s="5" t="s">
        <v>427</v>
      </c>
      <c r="D374" s="5"/>
      <c r="E374" s="5">
        <v>100</v>
      </c>
      <c r="F374" s="5">
        <v>15</v>
      </c>
      <c r="G374" s="5" t="s">
        <v>991</v>
      </c>
    </row>
    <row r="375" spans="1:7">
      <c r="A375" s="5" t="s">
        <v>992</v>
      </c>
      <c r="B375" s="5" t="s">
        <v>62</v>
      </c>
      <c r="C375" s="5" t="s">
        <v>404</v>
      </c>
      <c r="D375" s="5"/>
      <c r="E375" s="5">
        <v>100</v>
      </c>
      <c r="F375" s="5">
        <v>10</v>
      </c>
      <c r="G375" s="5" t="s">
        <v>993</v>
      </c>
    </row>
    <row r="376" spans="1:7">
      <c r="A376" s="5" t="s">
        <v>994</v>
      </c>
      <c r="B376" s="5" t="s">
        <v>32</v>
      </c>
      <c r="C376" s="5" t="s">
        <v>427</v>
      </c>
      <c r="D376" s="5"/>
      <c r="E376" s="5">
        <v>100</v>
      </c>
      <c r="F376" s="5">
        <v>10</v>
      </c>
      <c r="G376" s="5" t="s">
        <v>995</v>
      </c>
    </row>
    <row r="377" spans="1:7">
      <c r="A377" s="5" t="s">
        <v>996</v>
      </c>
      <c r="B377" s="5" t="s">
        <v>129</v>
      </c>
      <c r="C377" s="5" t="s">
        <v>327</v>
      </c>
      <c r="D377" s="5"/>
      <c r="E377" s="5"/>
      <c r="F377" s="5">
        <v>5</v>
      </c>
      <c r="G377" s="5" t="s">
        <v>997</v>
      </c>
    </row>
    <row r="378" spans="1:7">
      <c r="A378" s="5" t="s">
        <v>998</v>
      </c>
      <c r="B378" s="5" t="s">
        <v>32</v>
      </c>
      <c r="C378" s="5" t="s">
        <v>427</v>
      </c>
      <c r="D378" s="5"/>
      <c r="E378" s="5">
        <v>100</v>
      </c>
      <c r="F378" s="5">
        <v>15</v>
      </c>
      <c r="G378" s="5" t="s">
        <v>999</v>
      </c>
    </row>
    <row r="379" spans="1:7">
      <c r="A379" s="5" t="s">
        <v>1000</v>
      </c>
      <c r="B379" s="5" t="s">
        <v>129</v>
      </c>
      <c r="C379" s="5" t="s">
        <v>327</v>
      </c>
      <c r="D379" s="5"/>
      <c r="E379" s="5">
        <v>100</v>
      </c>
      <c r="F379" s="5">
        <v>5</v>
      </c>
      <c r="G379" s="5" t="s">
        <v>1001</v>
      </c>
    </row>
    <row r="380" spans="1:7">
      <c r="A380" s="5" t="s">
        <v>1002</v>
      </c>
      <c r="B380" s="5" t="s">
        <v>32</v>
      </c>
      <c r="C380" s="5" t="s">
        <v>427</v>
      </c>
      <c r="D380" s="5"/>
      <c r="E380" s="5"/>
      <c r="F380" s="5">
        <v>10</v>
      </c>
      <c r="G380" s="5" t="s">
        <v>1003</v>
      </c>
    </row>
    <row r="381" spans="1:7">
      <c r="A381" s="5" t="s">
        <v>1004</v>
      </c>
      <c r="B381" s="5" t="s">
        <v>341</v>
      </c>
      <c r="C381" s="5" t="s">
        <v>427</v>
      </c>
      <c r="D381" s="5"/>
      <c r="E381" s="5">
        <v>100</v>
      </c>
      <c r="F381" s="5">
        <v>10</v>
      </c>
      <c r="G381" s="5" t="s">
        <v>1005</v>
      </c>
    </row>
    <row r="382" spans="1:7">
      <c r="A382" s="5" t="s">
        <v>1006</v>
      </c>
      <c r="B382" s="5" t="s">
        <v>129</v>
      </c>
      <c r="C382" s="5" t="s">
        <v>427</v>
      </c>
      <c r="D382" s="5"/>
      <c r="E382" s="5"/>
      <c r="F382" s="5">
        <v>30</v>
      </c>
      <c r="G382" s="5" t="s">
        <v>1007</v>
      </c>
    </row>
    <row r="383" spans="1:7">
      <c r="A383" s="5" t="s">
        <v>1008</v>
      </c>
      <c r="B383" s="5" t="s">
        <v>129</v>
      </c>
      <c r="C383" s="5" t="s">
        <v>427</v>
      </c>
      <c r="D383" s="5"/>
      <c r="E383" s="5"/>
      <c r="F383" s="5">
        <v>20</v>
      </c>
      <c r="G383" s="5" t="s">
        <v>1009</v>
      </c>
    </row>
    <row r="384" spans="1:7">
      <c r="A384" s="5" t="s">
        <v>1010</v>
      </c>
      <c r="B384" s="5" t="s">
        <v>129</v>
      </c>
      <c r="C384" s="5" t="s">
        <v>427</v>
      </c>
      <c r="D384" s="5"/>
      <c r="E384" s="5"/>
      <c r="F384" s="5">
        <v>20</v>
      </c>
      <c r="G384" s="5" t="s">
        <v>592</v>
      </c>
    </row>
    <row r="385" spans="1:7">
      <c r="A385" s="5" t="s">
        <v>1011</v>
      </c>
      <c r="B385" s="5" t="s">
        <v>32</v>
      </c>
      <c r="C385" s="5" t="s">
        <v>427</v>
      </c>
      <c r="D385" s="5"/>
      <c r="E385" s="5"/>
      <c r="F385" s="5">
        <v>10</v>
      </c>
      <c r="G385" s="5" t="s">
        <v>1012</v>
      </c>
    </row>
    <row r="386" spans="1:7">
      <c r="A386" s="5" t="s">
        <v>1013</v>
      </c>
      <c r="B386" s="5" t="s">
        <v>32</v>
      </c>
      <c r="C386" s="5" t="s">
        <v>427</v>
      </c>
      <c r="D386" s="5"/>
      <c r="E386" s="5"/>
      <c r="F386" s="5">
        <v>10</v>
      </c>
      <c r="G386" s="5" t="s">
        <v>1014</v>
      </c>
    </row>
    <row r="387" spans="1:7">
      <c r="A387" s="5" t="s">
        <v>1015</v>
      </c>
      <c r="B387" s="5" t="s">
        <v>62</v>
      </c>
      <c r="C387" s="5" t="s">
        <v>404</v>
      </c>
      <c r="D387" s="5"/>
      <c r="E387" s="5">
        <v>100</v>
      </c>
      <c r="F387" s="5">
        <v>5</v>
      </c>
      <c r="G387" s="5" t="s">
        <v>1016</v>
      </c>
    </row>
    <row r="388" spans="1:7">
      <c r="A388" s="5" t="s">
        <v>1017</v>
      </c>
      <c r="B388" s="5" t="s">
        <v>129</v>
      </c>
      <c r="C388" s="5" t="s">
        <v>404</v>
      </c>
      <c r="D388" s="5">
        <v>140</v>
      </c>
      <c r="E388" s="5">
        <v>100</v>
      </c>
      <c r="F388" s="5">
        <v>5</v>
      </c>
      <c r="G388" s="5" t="s">
        <v>1018</v>
      </c>
    </row>
    <row r="389" spans="1:7">
      <c r="A389" s="5" t="s">
        <v>1019</v>
      </c>
      <c r="B389" s="5" t="s">
        <v>82</v>
      </c>
      <c r="C389" s="5" t="s">
        <v>427</v>
      </c>
      <c r="D389" s="5"/>
      <c r="E389" s="5">
        <v>100</v>
      </c>
      <c r="F389" s="5">
        <v>10</v>
      </c>
      <c r="G389" s="5" t="s">
        <v>1020</v>
      </c>
    </row>
    <row r="390" spans="1:7">
      <c r="A390" s="5" t="s">
        <v>1021</v>
      </c>
      <c r="B390" s="5" t="s">
        <v>62</v>
      </c>
      <c r="C390" s="5" t="s">
        <v>404</v>
      </c>
      <c r="D390" s="5">
        <v>70</v>
      </c>
      <c r="E390" s="5">
        <v>100</v>
      </c>
      <c r="F390" s="5">
        <v>5</v>
      </c>
      <c r="G390" s="5" t="s">
        <v>1022</v>
      </c>
    </row>
    <row r="391" spans="1:7">
      <c r="A391" s="5" t="s">
        <v>1023</v>
      </c>
      <c r="B391" s="5" t="s">
        <v>341</v>
      </c>
      <c r="C391" s="5" t="s">
        <v>427</v>
      </c>
      <c r="D391" s="5"/>
      <c r="E391" s="5"/>
      <c r="F391" s="5">
        <v>20</v>
      </c>
      <c r="G391" s="5" t="s">
        <v>1024</v>
      </c>
    </row>
    <row r="392" spans="1:7">
      <c r="A392" s="5" t="s">
        <v>1025</v>
      </c>
      <c r="B392" s="5" t="s">
        <v>32</v>
      </c>
      <c r="C392" s="5" t="s">
        <v>427</v>
      </c>
      <c r="D392" s="5"/>
      <c r="E392" s="5"/>
      <c r="F392" s="5">
        <v>10</v>
      </c>
      <c r="G392" s="5" t="s">
        <v>1026</v>
      </c>
    </row>
    <row r="393" spans="1:7">
      <c r="A393" s="5" t="s">
        <v>1027</v>
      </c>
      <c r="B393" s="5" t="s">
        <v>54</v>
      </c>
      <c r="C393" s="5" t="s">
        <v>427</v>
      </c>
      <c r="D393" s="5"/>
      <c r="E393" s="5"/>
      <c r="F393" s="5">
        <v>20</v>
      </c>
      <c r="G393" s="5" t="s">
        <v>1028</v>
      </c>
    </row>
    <row r="394" spans="1:7">
      <c r="A394" s="5" t="s">
        <v>1029</v>
      </c>
      <c r="B394" s="5" t="s">
        <v>76</v>
      </c>
      <c r="C394" s="5" t="s">
        <v>427</v>
      </c>
      <c r="D394" s="5"/>
      <c r="E394" s="5"/>
      <c r="F394" s="5">
        <v>10</v>
      </c>
      <c r="G394" s="5" t="s">
        <v>1030</v>
      </c>
    </row>
    <row r="395" spans="1:7">
      <c r="A395" s="5" t="s">
        <v>1031</v>
      </c>
      <c r="B395" s="5" t="s">
        <v>59</v>
      </c>
      <c r="C395" s="5" t="s">
        <v>404</v>
      </c>
      <c r="D395" s="5">
        <v>120</v>
      </c>
      <c r="E395" s="5">
        <v>100</v>
      </c>
      <c r="F395" s="5">
        <v>15</v>
      </c>
      <c r="G395" s="5" t="s">
        <v>1032</v>
      </c>
    </row>
    <row r="396" spans="1:7">
      <c r="A396" s="5" t="s">
        <v>1033</v>
      </c>
      <c r="B396" s="5" t="s">
        <v>337</v>
      </c>
      <c r="C396" s="5" t="s">
        <v>404</v>
      </c>
      <c r="D396" s="5">
        <v>60</v>
      </c>
      <c r="E396" s="5">
        <v>100</v>
      </c>
      <c r="F396" s="5">
        <v>10</v>
      </c>
      <c r="G396" s="5" t="s">
        <v>419</v>
      </c>
    </row>
    <row r="397" spans="1:7">
      <c r="A397" s="5" t="s">
        <v>1034</v>
      </c>
      <c r="B397" s="5" t="s">
        <v>337</v>
      </c>
      <c r="C397" s="5" t="s">
        <v>327</v>
      </c>
      <c r="D397" s="5">
        <v>80</v>
      </c>
      <c r="E397" s="5"/>
      <c r="F397" s="5">
        <v>20</v>
      </c>
      <c r="G397" s="5" t="s">
        <v>604</v>
      </c>
    </row>
    <row r="398" spans="1:7">
      <c r="A398" s="5" t="s">
        <v>1035</v>
      </c>
      <c r="B398" s="5" t="s">
        <v>540</v>
      </c>
      <c r="C398" s="5" t="s">
        <v>427</v>
      </c>
      <c r="D398" s="5"/>
      <c r="E398" s="5"/>
      <c r="F398" s="5">
        <v>20</v>
      </c>
      <c r="G398" s="5" t="s">
        <v>553</v>
      </c>
    </row>
    <row r="399" spans="1:7">
      <c r="A399" s="5" t="s">
        <v>1036</v>
      </c>
      <c r="B399" s="5" t="s">
        <v>341</v>
      </c>
      <c r="C399" s="5" t="s">
        <v>404</v>
      </c>
      <c r="D399" s="5">
        <v>80</v>
      </c>
      <c r="E399" s="5">
        <v>100</v>
      </c>
      <c r="F399" s="5">
        <v>20</v>
      </c>
      <c r="G399" s="5" t="s">
        <v>468</v>
      </c>
    </row>
    <row r="400" spans="1:7">
      <c r="A400" s="5" t="s">
        <v>1037</v>
      </c>
      <c r="B400" s="5" t="s">
        <v>62</v>
      </c>
      <c r="C400" s="5" t="s">
        <v>327</v>
      </c>
      <c r="D400" s="5">
        <v>80</v>
      </c>
      <c r="E400" s="5">
        <v>100</v>
      </c>
      <c r="F400" s="5">
        <v>15</v>
      </c>
      <c r="G400" s="5" t="s">
        <v>443</v>
      </c>
    </row>
    <row r="401" spans="1:7">
      <c r="A401" s="5" t="s">
        <v>1038</v>
      </c>
      <c r="B401" s="5" t="s">
        <v>62</v>
      </c>
      <c r="C401" s="5" t="s">
        <v>404</v>
      </c>
      <c r="D401" s="5">
        <v>70</v>
      </c>
      <c r="E401" s="5">
        <v>100</v>
      </c>
      <c r="F401" s="5">
        <v>15</v>
      </c>
      <c r="G401" s="5" t="s">
        <v>407</v>
      </c>
    </row>
    <row r="402" spans="1:7">
      <c r="A402" s="5" t="s">
        <v>1039</v>
      </c>
      <c r="B402" s="5" t="s">
        <v>54</v>
      </c>
      <c r="C402" s="5" t="s">
        <v>404</v>
      </c>
      <c r="D402" s="5">
        <v>90</v>
      </c>
      <c r="E402" s="5">
        <v>90</v>
      </c>
      <c r="F402" s="5">
        <v>10</v>
      </c>
      <c r="G402" s="5" t="s">
        <v>405</v>
      </c>
    </row>
    <row r="403" spans="1:7">
      <c r="A403" s="5" t="s">
        <v>1040</v>
      </c>
      <c r="B403" s="5" t="s">
        <v>82</v>
      </c>
      <c r="C403" s="5" t="s">
        <v>404</v>
      </c>
      <c r="D403" s="5">
        <v>80</v>
      </c>
      <c r="E403" s="5">
        <v>100</v>
      </c>
      <c r="F403" s="5">
        <v>15</v>
      </c>
      <c r="G403" s="5" t="s">
        <v>405</v>
      </c>
    </row>
    <row r="404" spans="1:7">
      <c r="A404" s="5" t="s">
        <v>1041</v>
      </c>
      <c r="B404" s="5" t="s">
        <v>431</v>
      </c>
      <c r="C404" s="5" t="s">
        <v>327</v>
      </c>
      <c r="D404" s="5">
        <v>75</v>
      </c>
      <c r="E404" s="5">
        <v>95</v>
      </c>
      <c r="F404" s="5">
        <v>15</v>
      </c>
      <c r="G404" s="5" t="s">
        <v>443</v>
      </c>
    </row>
    <row r="405" spans="1:7">
      <c r="A405" s="5" t="s">
        <v>1042</v>
      </c>
      <c r="B405" s="5" t="s">
        <v>164</v>
      </c>
      <c r="C405" s="5" t="s">
        <v>404</v>
      </c>
      <c r="D405" s="5">
        <v>80</v>
      </c>
      <c r="E405" s="5">
        <v>100</v>
      </c>
      <c r="F405" s="5">
        <v>15</v>
      </c>
      <c r="G405" s="5" t="s">
        <v>405</v>
      </c>
    </row>
    <row r="406" spans="1:7">
      <c r="A406" s="5" t="s">
        <v>1043</v>
      </c>
      <c r="B406" s="5" t="s">
        <v>164</v>
      </c>
      <c r="C406" s="5" t="s">
        <v>327</v>
      </c>
      <c r="D406" s="5">
        <v>90</v>
      </c>
      <c r="E406" s="5">
        <v>100</v>
      </c>
      <c r="F406" s="5">
        <v>10</v>
      </c>
      <c r="G406" s="5" t="s">
        <v>486</v>
      </c>
    </row>
    <row r="407" spans="1:7">
      <c r="A407" s="5" t="s">
        <v>1044</v>
      </c>
      <c r="B407" s="5" t="s">
        <v>336</v>
      </c>
      <c r="C407" s="5" t="s">
        <v>327</v>
      </c>
      <c r="D407" s="5">
        <v>85</v>
      </c>
      <c r="E407" s="5">
        <v>100</v>
      </c>
      <c r="F407" s="5">
        <v>10</v>
      </c>
      <c r="G407" s="5" t="s">
        <v>405</v>
      </c>
    </row>
    <row r="408" spans="1:7">
      <c r="A408" s="5" t="s">
        <v>1045</v>
      </c>
      <c r="B408" s="5" t="s">
        <v>336</v>
      </c>
      <c r="C408" s="5" t="s">
        <v>404</v>
      </c>
      <c r="D408" s="5">
        <v>100</v>
      </c>
      <c r="E408" s="5">
        <v>75</v>
      </c>
      <c r="F408" s="5">
        <v>10</v>
      </c>
      <c r="G408" s="5" t="s">
        <v>443</v>
      </c>
    </row>
    <row r="409" spans="1:7">
      <c r="A409" s="5" t="s">
        <v>1046</v>
      </c>
      <c r="B409" s="5" t="s">
        <v>540</v>
      </c>
      <c r="C409" s="5" t="s">
        <v>327</v>
      </c>
      <c r="D409" s="5">
        <v>80</v>
      </c>
      <c r="E409" s="5">
        <v>100</v>
      </c>
      <c r="F409" s="5">
        <v>20</v>
      </c>
      <c r="G409" s="5" t="s">
        <v>405</v>
      </c>
    </row>
    <row r="410" spans="1:7">
      <c r="A410" s="5" t="s">
        <v>1047</v>
      </c>
      <c r="B410" s="5" t="s">
        <v>337</v>
      </c>
      <c r="C410" s="5" t="s">
        <v>404</v>
      </c>
      <c r="D410" s="5">
        <v>75</v>
      </c>
      <c r="E410" s="5">
        <v>100</v>
      </c>
      <c r="F410" s="5">
        <v>10</v>
      </c>
      <c r="G410" s="5" t="s">
        <v>516</v>
      </c>
    </row>
    <row r="411" spans="1:7">
      <c r="A411" s="5" t="s">
        <v>1048</v>
      </c>
      <c r="B411" s="5" t="s">
        <v>337</v>
      </c>
      <c r="C411" s="5" t="s">
        <v>327</v>
      </c>
      <c r="D411" s="5">
        <v>40</v>
      </c>
      <c r="E411" s="5">
        <v>100</v>
      </c>
      <c r="F411" s="5">
        <v>30</v>
      </c>
      <c r="G411" s="5" t="s">
        <v>405</v>
      </c>
    </row>
    <row r="412" spans="1:7">
      <c r="A412" s="5" t="s">
        <v>1049</v>
      </c>
      <c r="B412" s="5" t="s">
        <v>337</v>
      </c>
      <c r="C412" s="5" t="s">
        <v>327</v>
      </c>
      <c r="D412" s="5">
        <v>120</v>
      </c>
      <c r="E412" s="5">
        <v>70</v>
      </c>
      <c r="F412" s="5">
        <v>5</v>
      </c>
      <c r="G412" s="5" t="s">
        <v>486</v>
      </c>
    </row>
    <row r="413" spans="1:7">
      <c r="A413" s="5" t="s">
        <v>1050</v>
      </c>
      <c r="B413" s="5" t="s">
        <v>82</v>
      </c>
      <c r="C413" s="5" t="s">
        <v>327</v>
      </c>
      <c r="D413" s="5">
        <v>90</v>
      </c>
      <c r="E413" s="5">
        <v>100</v>
      </c>
      <c r="F413" s="5">
        <v>10</v>
      </c>
      <c r="G413" s="5" t="s">
        <v>486</v>
      </c>
    </row>
    <row r="414" spans="1:7">
      <c r="A414" s="5" t="s">
        <v>1051</v>
      </c>
      <c r="B414" s="5" t="s">
        <v>431</v>
      </c>
      <c r="C414" s="5" t="s">
        <v>404</v>
      </c>
      <c r="D414" s="5">
        <v>120</v>
      </c>
      <c r="E414" s="5">
        <v>100</v>
      </c>
      <c r="F414" s="5">
        <v>15</v>
      </c>
      <c r="G414" s="5" t="s">
        <v>464</v>
      </c>
    </row>
    <row r="415" spans="1:7">
      <c r="A415" s="5" t="s">
        <v>1052</v>
      </c>
      <c r="B415" s="5" t="s">
        <v>154</v>
      </c>
      <c r="C415" s="5" t="s">
        <v>327</v>
      </c>
      <c r="D415" s="5">
        <v>90</v>
      </c>
      <c r="E415" s="5">
        <v>100</v>
      </c>
      <c r="F415" s="5">
        <v>10</v>
      </c>
      <c r="G415" s="5" t="s">
        <v>486</v>
      </c>
    </row>
    <row r="416" spans="1:7">
      <c r="A416" s="5" t="s">
        <v>1053</v>
      </c>
      <c r="B416" s="5" t="s">
        <v>62</v>
      </c>
      <c r="C416" s="5" t="s">
        <v>427</v>
      </c>
      <c r="D416" s="5"/>
      <c r="E416" s="5">
        <v>100</v>
      </c>
      <c r="F416" s="5">
        <v>10</v>
      </c>
      <c r="G416" s="5" t="s">
        <v>832</v>
      </c>
    </row>
    <row r="417" spans="1:7">
      <c r="A417" s="5" t="s">
        <v>1054</v>
      </c>
      <c r="B417" s="5" t="s">
        <v>129</v>
      </c>
      <c r="C417" s="5" t="s">
        <v>404</v>
      </c>
      <c r="D417" s="5">
        <v>150</v>
      </c>
      <c r="E417" s="5">
        <v>90</v>
      </c>
      <c r="F417" s="5">
        <v>5</v>
      </c>
      <c r="G417" s="5" t="s">
        <v>504</v>
      </c>
    </row>
    <row r="418" spans="1:7">
      <c r="A418" s="5" t="s">
        <v>1055</v>
      </c>
      <c r="B418" s="5" t="s">
        <v>62</v>
      </c>
      <c r="C418" s="5" t="s">
        <v>427</v>
      </c>
      <c r="D418" s="5"/>
      <c r="E418" s="5"/>
      <c r="F418" s="5">
        <v>20</v>
      </c>
      <c r="G418" s="5" t="s">
        <v>1056</v>
      </c>
    </row>
    <row r="419" spans="1:7">
      <c r="A419" s="5" t="s">
        <v>1057</v>
      </c>
      <c r="B419" s="5" t="s">
        <v>726</v>
      </c>
      <c r="C419" s="5" t="s">
        <v>404</v>
      </c>
      <c r="D419" s="5">
        <v>40</v>
      </c>
      <c r="E419" s="5">
        <v>100</v>
      </c>
      <c r="F419" s="5">
        <v>30</v>
      </c>
      <c r="G419" s="5" t="s">
        <v>405</v>
      </c>
    </row>
    <row r="420" spans="1:7">
      <c r="A420" s="5" t="s">
        <v>1058</v>
      </c>
      <c r="B420" s="5" t="s">
        <v>64</v>
      </c>
      <c r="C420" s="5" t="s">
        <v>404</v>
      </c>
      <c r="D420" s="5">
        <v>60</v>
      </c>
      <c r="E420" s="5">
        <v>100</v>
      </c>
      <c r="F420" s="5">
        <v>10</v>
      </c>
      <c r="G420" s="5" t="s">
        <v>848</v>
      </c>
    </row>
    <row r="421" spans="1:7">
      <c r="A421" s="5" t="s">
        <v>1059</v>
      </c>
      <c r="B421" s="5" t="s">
        <v>64</v>
      </c>
      <c r="C421" s="5" t="s">
        <v>404</v>
      </c>
      <c r="D421" s="5">
        <v>40</v>
      </c>
      <c r="E421" s="5">
        <v>100</v>
      </c>
      <c r="F421" s="5">
        <v>30</v>
      </c>
      <c r="G421" s="5" t="s">
        <v>405</v>
      </c>
    </row>
    <row r="422" spans="1:7">
      <c r="A422" s="5" t="s">
        <v>1060</v>
      </c>
      <c r="B422" s="5" t="s">
        <v>363</v>
      </c>
      <c r="C422" s="5" t="s">
        <v>404</v>
      </c>
      <c r="D422" s="5">
        <v>70</v>
      </c>
      <c r="E422" s="5">
        <v>100</v>
      </c>
      <c r="F422" s="5">
        <v>15</v>
      </c>
      <c r="G422" s="5" t="s">
        <v>407</v>
      </c>
    </row>
    <row r="423" spans="1:7">
      <c r="A423" s="5" t="s">
        <v>1061</v>
      </c>
      <c r="B423" s="5" t="s">
        <v>76</v>
      </c>
      <c r="C423" s="5" t="s">
        <v>404</v>
      </c>
      <c r="D423" s="5">
        <v>65</v>
      </c>
      <c r="E423" s="5">
        <v>95</v>
      </c>
      <c r="F423" s="5">
        <v>15</v>
      </c>
      <c r="G423" s="5" t="s">
        <v>1062</v>
      </c>
    </row>
    <row r="424" spans="1:7">
      <c r="A424" s="5" t="s">
        <v>1063</v>
      </c>
      <c r="B424" s="5" t="s">
        <v>64</v>
      </c>
      <c r="C424" s="5" t="s">
        <v>404</v>
      </c>
      <c r="D424" s="5">
        <v>65</v>
      </c>
      <c r="E424" s="5">
        <v>95</v>
      </c>
      <c r="F424" s="5">
        <v>15</v>
      </c>
      <c r="G424" s="5" t="s">
        <v>1064</v>
      </c>
    </row>
    <row r="425" spans="1:7">
      <c r="A425" s="5" t="s">
        <v>1065</v>
      </c>
      <c r="B425" s="5" t="s">
        <v>59</v>
      </c>
      <c r="C425" s="5" t="s">
        <v>404</v>
      </c>
      <c r="D425" s="5">
        <v>65</v>
      </c>
      <c r="E425" s="5">
        <v>95</v>
      </c>
      <c r="F425" s="5">
        <v>15</v>
      </c>
      <c r="G425" s="5" t="s">
        <v>1066</v>
      </c>
    </row>
    <row r="426" spans="1:7">
      <c r="A426" s="5" t="s">
        <v>1067</v>
      </c>
      <c r="B426" s="5" t="s">
        <v>363</v>
      </c>
      <c r="C426" s="5" t="s">
        <v>404</v>
      </c>
      <c r="D426" s="5">
        <v>40</v>
      </c>
      <c r="E426" s="5">
        <v>100</v>
      </c>
      <c r="F426" s="5">
        <v>30</v>
      </c>
      <c r="G426" s="5" t="s">
        <v>405</v>
      </c>
    </row>
    <row r="427" spans="1:7">
      <c r="A427" s="5" t="s">
        <v>1068</v>
      </c>
      <c r="B427" s="5" t="s">
        <v>154</v>
      </c>
      <c r="C427" s="5" t="s">
        <v>327</v>
      </c>
      <c r="D427" s="5">
        <v>65</v>
      </c>
      <c r="E427" s="5">
        <v>85</v>
      </c>
      <c r="F427" s="5">
        <v>10</v>
      </c>
      <c r="G427" s="5" t="s">
        <v>692</v>
      </c>
    </row>
    <row r="428" spans="1:7">
      <c r="A428" s="5" t="s">
        <v>1069</v>
      </c>
      <c r="B428" s="5" t="s">
        <v>32</v>
      </c>
      <c r="C428" s="5" t="s">
        <v>404</v>
      </c>
      <c r="D428" s="5">
        <v>70</v>
      </c>
      <c r="E428" s="5">
        <v>100</v>
      </c>
      <c r="F428" s="5">
        <v>20</v>
      </c>
      <c r="G428" s="5" t="s">
        <v>407</v>
      </c>
    </row>
    <row r="429" spans="1:7">
      <c r="A429" s="5" t="s">
        <v>1070</v>
      </c>
      <c r="B429" s="5" t="s">
        <v>32</v>
      </c>
      <c r="C429" s="5" t="s">
        <v>404</v>
      </c>
      <c r="D429" s="5">
        <v>80</v>
      </c>
      <c r="E429" s="5">
        <v>90</v>
      </c>
      <c r="F429" s="5">
        <v>15</v>
      </c>
      <c r="G429" s="5" t="s">
        <v>443</v>
      </c>
    </row>
    <row r="430" spans="1:7">
      <c r="A430" s="5" t="s">
        <v>1071</v>
      </c>
      <c r="B430" s="5" t="s">
        <v>726</v>
      </c>
      <c r="C430" s="5" t="s">
        <v>327</v>
      </c>
      <c r="D430" s="5">
        <v>65</v>
      </c>
      <c r="E430" s="5">
        <v>85</v>
      </c>
      <c r="F430" s="5">
        <v>10</v>
      </c>
      <c r="G430" s="5" t="s">
        <v>692</v>
      </c>
    </row>
    <row r="431" spans="1:7">
      <c r="A431" s="5" t="s">
        <v>1072</v>
      </c>
      <c r="B431" s="5" t="s">
        <v>726</v>
      </c>
      <c r="C431" s="5" t="s">
        <v>327</v>
      </c>
      <c r="D431" s="5">
        <v>80</v>
      </c>
      <c r="E431" s="5">
        <v>100</v>
      </c>
      <c r="F431" s="5">
        <v>10</v>
      </c>
      <c r="G431" s="5" t="s">
        <v>486</v>
      </c>
    </row>
    <row r="432" spans="1:7">
      <c r="A432" s="5" t="s">
        <v>1073</v>
      </c>
      <c r="B432" s="5" t="s">
        <v>129</v>
      </c>
      <c r="C432" s="5" t="s">
        <v>404</v>
      </c>
      <c r="D432" s="5">
        <v>90</v>
      </c>
      <c r="E432" s="5">
        <v>85</v>
      </c>
      <c r="F432" s="5">
        <v>20</v>
      </c>
      <c r="G432" s="5" t="s">
        <v>498</v>
      </c>
    </row>
    <row r="433" spans="1:7">
      <c r="A433" s="5" t="s">
        <v>1074</v>
      </c>
      <c r="B433" s="5" t="s">
        <v>431</v>
      </c>
      <c r="C433" s="5" t="s">
        <v>427</v>
      </c>
      <c r="D433" s="5"/>
      <c r="E433" s="5"/>
      <c r="F433" s="5">
        <v>15</v>
      </c>
      <c r="G433" s="5" t="s">
        <v>1075</v>
      </c>
    </row>
    <row r="434" spans="1:7">
      <c r="A434" s="5" t="s">
        <v>1076</v>
      </c>
      <c r="B434" s="5" t="s">
        <v>32</v>
      </c>
      <c r="C434" s="5" t="s">
        <v>427</v>
      </c>
      <c r="D434" s="5"/>
      <c r="E434" s="5"/>
      <c r="F434" s="5">
        <v>5</v>
      </c>
      <c r="G434" s="5" t="s">
        <v>1077</v>
      </c>
    </row>
    <row r="435" spans="1:7">
      <c r="A435" s="5" t="s">
        <v>1078</v>
      </c>
      <c r="B435" s="5" t="s">
        <v>336</v>
      </c>
      <c r="C435" s="5" t="s">
        <v>327</v>
      </c>
      <c r="D435" s="5">
        <v>130</v>
      </c>
      <c r="E435" s="5">
        <v>90</v>
      </c>
      <c r="F435" s="5">
        <v>5</v>
      </c>
      <c r="G435" s="5" t="s">
        <v>905</v>
      </c>
    </row>
    <row r="436" spans="1:7">
      <c r="A436" s="5" t="s">
        <v>1079</v>
      </c>
      <c r="B436" s="5" t="s">
        <v>76</v>
      </c>
      <c r="C436" s="5" t="s">
        <v>327</v>
      </c>
      <c r="D436" s="5">
        <v>80</v>
      </c>
      <c r="E436" s="5">
        <v>100</v>
      </c>
      <c r="F436" s="5">
        <v>15</v>
      </c>
      <c r="G436" s="5" t="s">
        <v>419</v>
      </c>
    </row>
    <row r="437" spans="1:7">
      <c r="A437" s="5" t="s">
        <v>1080</v>
      </c>
      <c r="B437" s="5" t="s">
        <v>59</v>
      </c>
      <c r="C437" s="5" t="s">
        <v>327</v>
      </c>
      <c r="D437" s="5">
        <v>80</v>
      </c>
      <c r="E437" s="5">
        <v>100</v>
      </c>
      <c r="F437" s="5">
        <v>15</v>
      </c>
      <c r="G437" s="5" t="s">
        <v>415</v>
      </c>
    </row>
    <row r="438" spans="1:7">
      <c r="A438" s="5" t="s">
        <v>1081</v>
      </c>
      <c r="B438" s="5" t="s">
        <v>82</v>
      </c>
      <c r="C438" s="5" t="s">
        <v>327</v>
      </c>
      <c r="D438" s="5">
        <v>130</v>
      </c>
      <c r="E438" s="5">
        <v>90</v>
      </c>
      <c r="F438" s="5">
        <v>5</v>
      </c>
      <c r="G438" s="5" t="s">
        <v>905</v>
      </c>
    </row>
    <row r="439" spans="1:7">
      <c r="A439" s="5" t="s">
        <v>1082</v>
      </c>
      <c r="B439" s="5" t="s">
        <v>82</v>
      </c>
      <c r="C439" s="5" t="s">
        <v>404</v>
      </c>
      <c r="D439" s="5">
        <v>120</v>
      </c>
      <c r="E439" s="5">
        <v>85</v>
      </c>
      <c r="F439" s="5">
        <v>10</v>
      </c>
      <c r="G439" s="5" t="s">
        <v>405</v>
      </c>
    </row>
    <row r="440" spans="1:7">
      <c r="A440" s="5" t="s">
        <v>1083</v>
      </c>
      <c r="B440" s="5" t="s">
        <v>540</v>
      </c>
      <c r="C440" s="5" t="s">
        <v>404</v>
      </c>
      <c r="D440" s="5">
        <v>150</v>
      </c>
      <c r="E440" s="5">
        <v>90</v>
      </c>
      <c r="F440" s="5">
        <v>5</v>
      </c>
      <c r="G440" s="5" t="s">
        <v>504</v>
      </c>
    </row>
    <row r="441" spans="1:7">
      <c r="A441" s="5" t="s">
        <v>1084</v>
      </c>
      <c r="B441" s="5" t="s">
        <v>341</v>
      </c>
      <c r="C441" s="5" t="s">
        <v>404</v>
      </c>
      <c r="D441" s="5">
        <v>70</v>
      </c>
      <c r="E441" s="5">
        <v>100</v>
      </c>
      <c r="F441" s="5">
        <v>20</v>
      </c>
      <c r="G441" s="5" t="s">
        <v>938</v>
      </c>
    </row>
    <row r="442" spans="1:7">
      <c r="A442" s="5" t="s">
        <v>1085</v>
      </c>
      <c r="B442" s="5" t="s">
        <v>341</v>
      </c>
      <c r="C442" s="5" t="s">
        <v>404</v>
      </c>
      <c r="D442" s="5">
        <v>120</v>
      </c>
      <c r="E442" s="5">
        <v>80</v>
      </c>
      <c r="F442" s="5">
        <v>5</v>
      </c>
      <c r="G442" s="5" t="s">
        <v>468</v>
      </c>
    </row>
    <row r="443" spans="1:7">
      <c r="A443" s="5" t="s">
        <v>1086</v>
      </c>
      <c r="B443" s="5" t="s">
        <v>726</v>
      </c>
      <c r="C443" s="5" t="s">
        <v>404</v>
      </c>
      <c r="D443" s="5">
        <v>80</v>
      </c>
      <c r="E443" s="5">
        <v>100</v>
      </c>
      <c r="F443" s="5">
        <v>15</v>
      </c>
      <c r="G443" s="5" t="s">
        <v>443</v>
      </c>
    </row>
    <row r="444" spans="1:7">
      <c r="A444" s="5" t="s">
        <v>1087</v>
      </c>
      <c r="B444" s="5" t="s">
        <v>726</v>
      </c>
      <c r="C444" s="5" t="s">
        <v>404</v>
      </c>
      <c r="D444" s="5">
        <v>60</v>
      </c>
      <c r="E444" s="5"/>
      <c r="F444" s="5">
        <v>20</v>
      </c>
      <c r="G444" s="5" t="s">
        <v>604</v>
      </c>
    </row>
    <row r="445" spans="1:7">
      <c r="A445" s="5" t="s">
        <v>1088</v>
      </c>
      <c r="B445" s="5" t="s">
        <v>540</v>
      </c>
      <c r="C445" s="5" t="s">
        <v>404</v>
      </c>
      <c r="D445" s="5">
        <v>100</v>
      </c>
      <c r="E445" s="5">
        <v>80</v>
      </c>
      <c r="F445" s="5">
        <v>5</v>
      </c>
      <c r="G445" s="5" t="s">
        <v>407</v>
      </c>
    </row>
    <row r="446" spans="1:7">
      <c r="A446" s="5" t="s">
        <v>1089</v>
      </c>
      <c r="B446" s="5" t="s">
        <v>129</v>
      </c>
      <c r="C446" s="5" t="s">
        <v>427</v>
      </c>
      <c r="D446" s="5"/>
      <c r="E446" s="5">
        <v>100</v>
      </c>
      <c r="F446" s="5">
        <v>20</v>
      </c>
      <c r="G446" s="5" t="s">
        <v>1090</v>
      </c>
    </row>
    <row r="447" spans="1:7">
      <c r="A447" s="5" t="s">
        <v>1091</v>
      </c>
      <c r="B447" s="5" t="s">
        <v>540</v>
      </c>
      <c r="C447" s="5" t="s">
        <v>427</v>
      </c>
      <c r="D447" s="5"/>
      <c r="E447" s="5"/>
      <c r="F447" s="5">
        <v>20</v>
      </c>
      <c r="G447" s="5" t="s">
        <v>1092</v>
      </c>
    </row>
    <row r="448" spans="1:7">
      <c r="A448" s="5" t="s">
        <v>1093</v>
      </c>
      <c r="B448" s="5" t="s">
        <v>82</v>
      </c>
      <c r="C448" s="5" t="s">
        <v>327</v>
      </c>
      <c r="D448" s="5"/>
      <c r="E448" s="5">
        <v>100</v>
      </c>
      <c r="F448" s="5">
        <v>20</v>
      </c>
      <c r="G448" s="5" t="s">
        <v>509</v>
      </c>
    </row>
    <row r="449" spans="1:7">
      <c r="A449" s="5" t="s">
        <v>1094</v>
      </c>
      <c r="B449" s="5" t="s">
        <v>431</v>
      </c>
      <c r="C449" s="5" t="s">
        <v>327</v>
      </c>
      <c r="D449" s="5">
        <v>65</v>
      </c>
      <c r="E449" s="5">
        <v>100</v>
      </c>
      <c r="F449" s="5">
        <v>20</v>
      </c>
      <c r="G449" s="5" t="s">
        <v>1095</v>
      </c>
    </row>
    <row r="450" spans="1:7">
      <c r="A450" s="5" t="s">
        <v>1096</v>
      </c>
      <c r="B450" s="5" t="s">
        <v>129</v>
      </c>
      <c r="C450" s="5" t="s">
        <v>327</v>
      </c>
      <c r="D450" s="5">
        <v>100</v>
      </c>
      <c r="E450" s="5">
        <v>100</v>
      </c>
      <c r="F450" s="5">
        <v>10</v>
      </c>
      <c r="G450" s="5" t="s">
        <v>1097</v>
      </c>
    </row>
    <row r="451" spans="1:7">
      <c r="A451" s="5" t="s">
        <v>1098</v>
      </c>
      <c r="B451" s="5" t="s">
        <v>164</v>
      </c>
      <c r="C451" s="5" t="s">
        <v>404</v>
      </c>
      <c r="D451" s="5">
        <v>60</v>
      </c>
      <c r="E451" s="5">
        <v>100</v>
      </c>
      <c r="F451" s="5">
        <v>20</v>
      </c>
      <c r="G451" s="5" t="s">
        <v>975</v>
      </c>
    </row>
    <row r="452" spans="1:7">
      <c r="A452" s="5" t="s">
        <v>1099</v>
      </c>
      <c r="B452" s="5" t="s">
        <v>76</v>
      </c>
      <c r="C452" s="5" t="s">
        <v>327</v>
      </c>
      <c r="D452" s="5">
        <v>50</v>
      </c>
      <c r="E452" s="5">
        <v>90</v>
      </c>
      <c r="F452" s="5">
        <v>10</v>
      </c>
      <c r="G452" s="5" t="s">
        <v>1100</v>
      </c>
    </row>
    <row r="453" spans="1:7">
      <c r="A453" s="5" t="s">
        <v>1101</v>
      </c>
      <c r="B453" s="5" t="s">
        <v>82</v>
      </c>
      <c r="C453" s="5" t="s">
        <v>404</v>
      </c>
      <c r="D453" s="5">
        <v>120</v>
      </c>
      <c r="E453" s="5">
        <v>100</v>
      </c>
      <c r="F453" s="5">
        <v>15</v>
      </c>
      <c r="G453" s="5" t="s">
        <v>464</v>
      </c>
    </row>
    <row r="454" spans="1:7">
      <c r="A454" s="5" t="s">
        <v>1102</v>
      </c>
      <c r="B454" s="5" t="s">
        <v>54</v>
      </c>
      <c r="C454" s="5" t="s">
        <v>404</v>
      </c>
      <c r="D454" s="5">
        <v>40</v>
      </c>
      <c r="E454" s="5">
        <v>100</v>
      </c>
      <c r="F454" s="5">
        <v>20</v>
      </c>
      <c r="G454" s="5" t="s">
        <v>405</v>
      </c>
    </row>
    <row r="455" spans="1:7">
      <c r="A455" s="5" t="s">
        <v>1103</v>
      </c>
      <c r="B455" s="5" t="s">
        <v>164</v>
      </c>
      <c r="C455" s="5" t="s">
        <v>404</v>
      </c>
      <c r="D455" s="5">
        <v>90</v>
      </c>
      <c r="E455" s="5">
        <v>100</v>
      </c>
      <c r="F455" s="5">
        <v>15</v>
      </c>
      <c r="G455" s="5" t="s">
        <v>407</v>
      </c>
    </row>
    <row r="456" spans="1:7">
      <c r="A456" s="5" t="s">
        <v>1104</v>
      </c>
      <c r="B456" s="5" t="s">
        <v>164</v>
      </c>
      <c r="C456" s="5" t="s">
        <v>427</v>
      </c>
      <c r="D456" s="5"/>
      <c r="E456" s="5"/>
      <c r="F456" s="5">
        <v>10</v>
      </c>
      <c r="G456" s="5" t="s">
        <v>914</v>
      </c>
    </row>
    <row r="457" spans="1:7">
      <c r="A457" s="5" t="s">
        <v>1105</v>
      </c>
      <c r="B457" s="5" t="s">
        <v>164</v>
      </c>
      <c r="C457" s="5" t="s">
        <v>427</v>
      </c>
      <c r="D457" s="5"/>
      <c r="E457" s="5"/>
      <c r="F457" s="5">
        <v>10</v>
      </c>
      <c r="G457" s="5" t="s">
        <v>567</v>
      </c>
    </row>
    <row r="458" spans="1:7">
      <c r="A458" s="5" t="s">
        <v>1106</v>
      </c>
      <c r="B458" s="5" t="s">
        <v>540</v>
      </c>
      <c r="C458" s="5" t="s">
        <v>404</v>
      </c>
      <c r="D458" s="5">
        <v>150</v>
      </c>
      <c r="E458" s="5">
        <v>80</v>
      </c>
      <c r="F458" s="5">
        <v>5</v>
      </c>
      <c r="G458" s="5" t="s">
        <v>1107</v>
      </c>
    </row>
    <row r="459" spans="1:7">
      <c r="A459" s="5" t="s">
        <v>1108</v>
      </c>
      <c r="B459" s="5" t="s">
        <v>129</v>
      </c>
      <c r="C459" s="5" t="s">
        <v>404</v>
      </c>
      <c r="D459" s="5">
        <v>35</v>
      </c>
      <c r="E459" s="5">
        <v>90</v>
      </c>
      <c r="F459" s="5">
        <v>10</v>
      </c>
      <c r="G459" s="5" t="s">
        <v>445</v>
      </c>
    </row>
    <row r="460" spans="1:7">
      <c r="A460" s="5" t="s">
        <v>1109</v>
      </c>
      <c r="B460" s="5" t="s">
        <v>336</v>
      </c>
      <c r="C460" s="5" t="s">
        <v>327</v>
      </c>
      <c r="D460" s="5">
        <v>150</v>
      </c>
      <c r="E460" s="5">
        <v>90</v>
      </c>
      <c r="F460" s="5">
        <v>5</v>
      </c>
      <c r="G460" s="5" t="s">
        <v>504</v>
      </c>
    </row>
    <row r="461" spans="1:7">
      <c r="A461" s="5" t="s">
        <v>1110</v>
      </c>
      <c r="B461" s="5" t="s">
        <v>336</v>
      </c>
      <c r="C461" s="5" t="s">
        <v>327</v>
      </c>
      <c r="D461" s="5">
        <v>100</v>
      </c>
      <c r="E461" s="5">
        <v>95</v>
      </c>
      <c r="F461" s="5">
        <v>5</v>
      </c>
      <c r="G461" s="5" t="s">
        <v>407</v>
      </c>
    </row>
    <row r="462" spans="1:7">
      <c r="A462" s="5" t="s">
        <v>1111</v>
      </c>
      <c r="B462" s="5" t="s">
        <v>32</v>
      </c>
      <c r="C462" s="5" t="s">
        <v>427</v>
      </c>
      <c r="D462" s="5"/>
      <c r="E462" s="5"/>
      <c r="F462" s="5">
        <v>10</v>
      </c>
      <c r="G462" s="5" t="s">
        <v>1112</v>
      </c>
    </row>
    <row r="463" spans="1:7">
      <c r="A463" s="5" t="s">
        <v>1113</v>
      </c>
      <c r="B463" s="5" t="s">
        <v>129</v>
      </c>
      <c r="C463" s="5" t="s">
        <v>404</v>
      </c>
      <c r="D463" s="5"/>
      <c r="E463" s="5">
        <v>100</v>
      </c>
      <c r="F463" s="5">
        <v>5</v>
      </c>
      <c r="G463" s="5" t="s">
        <v>1001</v>
      </c>
    </row>
    <row r="464" spans="1:7">
      <c r="A464" s="5" t="s">
        <v>1114</v>
      </c>
      <c r="B464" s="5" t="s">
        <v>59</v>
      </c>
      <c r="C464" s="5" t="s">
        <v>327</v>
      </c>
      <c r="D464" s="5">
        <v>100</v>
      </c>
      <c r="E464" s="5">
        <v>75</v>
      </c>
      <c r="F464" s="5">
        <v>5</v>
      </c>
      <c r="G464" s="5" t="s">
        <v>439</v>
      </c>
    </row>
    <row r="465" spans="1:7">
      <c r="A465" s="5" t="s">
        <v>1115</v>
      </c>
      <c r="B465" s="5" t="s">
        <v>62</v>
      </c>
      <c r="C465" s="5" t="s">
        <v>427</v>
      </c>
      <c r="D465" s="5"/>
      <c r="E465" s="5">
        <v>50</v>
      </c>
      <c r="F465" s="5">
        <v>10</v>
      </c>
      <c r="G465" s="5" t="s">
        <v>478</v>
      </c>
    </row>
    <row r="466" spans="1:7">
      <c r="A466" s="5" t="s">
        <v>1116</v>
      </c>
      <c r="B466" s="5" t="s">
        <v>82</v>
      </c>
      <c r="C466" s="5" t="s">
        <v>327</v>
      </c>
      <c r="D466" s="5">
        <v>120</v>
      </c>
      <c r="E466" s="5">
        <v>85</v>
      </c>
      <c r="F466" s="5">
        <v>5</v>
      </c>
      <c r="G466" s="5" t="s">
        <v>1117</v>
      </c>
    </row>
    <row r="467" spans="1:7">
      <c r="A467" s="5" t="s">
        <v>1118</v>
      </c>
      <c r="B467" s="5" t="s">
        <v>363</v>
      </c>
      <c r="C467" s="5" t="s">
        <v>327</v>
      </c>
      <c r="D467" s="5">
        <v>60</v>
      </c>
      <c r="E467" s="5">
        <v>100</v>
      </c>
      <c r="F467" s="5">
        <v>5</v>
      </c>
      <c r="G467" s="5" t="s">
        <v>785</v>
      </c>
    </row>
    <row r="468" spans="1:7">
      <c r="A468" s="5" t="s">
        <v>1119</v>
      </c>
      <c r="B468" s="5" t="s">
        <v>363</v>
      </c>
      <c r="C468" s="5" t="s">
        <v>404</v>
      </c>
      <c r="D468" s="5">
        <v>120</v>
      </c>
      <c r="E468" s="5">
        <v>100</v>
      </c>
      <c r="F468" s="5">
        <v>5</v>
      </c>
      <c r="G468" s="5" t="s">
        <v>1120</v>
      </c>
    </row>
    <row r="469" spans="1:7">
      <c r="A469" s="5" t="s">
        <v>1121</v>
      </c>
      <c r="B469" s="5" t="s">
        <v>62</v>
      </c>
      <c r="C469" s="5" t="s">
        <v>427</v>
      </c>
      <c r="D469" s="5"/>
      <c r="E469" s="5"/>
      <c r="F469" s="5">
        <v>15</v>
      </c>
      <c r="G469" s="5" t="s">
        <v>1122</v>
      </c>
    </row>
    <row r="470" spans="1:7">
      <c r="A470" s="5" t="s">
        <v>1123</v>
      </c>
      <c r="B470" s="5" t="s">
        <v>540</v>
      </c>
      <c r="C470" s="5" t="s">
        <v>427</v>
      </c>
      <c r="D470" s="5"/>
      <c r="E470" s="5"/>
      <c r="F470" s="5">
        <v>10</v>
      </c>
      <c r="G470" s="5" t="s">
        <v>1124</v>
      </c>
    </row>
    <row r="471" spans="1:7">
      <c r="A471" s="5" t="s">
        <v>1125</v>
      </c>
      <c r="B471" s="5" t="s">
        <v>32</v>
      </c>
      <c r="C471" s="5" t="s">
        <v>427</v>
      </c>
      <c r="D471" s="5"/>
      <c r="E471" s="5"/>
      <c r="F471" s="5">
        <v>10</v>
      </c>
      <c r="G471" s="5" t="s">
        <v>1126</v>
      </c>
    </row>
    <row r="472" spans="1:7">
      <c r="A472" s="5" t="s">
        <v>1127</v>
      </c>
      <c r="B472" s="5" t="s">
        <v>32</v>
      </c>
      <c r="C472" s="5" t="s">
        <v>427</v>
      </c>
      <c r="D472" s="5"/>
      <c r="E472" s="5"/>
      <c r="F472" s="5">
        <v>10</v>
      </c>
      <c r="G472" s="5" t="s">
        <v>1128</v>
      </c>
    </row>
    <row r="473" spans="1:7">
      <c r="A473" s="5" t="s">
        <v>1129</v>
      </c>
      <c r="B473" s="5" t="s">
        <v>32</v>
      </c>
      <c r="C473" s="5" t="s">
        <v>427</v>
      </c>
      <c r="D473" s="5"/>
      <c r="E473" s="5"/>
      <c r="F473" s="5">
        <v>10</v>
      </c>
      <c r="G473" s="5" t="s">
        <v>1130</v>
      </c>
    </row>
    <row r="474" spans="1:7">
      <c r="A474" s="5" t="s">
        <v>1131</v>
      </c>
      <c r="B474" s="5" t="s">
        <v>32</v>
      </c>
      <c r="C474" s="5" t="s">
        <v>327</v>
      </c>
      <c r="D474" s="5">
        <v>80</v>
      </c>
      <c r="E474" s="5">
        <v>100</v>
      </c>
      <c r="F474" s="5">
        <v>10</v>
      </c>
      <c r="G474" s="5" t="s">
        <v>1132</v>
      </c>
    </row>
    <row r="475" spans="1:7">
      <c r="A475" s="5" t="s">
        <v>1133</v>
      </c>
      <c r="B475" s="5" t="s">
        <v>341</v>
      </c>
      <c r="C475" s="5" t="s">
        <v>327</v>
      </c>
      <c r="D475" s="5">
        <v>65</v>
      </c>
      <c r="E475" s="5">
        <v>100</v>
      </c>
      <c r="F475" s="5">
        <v>10</v>
      </c>
      <c r="G475" s="5" t="s">
        <v>1134</v>
      </c>
    </row>
    <row r="476" spans="1:7">
      <c r="A476" s="5" t="s">
        <v>1135</v>
      </c>
      <c r="B476" s="5" t="s">
        <v>726</v>
      </c>
      <c r="C476" s="5" t="s">
        <v>427</v>
      </c>
      <c r="D476" s="5"/>
      <c r="E476" s="5"/>
      <c r="F476" s="5">
        <v>15</v>
      </c>
      <c r="G476" s="5" t="s">
        <v>1136</v>
      </c>
    </row>
    <row r="477" spans="1:7">
      <c r="A477" s="5" t="s">
        <v>1137</v>
      </c>
      <c r="B477" s="5" t="s">
        <v>164</v>
      </c>
      <c r="C477" s="5" t="s">
        <v>427</v>
      </c>
      <c r="D477" s="5"/>
      <c r="E477" s="5"/>
      <c r="F477" s="5">
        <v>20</v>
      </c>
      <c r="G477" s="5" t="s">
        <v>822</v>
      </c>
    </row>
    <row r="478" spans="1:7">
      <c r="A478" s="5" t="s">
        <v>1138</v>
      </c>
      <c r="B478" s="5" t="s">
        <v>32</v>
      </c>
      <c r="C478" s="5" t="s">
        <v>427</v>
      </c>
      <c r="D478" s="5"/>
      <c r="E478" s="5"/>
      <c r="F478" s="5">
        <v>15</v>
      </c>
      <c r="G478" s="5" t="s">
        <v>1139</v>
      </c>
    </row>
    <row r="479" spans="1:7">
      <c r="A479" s="5" t="s">
        <v>1140</v>
      </c>
      <c r="B479" s="5" t="s">
        <v>32</v>
      </c>
      <c r="C479" s="5" t="s">
        <v>427</v>
      </c>
      <c r="D479" s="5"/>
      <c r="E479" s="5"/>
      <c r="F479" s="5">
        <v>10</v>
      </c>
      <c r="G479" s="5" t="s">
        <v>1141</v>
      </c>
    </row>
    <row r="480" spans="1:7">
      <c r="A480" s="5" t="s">
        <v>1142</v>
      </c>
      <c r="B480" s="5" t="s">
        <v>540</v>
      </c>
      <c r="C480" s="5" t="s">
        <v>404</v>
      </c>
      <c r="D480" s="5">
        <v>50</v>
      </c>
      <c r="E480" s="5">
        <v>100</v>
      </c>
      <c r="F480" s="5">
        <v>15</v>
      </c>
      <c r="G480" s="5" t="s">
        <v>1143</v>
      </c>
    </row>
    <row r="481" spans="1:7">
      <c r="A481" s="5" t="s">
        <v>1144</v>
      </c>
      <c r="B481" s="5" t="s">
        <v>337</v>
      </c>
      <c r="C481" s="5" t="s">
        <v>404</v>
      </c>
      <c r="D481" s="5">
        <v>60</v>
      </c>
      <c r="E481" s="5">
        <v>100</v>
      </c>
      <c r="F481" s="5">
        <v>10</v>
      </c>
      <c r="G481" s="5" t="s">
        <v>1145</v>
      </c>
    </row>
    <row r="482" spans="1:7">
      <c r="A482" s="5" t="s">
        <v>1146</v>
      </c>
      <c r="B482" s="5" t="s">
        <v>59</v>
      </c>
      <c r="C482" s="5" t="s">
        <v>327</v>
      </c>
      <c r="D482" s="5">
        <v>70</v>
      </c>
      <c r="E482" s="5">
        <v>100</v>
      </c>
      <c r="F482" s="5">
        <v>15</v>
      </c>
      <c r="G482" s="5" t="s">
        <v>1147</v>
      </c>
    </row>
    <row r="483" spans="1:7">
      <c r="A483" s="5" t="s">
        <v>1148</v>
      </c>
      <c r="B483" s="5" t="s">
        <v>341</v>
      </c>
      <c r="C483" s="5" t="s">
        <v>327</v>
      </c>
      <c r="D483" s="5">
        <v>95</v>
      </c>
      <c r="E483" s="5">
        <v>100</v>
      </c>
      <c r="F483" s="5">
        <v>10</v>
      </c>
      <c r="G483" s="5" t="s">
        <v>468</v>
      </c>
    </row>
    <row r="484" spans="1:7">
      <c r="A484" s="5" t="s">
        <v>1149</v>
      </c>
      <c r="B484" s="5" t="s">
        <v>164</v>
      </c>
      <c r="C484" s="5" t="s">
        <v>427</v>
      </c>
      <c r="D484" s="5"/>
      <c r="E484" s="5"/>
      <c r="F484" s="5">
        <v>20</v>
      </c>
      <c r="G484" s="5" t="s">
        <v>1150</v>
      </c>
    </row>
    <row r="485" spans="1:7">
      <c r="A485" s="5" t="s">
        <v>1151</v>
      </c>
      <c r="B485" s="5" t="s">
        <v>726</v>
      </c>
      <c r="C485" s="5" t="s">
        <v>404</v>
      </c>
      <c r="D485" s="5"/>
      <c r="E485" s="5">
        <v>100</v>
      </c>
      <c r="F485" s="5">
        <v>10</v>
      </c>
      <c r="G485" s="5" t="s">
        <v>1152</v>
      </c>
    </row>
    <row r="486" spans="1:7">
      <c r="A486" s="5" t="s">
        <v>1153</v>
      </c>
      <c r="B486" s="5" t="s">
        <v>32</v>
      </c>
      <c r="C486" s="5" t="s">
        <v>327</v>
      </c>
      <c r="D486" s="5">
        <v>120</v>
      </c>
      <c r="E486" s="5">
        <v>100</v>
      </c>
      <c r="F486" s="5">
        <v>10</v>
      </c>
      <c r="G486" s="5" t="s">
        <v>1154</v>
      </c>
    </row>
    <row r="487" spans="1:7">
      <c r="A487" s="5" t="s">
        <v>1155</v>
      </c>
      <c r="B487" s="5" t="s">
        <v>76</v>
      </c>
      <c r="C487" s="5" t="s">
        <v>327</v>
      </c>
      <c r="D487" s="5"/>
      <c r="E487" s="5">
        <v>100</v>
      </c>
      <c r="F487" s="5">
        <v>10</v>
      </c>
      <c r="G487" s="5" t="s">
        <v>1156</v>
      </c>
    </row>
    <row r="488" spans="1:7">
      <c r="A488" s="5" t="s">
        <v>1157</v>
      </c>
      <c r="B488" s="5" t="s">
        <v>54</v>
      </c>
      <c r="C488" s="5" t="s">
        <v>427</v>
      </c>
      <c r="D488" s="5"/>
      <c r="E488" s="5">
        <v>100</v>
      </c>
      <c r="F488" s="5">
        <v>20</v>
      </c>
      <c r="G488" s="5" t="s">
        <v>1158</v>
      </c>
    </row>
    <row r="489" spans="1:7">
      <c r="A489" s="5" t="s">
        <v>1159</v>
      </c>
      <c r="B489" s="5" t="s">
        <v>59</v>
      </c>
      <c r="C489" s="5" t="s">
        <v>404</v>
      </c>
      <c r="D489" s="5">
        <v>50</v>
      </c>
      <c r="E489" s="5">
        <v>100</v>
      </c>
      <c r="F489" s="5">
        <v>20</v>
      </c>
      <c r="G489" s="5" t="s">
        <v>1160</v>
      </c>
    </row>
    <row r="490" spans="1:7">
      <c r="A490" s="5" t="s">
        <v>1161</v>
      </c>
      <c r="B490" s="5" t="s">
        <v>341</v>
      </c>
      <c r="C490" s="5" t="s">
        <v>427</v>
      </c>
      <c r="D490" s="5"/>
      <c r="E490" s="5"/>
      <c r="F490" s="5">
        <v>20</v>
      </c>
      <c r="G490" s="5" t="s">
        <v>1162</v>
      </c>
    </row>
    <row r="491" spans="1:7">
      <c r="A491" s="5" t="s">
        <v>1163</v>
      </c>
      <c r="B491" s="5" t="s">
        <v>337</v>
      </c>
      <c r="C491" s="5" t="s">
        <v>404</v>
      </c>
      <c r="D491" s="5">
        <v>65</v>
      </c>
      <c r="E491" s="5">
        <v>100</v>
      </c>
      <c r="F491" s="5">
        <v>20</v>
      </c>
      <c r="G491" s="5" t="s">
        <v>1164</v>
      </c>
    </row>
    <row r="492" spans="1:7">
      <c r="A492" s="5" t="s">
        <v>1165</v>
      </c>
      <c r="B492" s="5" t="s">
        <v>341</v>
      </c>
      <c r="C492" s="5" t="s">
        <v>327</v>
      </c>
      <c r="D492" s="5">
        <v>40</v>
      </c>
      <c r="E492" s="5">
        <v>100</v>
      </c>
      <c r="F492" s="5">
        <v>20</v>
      </c>
      <c r="G492" s="5" t="s">
        <v>902</v>
      </c>
    </row>
    <row r="493" spans="1:7">
      <c r="A493" s="5" t="s">
        <v>1166</v>
      </c>
      <c r="B493" s="5" t="s">
        <v>62</v>
      </c>
      <c r="C493" s="5" t="s">
        <v>404</v>
      </c>
      <c r="D493" s="5">
        <v>95</v>
      </c>
      <c r="E493" s="5">
        <v>100</v>
      </c>
      <c r="F493" s="5">
        <v>15</v>
      </c>
      <c r="G493" s="5" t="s">
        <v>1167</v>
      </c>
    </row>
    <row r="494" spans="1:7">
      <c r="A494" s="5" t="s">
        <v>1168</v>
      </c>
      <c r="B494" s="5" t="s">
        <v>129</v>
      </c>
      <c r="C494" s="5" t="s">
        <v>427</v>
      </c>
      <c r="D494" s="5"/>
      <c r="E494" s="5">
        <v>100</v>
      </c>
      <c r="F494" s="5">
        <v>15</v>
      </c>
      <c r="G494" s="5" t="s">
        <v>1169</v>
      </c>
    </row>
    <row r="495" spans="1:7">
      <c r="A495" s="5" t="s">
        <v>1170</v>
      </c>
      <c r="B495" s="5" t="s">
        <v>129</v>
      </c>
      <c r="C495" s="5" t="s">
        <v>427</v>
      </c>
      <c r="D495" s="5"/>
      <c r="E495" s="5">
        <v>100</v>
      </c>
      <c r="F495" s="5">
        <v>15</v>
      </c>
      <c r="G495" s="5" t="s">
        <v>1171</v>
      </c>
    </row>
    <row r="496" spans="1:7">
      <c r="A496" s="5" t="s">
        <v>1172</v>
      </c>
      <c r="B496" s="5" t="s">
        <v>129</v>
      </c>
      <c r="C496" s="5" t="s">
        <v>427</v>
      </c>
      <c r="D496" s="5"/>
      <c r="E496" s="5"/>
      <c r="F496" s="5">
        <v>15</v>
      </c>
      <c r="G496" s="5" t="s">
        <v>1173</v>
      </c>
    </row>
    <row r="497" spans="1:7">
      <c r="A497" s="5" t="s">
        <v>1174</v>
      </c>
      <c r="B497" s="5" t="s">
        <v>129</v>
      </c>
      <c r="C497" s="5" t="s">
        <v>327</v>
      </c>
      <c r="D497" s="5">
        <v>60</v>
      </c>
      <c r="E497" s="5">
        <v>100</v>
      </c>
      <c r="F497" s="5">
        <v>15</v>
      </c>
      <c r="G497" s="5" t="s">
        <v>1175</v>
      </c>
    </row>
    <row r="498" spans="1:7">
      <c r="A498" s="5" t="s">
        <v>1176</v>
      </c>
      <c r="B498" s="5" t="s">
        <v>129</v>
      </c>
      <c r="C498" s="5" t="s">
        <v>327</v>
      </c>
      <c r="D498" s="5">
        <v>40</v>
      </c>
      <c r="E498" s="5">
        <v>100</v>
      </c>
      <c r="F498" s="5">
        <v>15</v>
      </c>
      <c r="G498" s="5" t="s">
        <v>1177</v>
      </c>
    </row>
    <row r="499" spans="1:7">
      <c r="A499" s="5" t="s">
        <v>1178</v>
      </c>
      <c r="B499" s="5" t="s">
        <v>129</v>
      </c>
      <c r="C499" s="5" t="s">
        <v>404</v>
      </c>
      <c r="D499" s="5">
        <v>70</v>
      </c>
      <c r="E499" s="5">
        <v>100</v>
      </c>
      <c r="F499" s="5">
        <v>20</v>
      </c>
      <c r="G499" s="5" t="s">
        <v>1179</v>
      </c>
    </row>
    <row r="500" spans="1:7">
      <c r="A500" s="5" t="s">
        <v>1180</v>
      </c>
      <c r="B500" s="5" t="s">
        <v>341</v>
      </c>
      <c r="C500" s="5" t="s">
        <v>327</v>
      </c>
      <c r="D500" s="5">
        <v>50</v>
      </c>
      <c r="E500" s="5"/>
      <c r="F500" s="5">
        <v>15</v>
      </c>
      <c r="G500" s="5" t="s">
        <v>1181</v>
      </c>
    </row>
    <row r="501" spans="1:7">
      <c r="A501" s="5" t="s">
        <v>1182</v>
      </c>
      <c r="B501" s="5" t="s">
        <v>32</v>
      </c>
      <c r="C501" s="5" t="s">
        <v>327</v>
      </c>
      <c r="D501" s="5">
        <v>20</v>
      </c>
      <c r="E501" s="5">
        <v>100</v>
      </c>
      <c r="F501" s="5">
        <v>10</v>
      </c>
      <c r="G501" s="5" t="s">
        <v>1183</v>
      </c>
    </row>
    <row r="502" spans="1:7">
      <c r="A502" s="5" t="s">
        <v>1184</v>
      </c>
      <c r="B502" s="5" t="s">
        <v>337</v>
      </c>
      <c r="C502" s="5" t="s">
        <v>427</v>
      </c>
      <c r="D502" s="5"/>
      <c r="E502" s="5"/>
      <c r="F502" s="5">
        <v>15</v>
      </c>
      <c r="G502" s="5" t="s">
        <v>1185</v>
      </c>
    </row>
    <row r="503" spans="1:7">
      <c r="A503" s="5" t="s">
        <v>1186</v>
      </c>
      <c r="B503" s="5" t="s">
        <v>32</v>
      </c>
      <c r="C503" s="5" t="s">
        <v>427</v>
      </c>
      <c r="D503" s="5"/>
      <c r="E503" s="5"/>
      <c r="F503" s="5">
        <v>15</v>
      </c>
      <c r="G503" s="5" t="s">
        <v>1187</v>
      </c>
    </row>
    <row r="504" spans="1:7">
      <c r="A504" s="5" t="s">
        <v>1188</v>
      </c>
      <c r="B504" s="5" t="s">
        <v>54</v>
      </c>
      <c r="C504" s="5" t="s">
        <v>327</v>
      </c>
      <c r="D504" s="5">
        <v>80</v>
      </c>
      <c r="E504" s="5">
        <v>100</v>
      </c>
      <c r="F504" s="5">
        <v>15</v>
      </c>
      <c r="G504" s="5" t="s">
        <v>415</v>
      </c>
    </row>
    <row r="505" spans="1:7">
      <c r="A505" s="5" t="s">
        <v>1189</v>
      </c>
      <c r="B505" s="5" t="s">
        <v>129</v>
      </c>
      <c r="C505" s="5" t="s">
        <v>427</v>
      </c>
      <c r="D505" s="5"/>
      <c r="E505" s="5"/>
      <c r="F505" s="5">
        <v>15</v>
      </c>
      <c r="G505" s="5" t="s">
        <v>1190</v>
      </c>
    </row>
    <row r="506" spans="1:7">
      <c r="A506" s="5" t="s">
        <v>1191</v>
      </c>
      <c r="B506" s="5" t="s">
        <v>32</v>
      </c>
      <c r="C506" s="5" t="s">
        <v>427</v>
      </c>
      <c r="D506" s="5"/>
      <c r="E506" s="5"/>
      <c r="F506" s="5">
        <v>10</v>
      </c>
      <c r="G506" s="5" t="s">
        <v>1192</v>
      </c>
    </row>
    <row r="507" spans="1:7">
      <c r="A507" s="5" t="s">
        <v>1193</v>
      </c>
      <c r="B507" s="5" t="s">
        <v>363</v>
      </c>
      <c r="C507" s="5" t="s">
        <v>327</v>
      </c>
      <c r="D507" s="5">
        <v>65</v>
      </c>
      <c r="E507" s="5">
        <v>100</v>
      </c>
      <c r="F507" s="5">
        <v>10</v>
      </c>
      <c r="G507" s="5" t="s">
        <v>1194</v>
      </c>
    </row>
    <row r="508" spans="1:7">
      <c r="A508" s="5" t="s">
        <v>1195</v>
      </c>
      <c r="B508" s="5" t="s">
        <v>431</v>
      </c>
      <c r="C508" s="5" t="s">
        <v>404</v>
      </c>
      <c r="D508" s="5">
        <v>60</v>
      </c>
      <c r="E508" s="5">
        <v>100</v>
      </c>
      <c r="F508" s="5">
        <v>10</v>
      </c>
      <c r="G508" s="5" t="s">
        <v>1196</v>
      </c>
    </row>
    <row r="509" spans="1:7">
      <c r="A509" s="5" t="s">
        <v>1197</v>
      </c>
      <c r="B509" s="5" t="s">
        <v>726</v>
      </c>
      <c r="C509" s="5" t="s">
        <v>427</v>
      </c>
      <c r="D509" s="5"/>
      <c r="E509" s="5"/>
      <c r="F509" s="5">
        <v>10</v>
      </c>
      <c r="G509" s="5" t="s">
        <v>1198</v>
      </c>
    </row>
    <row r="510" spans="1:7">
      <c r="A510" s="5" t="s">
        <v>1199</v>
      </c>
      <c r="B510" s="5" t="s">
        <v>337</v>
      </c>
      <c r="C510" s="5" t="s">
        <v>404</v>
      </c>
      <c r="D510" s="5">
        <v>60</v>
      </c>
      <c r="E510" s="5">
        <v>90</v>
      </c>
      <c r="F510" s="5">
        <v>10</v>
      </c>
      <c r="G510" s="5" t="s">
        <v>1200</v>
      </c>
    </row>
    <row r="511" spans="1:7">
      <c r="A511" s="5" t="s">
        <v>1201</v>
      </c>
      <c r="B511" s="5" t="s">
        <v>59</v>
      </c>
      <c r="C511" s="5" t="s">
        <v>327</v>
      </c>
      <c r="D511" s="5">
        <v>60</v>
      </c>
      <c r="E511" s="5">
        <v>100</v>
      </c>
      <c r="F511" s="5">
        <v>15</v>
      </c>
      <c r="G511" s="5" t="s">
        <v>1202</v>
      </c>
    </row>
    <row r="512" spans="1:7">
      <c r="A512" s="5" t="s">
        <v>1203</v>
      </c>
      <c r="B512" s="5" t="s">
        <v>62</v>
      </c>
      <c r="C512" s="5" t="s">
        <v>427</v>
      </c>
      <c r="D512" s="5"/>
      <c r="E512" s="5">
        <v>100</v>
      </c>
      <c r="F512" s="5">
        <v>15</v>
      </c>
      <c r="G512" s="5" t="s">
        <v>1204</v>
      </c>
    </row>
    <row r="513" spans="1:7">
      <c r="A513" s="5" t="s">
        <v>1205</v>
      </c>
      <c r="B513" s="5" t="s">
        <v>431</v>
      </c>
      <c r="C513" s="5" t="s">
        <v>404</v>
      </c>
      <c r="D513" s="5">
        <v>55</v>
      </c>
      <c r="E513" s="5">
        <v>100</v>
      </c>
      <c r="F513" s="5">
        <v>15</v>
      </c>
      <c r="G513" s="5" t="s">
        <v>1206</v>
      </c>
    </row>
    <row r="514" spans="1:7">
      <c r="A514" s="5" t="s">
        <v>1207</v>
      </c>
      <c r="B514" s="5" t="s">
        <v>129</v>
      </c>
      <c r="C514" s="5" t="s">
        <v>427</v>
      </c>
      <c r="D514" s="5"/>
      <c r="E514" s="5"/>
      <c r="F514" s="5">
        <v>15</v>
      </c>
      <c r="G514" s="5" t="s">
        <v>1208</v>
      </c>
    </row>
    <row r="515" spans="1:7">
      <c r="A515" s="5" t="s">
        <v>1209</v>
      </c>
      <c r="B515" s="5" t="s">
        <v>129</v>
      </c>
      <c r="C515" s="5" t="s">
        <v>404</v>
      </c>
      <c r="D515" s="5">
        <v>70</v>
      </c>
      <c r="E515" s="5">
        <v>100</v>
      </c>
      <c r="F515" s="5">
        <v>5</v>
      </c>
      <c r="G515" s="5" t="s">
        <v>1210</v>
      </c>
    </row>
    <row r="516" spans="1:7">
      <c r="A516" s="5" t="s">
        <v>1211</v>
      </c>
      <c r="B516" s="5" t="s">
        <v>337</v>
      </c>
      <c r="C516" s="5" t="s">
        <v>327</v>
      </c>
      <c r="D516" s="5"/>
      <c r="E516" s="5">
        <v>100</v>
      </c>
      <c r="F516" s="5">
        <v>5</v>
      </c>
      <c r="G516" s="5" t="s">
        <v>1212</v>
      </c>
    </row>
    <row r="517" spans="1:7">
      <c r="A517" s="5" t="s">
        <v>1213</v>
      </c>
      <c r="B517" s="5" t="s">
        <v>129</v>
      </c>
      <c r="C517" s="5" t="s">
        <v>427</v>
      </c>
      <c r="D517" s="5"/>
      <c r="E517" s="5"/>
      <c r="F517" s="5">
        <v>15</v>
      </c>
      <c r="G517" s="5" t="s">
        <v>1214</v>
      </c>
    </row>
    <row r="518" spans="1:7">
      <c r="A518" s="5" t="s">
        <v>1215</v>
      </c>
      <c r="B518" s="5" t="s">
        <v>59</v>
      </c>
      <c r="C518" s="5" t="s">
        <v>327</v>
      </c>
      <c r="D518" s="5">
        <v>100</v>
      </c>
      <c r="E518" s="5">
        <v>50</v>
      </c>
      <c r="F518" s="5">
        <v>5</v>
      </c>
      <c r="G518" s="5" t="s">
        <v>415</v>
      </c>
    </row>
    <row r="519" spans="1:7">
      <c r="A519" s="5" t="s">
        <v>1216</v>
      </c>
      <c r="B519" s="5" t="s">
        <v>54</v>
      </c>
      <c r="C519" s="5" t="s">
        <v>327</v>
      </c>
      <c r="D519" s="5">
        <v>80</v>
      </c>
      <c r="E519" s="5">
        <v>100</v>
      </c>
      <c r="F519" s="5">
        <v>10</v>
      </c>
      <c r="G519" s="5" t="s">
        <v>1217</v>
      </c>
    </row>
    <row r="520" spans="1:7">
      <c r="A520" s="5" t="s">
        <v>1218</v>
      </c>
      <c r="B520" s="5" t="s">
        <v>59</v>
      </c>
      <c r="C520" s="5" t="s">
        <v>327</v>
      </c>
      <c r="D520" s="5">
        <v>80</v>
      </c>
      <c r="E520" s="5">
        <v>100</v>
      </c>
      <c r="F520" s="5">
        <v>10</v>
      </c>
      <c r="G520" s="5" t="s">
        <v>1219</v>
      </c>
    </row>
    <row r="521" spans="1:7">
      <c r="A521" s="5" t="s">
        <v>1220</v>
      </c>
      <c r="B521" s="5" t="s">
        <v>82</v>
      </c>
      <c r="C521" s="5" t="s">
        <v>327</v>
      </c>
      <c r="D521" s="5">
        <v>80</v>
      </c>
      <c r="E521" s="5">
        <v>100</v>
      </c>
      <c r="F521" s="5">
        <v>10</v>
      </c>
      <c r="G521" s="5" t="s">
        <v>1221</v>
      </c>
    </row>
    <row r="522" spans="1:7">
      <c r="A522" s="5" t="s">
        <v>1222</v>
      </c>
      <c r="B522" s="5" t="s">
        <v>76</v>
      </c>
      <c r="C522" s="5" t="s">
        <v>327</v>
      </c>
      <c r="D522" s="5">
        <v>70</v>
      </c>
      <c r="E522" s="5">
        <v>100</v>
      </c>
      <c r="F522" s="5">
        <v>20</v>
      </c>
      <c r="G522" s="5" t="s">
        <v>983</v>
      </c>
    </row>
    <row r="523" spans="1:7">
      <c r="A523" s="5" t="s">
        <v>1223</v>
      </c>
      <c r="B523" s="5" t="s">
        <v>164</v>
      </c>
      <c r="C523" s="5" t="s">
        <v>327</v>
      </c>
      <c r="D523" s="5">
        <v>50</v>
      </c>
      <c r="E523" s="5">
        <v>100</v>
      </c>
      <c r="F523" s="5">
        <v>20</v>
      </c>
      <c r="G523" s="5" t="s">
        <v>880</v>
      </c>
    </row>
    <row r="524" spans="1:7">
      <c r="A524" s="5" t="s">
        <v>1224</v>
      </c>
      <c r="B524" s="5" t="s">
        <v>154</v>
      </c>
      <c r="C524" s="5" t="s">
        <v>404</v>
      </c>
      <c r="D524" s="5">
        <v>60</v>
      </c>
      <c r="E524" s="5">
        <v>100</v>
      </c>
      <c r="F524" s="5">
        <v>20</v>
      </c>
      <c r="G524" s="5" t="s">
        <v>500</v>
      </c>
    </row>
    <row r="525" spans="1:7">
      <c r="A525" s="5" t="s">
        <v>1225</v>
      </c>
      <c r="B525" s="5" t="s">
        <v>64</v>
      </c>
      <c r="C525" s="5" t="s">
        <v>327</v>
      </c>
      <c r="D525" s="5">
        <v>60</v>
      </c>
      <c r="E525" s="5">
        <v>90</v>
      </c>
      <c r="F525" s="5">
        <v>10</v>
      </c>
      <c r="G525" s="5" t="s">
        <v>1145</v>
      </c>
    </row>
    <row r="526" spans="1:7">
      <c r="A526" s="5" t="s">
        <v>1226</v>
      </c>
      <c r="B526" s="5" t="s">
        <v>336</v>
      </c>
      <c r="C526" s="5" t="s">
        <v>404</v>
      </c>
      <c r="D526" s="5">
        <v>60</v>
      </c>
      <c r="E526" s="5">
        <v>90</v>
      </c>
      <c r="F526" s="5">
        <v>10</v>
      </c>
      <c r="G526" s="5" t="s">
        <v>1200</v>
      </c>
    </row>
    <row r="527" spans="1:7">
      <c r="A527" s="5" t="s">
        <v>1227</v>
      </c>
      <c r="B527" s="5" t="s">
        <v>129</v>
      </c>
      <c r="C527" s="5" t="s">
        <v>427</v>
      </c>
      <c r="D527" s="5"/>
      <c r="E527" s="5"/>
      <c r="F527" s="5">
        <v>30</v>
      </c>
      <c r="G527" s="5" t="s">
        <v>1228</v>
      </c>
    </row>
    <row r="528" spans="1:7">
      <c r="A528" s="5" t="s">
        <v>1229</v>
      </c>
      <c r="B528" s="5" t="s">
        <v>76</v>
      </c>
      <c r="C528" s="5" t="s">
        <v>327</v>
      </c>
      <c r="D528" s="5">
        <v>55</v>
      </c>
      <c r="E528" s="5">
        <v>95</v>
      </c>
      <c r="F528" s="5">
        <v>15</v>
      </c>
      <c r="G528" s="5" t="s">
        <v>1164</v>
      </c>
    </row>
    <row r="529" spans="1:7">
      <c r="A529" s="5" t="s">
        <v>1230</v>
      </c>
      <c r="B529" s="5" t="s">
        <v>76</v>
      </c>
      <c r="C529" s="5" t="s">
        <v>404</v>
      </c>
      <c r="D529" s="5">
        <v>90</v>
      </c>
      <c r="E529" s="5">
        <v>100</v>
      </c>
      <c r="F529" s="5">
        <v>15</v>
      </c>
      <c r="G529" s="5" t="s">
        <v>460</v>
      </c>
    </row>
    <row r="530" spans="1:7">
      <c r="A530" s="5" t="s">
        <v>1231</v>
      </c>
      <c r="B530" s="5" t="s">
        <v>154</v>
      </c>
      <c r="C530" s="5" t="s">
        <v>404</v>
      </c>
      <c r="D530" s="5">
        <v>80</v>
      </c>
      <c r="E530" s="5">
        <v>95</v>
      </c>
      <c r="F530" s="5">
        <v>10</v>
      </c>
      <c r="G530" s="5" t="s">
        <v>407</v>
      </c>
    </row>
    <row r="531" spans="1:7">
      <c r="A531" s="5" t="s">
        <v>1232</v>
      </c>
      <c r="B531" s="5" t="s">
        <v>336</v>
      </c>
      <c r="C531" s="5" t="s">
        <v>404</v>
      </c>
      <c r="D531" s="5">
        <v>40</v>
      </c>
      <c r="E531" s="5">
        <v>90</v>
      </c>
      <c r="F531" s="5">
        <v>15</v>
      </c>
      <c r="G531" s="5" t="s">
        <v>445</v>
      </c>
    </row>
    <row r="532" spans="1:7">
      <c r="A532" s="5" t="s">
        <v>1233</v>
      </c>
      <c r="B532" s="5" t="s">
        <v>32</v>
      </c>
      <c r="C532" s="5" t="s">
        <v>404</v>
      </c>
      <c r="D532" s="5">
        <v>60</v>
      </c>
      <c r="E532" s="5">
        <v>100</v>
      </c>
      <c r="F532" s="5">
        <v>25</v>
      </c>
      <c r="G532" s="5" t="s">
        <v>443</v>
      </c>
    </row>
    <row r="533" spans="1:7">
      <c r="A533" s="5" t="s">
        <v>1234</v>
      </c>
      <c r="B533" s="5" t="s">
        <v>82</v>
      </c>
      <c r="C533" s="5" t="s">
        <v>404</v>
      </c>
      <c r="D533" s="5">
        <v>75</v>
      </c>
      <c r="E533" s="5">
        <v>100</v>
      </c>
      <c r="F533" s="5">
        <v>10</v>
      </c>
      <c r="G533" s="5" t="s">
        <v>516</v>
      </c>
    </row>
    <row r="534" spans="1:7">
      <c r="A534" s="5" t="s">
        <v>1235</v>
      </c>
      <c r="B534" s="5" t="s">
        <v>337</v>
      </c>
      <c r="C534" s="5" t="s">
        <v>404</v>
      </c>
      <c r="D534" s="5">
        <v>90</v>
      </c>
      <c r="E534" s="5">
        <v>100</v>
      </c>
      <c r="F534" s="5">
        <v>15</v>
      </c>
      <c r="G534" s="5" t="s">
        <v>1179</v>
      </c>
    </row>
    <row r="535" spans="1:7">
      <c r="A535" s="5" t="s">
        <v>1236</v>
      </c>
      <c r="B535" s="5" t="s">
        <v>54</v>
      </c>
      <c r="C535" s="5" t="s">
        <v>404</v>
      </c>
      <c r="D535" s="5">
        <v>75</v>
      </c>
      <c r="E535" s="5">
        <v>95</v>
      </c>
      <c r="F535" s="5">
        <v>10</v>
      </c>
      <c r="G535" s="5" t="s">
        <v>762</v>
      </c>
    </row>
    <row r="536" spans="1:7">
      <c r="A536" s="5" t="s">
        <v>1237</v>
      </c>
      <c r="B536" s="5" t="s">
        <v>59</v>
      </c>
      <c r="C536" s="5" t="s">
        <v>404</v>
      </c>
      <c r="D536" s="5"/>
      <c r="E536" s="5">
        <v>100</v>
      </c>
      <c r="F536" s="5">
        <v>10</v>
      </c>
      <c r="G536" s="5" t="s">
        <v>1152</v>
      </c>
    </row>
    <row r="537" spans="1:7">
      <c r="A537" s="5" t="s">
        <v>1238</v>
      </c>
      <c r="B537" s="5" t="s">
        <v>82</v>
      </c>
      <c r="C537" s="5" t="s">
        <v>327</v>
      </c>
      <c r="D537" s="5">
        <v>65</v>
      </c>
      <c r="E537" s="5">
        <v>90</v>
      </c>
      <c r="F537" s="5">
        <v>10</v>
      </c>
      <c r="G537" s="5" t="s">
        <v>692</v>
      </c>
    </row>
    <row r="538" spans="1:7">
      <c r="A538" s="5" t="s">
        <v>1239</v>
      </c>
      <c r="B538" s="5" t="s">
        <v>164</v>
      </c>
      <c r="C538" s="5" t="s">
        <v>404</v>
      </c>
      <c r="D538" s="5">
        <v>65</v>
      </c>
      <c r="E538" s="5">
        <v>100</v>
      </c>
      <c r="F538" s="5">
        <v>20</v>
      </c>
      <c r="G538" s="5" t="s">
        <v>443</v>
      </c>
    </row>
    <row r="539" spans="1:7">
      <c r="A539" s="5" t="s">
        <v>1240</v>
      </c>
      <c r="B539" s="5" t="s">
        <v>82</v>
      </c>
      <c r="C539" s="5" t="s">
        <v>427</v>
      </c>
      <c r="D539" s="5"/>
      <c r="E539" s="5"/>
      <c r="F539" s="5">
        <v>10</v>
      </c>
      <c r="G539" s="5" t="s">
        <v>1241</v>
      </c>
    </row>
    <row r="540" spans="1:7">
      <c r="A540" s="5" t="s">
        <v>1242</v>
      </c>
      <c r="B540" s="5" t="s">
        <v>62</v>
      </c>
      <c r="C540" s="5" t="s">
        <v>327</v>
      </c>
      <c r="D540" s="5">
        <v>85</v>
      </c>
      <c r="E540" s="5">
        <v>95</v>
      </c>
      <c r="F540" s="5">
        <v>10</v>
      </c>
      <c r="G540" s="5" t="s">
        <v>692</v>
      </c>
    </row>
    <row r="541" spans="1:7">
      <c r="A541" s="5" t="s">
        <v>1243</v>
      </c>
      <c r="B541" s="5" t="s">
        <v>32</v>
      </c>
      <c r="C541" s="5" t="s">
        <v>327</v>
      </c>
      <c r="D541" s="5">
        <v>100</v>
      </c>
      <c r="E541" s="5">
        <v>100</v>
      </c>
      <c r="F541" s="5">
        <v>10</v>
      </c>
      <c r="G541" s="5" t="s">
        <v>1132</v>
      </c>
    </row>
    <row r="542" spans="1:7">
      <c r="A542" s="5" t="s">
        <v>1244</v>
      </c>
      <c r="B542" s="5" t="s">
        <v>129</v>
      </c>
      <c r="C542" s="5" t="s">
        <v>404</v>
      </c>
      <c r="D542" s="5">
        <v>25</v>
      </c>
      <c r="E542" s="5">
        <v>85</v>
      </c>
      <c r="F542" s="5">
        <v>10</v>
      </c>
      <c r="G542" s="5" t="s">
        <v>409</v>
      </c>
    </row>
    <row r="543" spans="1:7">
      <c r="A543" s="5" t="s">
        <v>1245</v>
      </c>
      <c r="B543" s="5" t="s">
        <v>431</v>
      </c>
      <c r="C543" s="5" t="s">
        <v>327</v>
      </c>
      <c r="D543" s="5">
        <v>110</v>
      </c>
      <c r="E543" s="5">
        <v>70</v>
      </c>
      <c r="F543" s="5">
        <v>10</v>
      </c>
      <c r="G543" s="5" t="s">
        <v>498</v>
      </c>
    </row>
    <row r="544" spans="1:7">
      <c r="A544" s="5" t="s">
        <v>1246</v>
      </c>
      <c r="B544" s="5" t="s">
        <v>129</v>
      </c>
      <c r="C544" s="5" t="s">
        <v>404</v>
      </c>
      <c r="D544" s="5">
        <v>120</v>
      </c>
      <c r="E544" s="5">
        <v>100</v>
      </c>
      <c r="F544" s="5">
        <v>15</v>
      </c>
      <c r="G544" s="5" t="s">
        <v>460</v>
      </c>
    </row>
    <row r="545" spans="1:7">
      <c r="A545" s="5" t="s">
        <v>1247</v>
      </c>
      <c r="B545" s="5" t="s">
        <v>726</v>
      </c>
      <c r="C545" s="5" t="s">
        <v>404</v>
      </c>
      <c r="D545" s="5">
        <v>50</v>
      </c>
      <c r="E545" s="5">
        <v>85</v>
      </c>
      <c r="F545" s="5">
        <v>15</v>
      </c>
      <c r="G545" s="5" t="s">
        <v>445</v>
      </c>
    </row>
    <row r="546" spans="1:7">
      <c r="A546" s="5" t="s">
        <v>1248</v>
      </c>
      <c r="B546" s="5" t="s">
        <v>59</v>
      </c>
      <c r="C546" s="5" t="s">
        <v>327</v>
      </c>
      <c r="D546" s="5">
        <v>100</v>
      </c>
      <c r="E546" s="5">
        <v>100</v>
      </c>
      <c r="F546" s="5">
        <v>5</v>
      </c>
      <c r="G546" s="5" t="s">
        <v>415</v>
      </c>
    </row>
    <row r="547" spans="1:7">
      <c r="A547" s="5" t="s">
        <v>1249</v>
      </c>
      <c r="B547" s="5" t="s">
        <v>129</v>
      </c>
      <c r="C547" s="5" t="s">
        <v>327</v>
      </c>
      <c r="D547" s="5">
        <v>120</v>
      </c>
      <c r="E547" s="5">
        <v>100</v>
      </c>
      <c r="F547" s="5">
        <v>5</v>
      </c>
      <c r="G547" s="5" t="s">
        <v>1097</v>
      </c>
    </row>
    <row r="548" spans="1:7">
      <c r="A548" s="5" t="s">
        <v>1250</v>
      </c>
      <c r="B548" s="5" t="s">
        <v>129</v>
      </c>
      <c r="C548" s="5" t="s">
        <v>327</v>
      </c>
      <c r="D548" s="5">
        <v>75</v>
      </c>
      <c r="E548" s="5">
        <v>100</v>
      </c>
      <c r="F548" s="5">
        <v>10</v>
      </c>
      <c r="G548" s="5" t="s">
        <v>1251</v>
      </c>
    </row>
    <row r="549" spans="1:7">
      <c r="A549" s="5" t="s">
        <v>1252</v>
      </c>
      <c r="B549" s="5" t="s">
        <v>337</v>
      </c>
      <c r="C549" s="5" t="s">
        <v>327</v>
      </c>
      <c r="D549" s="5">
        <v>85</v>
      </c>
      <c r="E549" s="5">
        <v>100</v>
      </c>
      <c r="F549" s="5">
        <v>10</v>
      </c>
      <c r="G549" s="5" t="s">
        <v>1132</v>
      </c>
    </row>
    <row r="550" spans="1:7">
      <c r="A550" s="5" t="s">
        <v>1253</v>
      </c>
      <c r="B550" s="5" t="s">
        <v>64</v>
      </c>
      <c r="C550" s="5" t="s">
        <v>327</v>
      </c>
      <c r="D550" s="5">
        <v>65</v>
      </c>
      <c r="E550" s="5">
        <v>95</v>
      </c>
      <c r="F550" s="5">
        <v>10</v>
      </c>
      <c r="G550" s="5" t="s">
        <v>1164</v>
      </c>
    </row>
    <row r="551" spans="1:7">
      <c r="A551" s="5" t="s">
        <v>1254</v>
      </c>
      <c r="B551" s="5" t="s">
        <v>76</v>
      </c>
      <c r="C551" s="5" t="s">
        <v>404</v>
      </c>
      <c r="D551" s="5">
        <v>130</v>
      </c>
      <c r="E551" s="5">
        <v>85</v>
      </c>
      <c r="F551" s="5">
        <v>5</v>
      </c>
      <c r="G551" s="5" t="s">
        <v>419</v>
      </c>
    </row>
    <row r="552" spans="1:7">
      <c r="A552" s="5" t="s">
        <v>1255</v>
      </c>
      <c r="B552" s="5" t="s">
        <v>59</v>
      </c>
      <c r="C552" s="5" t="s">
        <v>327</v>
      </c>
      <c r="D552" s="5">
        <v>130</v>
      </c>
      <c r="E552" s="5">
        <v>85</v>
      </c>
      <c r="F552" s="5">
        <v>5</v>
      </c>
      <c r="G552" s="5" t="s">
        <v>415</v>
      </c>
    </row>
    <row r="553" spans="1:7">
      <c r="A553" s="5" t="s">
        <v>1256</v>
      </c>
      <c r="B553" s="5" t="s">
        <v>59</v>
      </c>
      <c r="C553" s="5" t="s">
        <v>327</v>
      </c>
      <c r="D553" s="5">
        <v>80</v>
      </c>
      <c r="E553" s="5">
        <v>100</v>
      </c>
      <c r="F553" s="5">
        <v>10</v>
      </c>
      <c r="G553" s="5" t="s">
        <v>1100</v>
      </c>
    </row>
    <row r="554" spans="1:7">
      <c r="A554" s="5" t="s">
        <v>1257</v>
      </c>
      <c r="B554" s="5" t="s">
        <v>64</v>
      </c>
      <c r="C554" s="5" t="s">
        <v>404</v>
      </c>
      <c r="D554" s="5">
        <v>140</v>
      </c>
      <c r="E554" s="5">
        <v>90</v>
      </c>
      <c r="F554" s="5">
        <v>5</v>
      </c>
      <c r="G554" s="5" t="s">
        <v>1258</v>
      </c>
    </row>
    <row r="555" spans="1:7">
      <c r="A555" s="5" t="s">
        <v>1259</v>
      </c>
      <c r="B555" s="5" t="s">
        <v>64</v>
      </c>
      <c r="C555" s="5" t="s">
        <v>327</v>
      </c>
      <c r="D555" s="5">
        <v>140</v>
      </c>
      <c r="E555" s="5">
        <v>90</v>
      </c>
      <c r="F555" s="5">
        <v>5</v>
      </c>
      <c r="G555" s="5" t="s">
        <v>1260</v>
      </c>
    </row>
    <row r="556" spans="1:7">
      <c r="A556" s="5" t="s">
        <v>1261</v>
      </c>
      <c r="B556" s="5" t="s">
        <v>62</v>
      </c>
      <c r="C556" s="5" t="s">
        <v>327</v>
      </c>
      <c r="D556" s="5">
        <v>55</v>
      </c>
      <c r="E556" s="5">
        <v>95</v>
      </c>
      <c r="F556" s="5">
        <v>15</v>
      </c>
      <c r="G556" s="5" t="s">
        <v>880</v>
      </c>
    </row>
    <row r="557" spans="1:7">
      <c r="A557" s="5" t="s">
        <v>1262</v>
      </c>
      <c r="B557" s="5" t="s">
        <v>64</v>
      </c>
      <c r="C557" s="5" t="s">
        <v>404</v>
      </c>
      <c r="D557" s="5">
        <v>85</v>
      </c>
      <c r="E557" s="5">
        <v>90</v>
      </c>
      <c r="F557" s="5">
        <v>10</v>
      </c>
      <c r="G557" s="5" t="s">
        <v>443</v>
      </c>
    </row>
    <row r="558" spans="1:7">
      <c r="A558" s="5" t="s">
        <v>1263</v>
      </c>
      <c r="B558" s="5" t="s">
        <v>59</v>
      </c>
      <c r="C558" s="5" t="s">
        <v>404</v>
      </c>
      <c r="D558" s="5">
        <v>180</v>
      </c>
      <c r="E558" s="5">
        <v>95</v>
      </c>
      <c r="F558" s="5">
        <v>5</v>
      </c>
      <c r="G558" s="5" t="s">
        <v>1264</v>
      </c>
    </row>
    <row r="559" spans="1:7">
      <c r="A559" s="5" t="s">
        <v>1265</v>
      </c>
      <c r="B559" s="5" t="s">
        <v>59</v>
      </c>
      <c r="C559" s="5" t="s">
        <v>327</v>
      </c>
      <c r="D559" s="5">
        <v>100</v>
      </c>
      <c r="E559" s="5">
        <v>100</v>
      </c>
      <c r="F559" s="5">
        <v>5</v>
      </c>
      <c r="G559" s="5" t="s">
        <v>1266</v>
      </c>
    </row>
    <row r="560" spans="1:7">
      <c r="A560" s="5" t="s">
        <v>1267</v>
      </c>
      <c r="B560" s="5" t="s">
        <v>76</v>
      </c>
      <c r="C560" s="5" t="s">
        <v>404</v>
      </c>
      <c r="D560" s="5">
        <v>100</v>
      </c>
      <c r="E560" s="5">
        <v>100</v>
      </c>
      <c r="F560" s="5">
        <v>5</v>
      </c>
      <c r="G560" s="5" t="s">
        <v>1268</v>
      </c>
    </row>
    <row r="561" spans="1:7">
      <c r="A561" s="5" t="s">
        <v>1269</v>
      </c>
      <c r="B561" s="5" t="s">
        <v>337</v>
      </c>
      <c r="C561" s="5" t="s">
        <v>404</v>
      </c>
      <c r="D561" s="5">
        <v>100</v>
      </c>
      <c r="E561" s="5">
        <v>95</v>
      </c>
      <c r="F561" s="5">
        <v>10</v>
      </c>
      <c r="G561" s="5" t="s">
        <v>1270</v>
      </c>
    </row>
    <row r="562" spans="1:7">
      <c r="A562" s="5" t="s">
        <v>1271</v>
      </c>
      <c r="B562" s="5" t="s">
        <v>337</v>
      </c>
      <c r="C562" s="5" t="s">
        <v>427</v>
      </c>
      <c r="D562" s="5"/>
      <c r="E562" s="5"/>
      <c r="F562" s="5">
        <v>10</v>
      </c>
      <c r="G562" s="5" t="s">
        <v>1272</v>
      </c>
    </row>
    <row r="563" spans="1:7">
      <c r="A563" s="5" t="s">
        <v>1273</v>
      </c>
      <c r="B563" s="5" t="s">
        <v>341</v>
      </c>
      <c r="C563" s="5" t="s">
        <v>327</v>
      </c>
      <c r="D563" s="5">
        <v>120</v>
      </c>
      <c r="E563" s="5">
        <v>90</v>
      </c>
      <c r="F563" s="5">
        <v>10</v>
      </c>
      <c r="G563" s="5" t="s">
        <v>1274</v>
      </c>
    </row>
    <row r="564" spans="1:7">
      <c r="A564" s="5" t="s">
        <v>1275</v>
      </c>
      <c r="B564" s="5" t="s">
        <v>154</v>
      </c>
      <c r="C564" s="5" t="s">
        <v>427</v>
      </c>
      <c r="D564" s="5"/>
      <c r="E564" s="5"/>
      <c r="F564" s="5">
        <v>10</v>
      </c>
      <c r="G564" s="5" t="s">
        <v>1276</v>
      </c>
    </row>
    <row r="565" spans="1:7">
      <c r="A565" s="5" t="s">
        <v>1277</v>
      </c>
      <c r="B565" s="5" t="s">
        <v>164</v>
      </c>
      <c r="C565" s="5" t="s">
        <v>427</v>
      </c>
      <c r="D565" s="5"/>
      <c r="E565" s="5"/>
      <c r="F565" s="5">
        <v>20</v>
      </c>
      <c r="G565" s="5" t="s">
        <v>1278</v>
      </c>
    </row>
    <row r="566" spans="1:7">
      <c r="A566" s="5" t="s">
        <v>1279</v>
      </c>
      <c r="B566" s="5" t="s">
        <v>164</v>
      </c>
      <c r="C566" s="5" t="s">
        <v>404</v>
      </c>
      <c r="D566" s="5">
        <v>50</v>
      </c>
      <c r="E566" s="5">
        <v>100</v>
      </c>
      <c r="F566" s="5">
        <v>25</v>
      </c>
      <c r="G566" s="5" t="s">
        <v>1280</v>
      </c>
    </row>
    <row r="567" spans="1:7">
      <c r="A567" s="5" t="s">
        <v>1281</v>
      </c>
      <c r="B567" s="5" t="s">
        <v>363</v>
      </c>
      <c r="C567" s="5" t="s">
        <v>404</v>
      </c>
      <c r="D567" s="5">
        <v>90</v>
      </c>
      <c r="E567" s="5">
        <v>100</v>
      </c>
      <c r="F567" s="5">
        <v>10</v>
      </c>
      <c r="G567" s="5" t="s">
        <v>1120</v>
      </c>
    </row>
    <row r="568" spans="1:7">
      <c r="A568" s="5" t="s">
        <v>1282</v>
      </c>
      <c r="B568" s="5" t="s">
        <v>363</v>
      </c>
      <c r="C568" s="5" t="s">
        <v>427</v>
      </c>
      <c r="D568" s="5"/>
      <c r="E568" s="5">
        <v>100</v>
      </c>
      <c r="F568" s="5">
        <v>20</v>
      </c>
      <c r="G568" s="5" t="s">
        <v>1283</v>
      </c>
    </row>
    <row r="569" spans="1:7">
      <c r="A569" s="5" t="s">
        <v>1284</v>
      </c>
      <c r="B569" s="5" t="s">
        <v>129</v>
      </c>
      <c r="C569" s="5" t="s">
        <v>427</v>
      </c>
      <c r="D569" s="5"/>
      <c r="E569" s="5">
        <v>100</v>
      </c>
      <c r="F569" s="5">
        <v>30</v>
      </c>
      <c r="G569" s="5" t="s">
        <v>1285</v>
      </c>
    </row>
    <row r="570" spans="1:7">
      <c r="A570" s="5" t="s">
        <v>1286</v>
      </c>
      <c r="B570" s="5" t="s">
        <v>76</v>
      </c>
      <c r="C570" s="5" t="s">
        <v>427</v>
      </c>
      <c r="D570" s="5"/>
      <c r="E570" s="5"/>
      <c r="F570" s="5">
        <v>25</v>
      </c>
      <c r="G570" s="5" t="s">
        <v>1287</v>
      </c>
    </row>
    <row r="571" spans="1:7">
      <c r="A571" s="5" t="s">
        <v>1288</v>
      </c>
      <c r="B571" s="5" t="s">
        <v>76</v>
      </c>
      <c r="C571" s="5" t="s">
        <v>327</v>
      </c>
      <c r="D571" s="5">
        <v>65</v>
      </c>
      <c r="E571" s="5">
        <v>100</v>
      </c>
      <c r="F571" s="5">
        <v>20</v>
      </c>
      <c r="G571" s="5" t="s">
        <v>1289</v>
      </c>
    </row>
    <row r="572" spans="1:7">
      <c r="A572" s="5" t="s">
        <v>1290</v>
      </c>
      <c r="B572" s="5" t="s">
        <v>82</v>
      </c>
      <c r="C572" s="5" t="s">
        <v>427</v>
      </c>
      <c r="D572" s="5"/>
      <c r="E572" s="5">
        <v>100</v>
      </c>
      <c r="F572" s="5">
        <v>20</v>
      </c>
      <c r="G572" s="5" t="s">
        <v>1291</v>
      </c>
    </row>
    <row r="573" spans="1:7">
      <c r="A573" s="5" t="s">
        <v>1292</v>
      </c>
      <c r="B573" s="5" t="s">
        <v>82</v>
      </c>
      <c r="C573" s="5" t="s">
        <v>404</v>
      </c>
      <c r="D573" s="5">
        <v>90</v>
      </c>
      <c r="E573" s="5">
        <v>100</v>
      </c>
      <c r="F573" s="5">
        <v>15</v>
      </c>
      <c r="G573" s="5" t="s">
        <v>1293</v>
      </c>
    </row>
    <row r="574" spans="1:7">
      <c r="A574" s="5" t="s">
        <v>1294</v>
      </c>
      <c r="B574" s="5" t="s">
        <v>64</v>
      </c>
      <c r="C574" s="5" t="s">
        <v>327</v>
      </c>
      <c r="D574" s="5">
        <v>70</v>
      </c>
      <c r="E574" s="5">
        <v>100</v>
      </c>
      <c r="F574" s="5">
        <v>20</v>
      </c>
      <c r="G574" s="5" t="s">
        <v>1295</v>
      </c>
    </row>
    <row r="575" spans="1:7">
      <c r="A575" s="5" t="s">
        <v>1296</v>
      </c>
      <c r="B575" s="5" t="s">
        <v>138</v>
      </c>
      <c r="C575" s="5" t="s">
        <v>327</v>
      </c>
      <c r="D575" s="5">
        <v>40</v>
      </c>
      <c r="E575" s="5"/>
      <c r="F575" s="5">
        <v>15</v>
      </c>
      <c r="G575" s="5" t="s">
        <v>604</v>
      </c>
    </row>
    <row r="576" spans="1:7">
      <c r="A576" s="5" t="s">
        <v>1297</v>
      </c>
      <c r="B576" s="5" t="s">
        <v>62</v>
      </c>
      <c r="C576" s="5" t="s">
        <v>427</v>
      </c>
      <c r="D576" s="5"/>
      <c r="E576" s="5">
        <v>100</v>
      </c>
      <c r="F576" s="5">
        <v>20</v>
      </c>
      <c r="G576" s="5" t="s">
        <v>1298</v>
      </c>
    </row>
    <row r="577" spans="1:7">
      <c r="A577" s="5" t="s">
        <v>1299</v>
      </c>
      <c r="B577" s="5" t="s">
        <v>62</v>
      </c>
      <c r="C577" s="5" t="s">
        <v>427</v>
      </c>
      <c r="D577" s="5"/>
      <c r="E577" s="5"/>
      <c r="F577" s="5">
        <v>20</v>
      </c>
      <c r="G577" s="5" t="s">
        <v>1300</v>
      </c>
    </row>
    <row r="578" spans="1:7">
      <c r="A578" s="5" t="s">
        <v>1301</v>
      </c>
      <c r="B578" s="5" t="s">
        <v>138</v>
      </c>
      <c r="C578" s="5" t="s">
        <v>327</v>
      </c>
      <c r="D578" s="5">
        <v>50</v>
      </c>
      <c r="E578" s="5">
        <v>100</v>
      </c>
      <c r="F578" s="5">
        <v>10</v>
      </c>
      <c r="G578" s="5" t="s">
        <v>1302</v>
      </c>
    </row>
    <row r="579" spans="1:7">
      <c r="A579" s="5" t="s">
        <v>1303</v>
      </c>
      <c r="B579" s="5" t="s">
        <v>138</v>
      </c>
      <c r="C579" s="5" t="s">
        <v>427</v>
      </c>
      <c r="D579" s="5"/>
      <c r="E579" s="5"/>
      <c r="F579" s="5">
        <v>10</v>
      </c>
      <c r="G579" s="5" t="s">
        <v>1304</v>
      </c>
    </row>
    <row r="580" spans="1:7">
      <c r="A580" s="5" t="s">
        <v>1305</v>
      </c>
      <c r="B580" s="5" t="s">
        <v>138</v>
      </c>
      <c r="C580" s="5" t="s">
        <v>427</v>
      </c>
      <c r="D580" s="5"/>
      <c r="E580" s="5"/>
      <c r="F580" s="5">
        <v>10</v>
      </c>
      <c r="G580" s="5" t="s">
        <v>1306</v>
      </c>
    </row>
    <row r="581" spans="1:7">
      <c r="A581" s="5" t="s">
        <v>1307</v>
      </c>
      <c r="B581" s="5" t="s">
        <v>82</v>
      </c>
      <c r="C581" s="5" t="s">
        <v>427</v>
      </c>
      <c r="D581" s="5"/>
      <c r="E581" s="5"/>
      <c r="F581" s="5">
        <v>10</v>
      </c>
      <c r="G581" s="5" t="s">
        <v>1308</v>
      </c>
    </row>
    <row r="582" spans="1:7">
      <c r="A582" s="5" t="s">
        <v>1309</v>
      </c>
      <c r="B582" s="5" t="s">
        <v>138</v>
      </c>
      <c r="C582" s="5" t="s">
        <v>427</v>
      </c>
      <c r="D582" s="5"/>
      <c r="E582" s="5"/>
      <c r="F582" s="5">
        <v>10</v>
      </c>
      <c r="G582" s="5" t="s">
        <v>1310</v>
      </c>
    </row>
    <row r="583" spans="1:7">
      <c r="A583" s="5" t="s">
        <v>1311</v>
      </c>
      <c r="B583" s="5" t="s">
        <v>76</v>
      </c>
      <c r="C583" s="5" t="s">
        <v>427</v>
      </c>
      <c r="D583" s="5"/>
      <c r="E583" s="5"/>
      <c r="F583" s="5">
        <v>20</v>
      </c>
      <c r="G583" s="5" t="s">
        <v>1312</v>
      </c>
    </row>
    <row r="584" spans="1:7">
      <c r="A584" s="5" t="s">
        <v>1313</v>
      </c>
      <c r="B584" s="5" t="s">
        <v>138</v>
      </c>
      <c r="C584" s="5" t="s">
        <v>404</v>
      </c>
      <c r="D584" s="5">
        <v>90</v>
      </c>
      <c r="E584" s="5">
        <v>90</v>
      </c>
      <c r="F584" s="5">
        <v>10</v>
      </c>
      <c r="G584" s="5" t="s">
        <v>502</v>
      </c>
    </row>
    <row r="585" spans="1:7">
      <c r="A585" s="5" t="s">
        <v>1314</v>
      </c>
      <c r="B585" s="5" t="s">
        <v>138</v>
      </c>
      <c r="C585" s="5" t="s">
        <v>327</v>
      </c>
      <c r="D585" s="5">
        <v>40</v>
      </c>
      <c r="E585" s="5">
        <v>100</v>
      </c>
      <c r="F585" s="5">
        <v>30</v>
      </c>
      <c r="G585" s="5" t="s">
        <v>405</v>
      </c>
    </row>
    <row r="586" spans="1:7">
      <c r="A586" s="5" t="s">
        <v>1315</v>
      </c>
      <c r="B586" s="5" t="s">
        <v>138</v>
      </c>
      <c r="C586" s="5" t="s">
        <v>327</v>
      </c>
      <c r="D586" s="5">
        <v>95</v>
      </c>
      <c r="E586" s="5">
        <v>100</v>
      </c>
      <c r="F586" s="5">
        <v>15</v>
      </c>
      <c r="G586" s="5" t="s">
        <v>880</v>
      </c>
    </row>
    <row r="587" spans="1:7">
      <c r="A587" s="5" t="s">
        <v>1316</v>
      </c>
      <c r="B587" s="5" t="s">
        <v>129</v>
      </c>
      <c r="C587" s="5" t="s">
        <v>327</v>
      </c>
      <c r="D587" s="5">
        <v>140</v>
      </c>
      <c r="E587" s="5">
        <v>100</v>
      </c>
      <c r="F587" s="5">
        <v>10</v>
      </c>
      <c r="G587" s="5" t="s">
        <v>1293</v>
      </c>
    </row>
    <row r="588" spans="1:7">
      <c r="A588" s="5" t="s">
        <v>1317</v>
      </c>
      <c r="B588" s="5" t="s">
        <v>138</v>
      </c>
      <c r="C588" s="5" t="s">
        <v>427</v>
      </c>
      <c r="D588" s="5"/>
      <c r="E588" s="5"/>
      <c r="F588" s="5">
        <v>10</v>
      </c>
      <c r="G588" s="5" t="s">
        <v>1318</v>
      </c>
    </row>
    <row r="589" spans="1:7">
      <c r="A589" s="5" t="s">
        <v>1319</v>
      </c>
      <c r="B589" s="5" t="s">
        <v>726</v>
      </c>
      <c r="C589" s="5" t="s">
        <v>427</v>
      </c>
      <c r="D589" s="5"/>
      <c r="E589" s="5"/>
      <c r="F589" s="5">
        <v>10</v>
      </c>
      <c r="G589" s="5" t="s">
        <v>1320</v>
      </c>
    </row>
    <row r="590" spans="1:7">
      <c r="A590" s="5" t="s">
        <v>1321</v>
      </c>
      <c r="B590" s="5" t="s">
        <v>129</v>
      </c>
      <c r="C590" s="5" t="s">
        <v>427</v>
      </c>
      <c r="D590" s="5"/>
      <c r="E590" s="5"/>
      <c r="F590" s="5">
        <v>20</v>
      </c>
      <c r="G590" s="5" t="s">
        <v>475</v>
      </c>
    </row>
    <row r="591" spans="1:7">
      <c r="A591" s="5" t="s">
        <v>1322</v>
      </c>
      <c r="B591" s="5" t="s">
        <v>129</v>
      </c>
      <c r="C591" s="5" t="s">
        <v>427</v>
      </c>
      <c r="D591" s="5"/>
      <c r="E591" s="5"/>
      <c r="F591" s="5">
        <v>20</v>
      </c>
      <c r="G591" s="5" t="s">
        <v>1323</v>
      </c>
    </row>
    <row r="592" spans="1:7">
      <c r="A592" s="5" t="s">
        <v>1324</v>
      </c>
      <c r="B592" s="5" t="s">
        <v>540</v>
      </c>
      <c r="C592" s="5" t="s">
        <v>404</v>
      </c>
      <c r="D592" s="5">
        <v>100</v>
      </c>
      <c r="E592" s="5">
        <v>95</v>
      </c>
      <c r="F592" s="5">
        <v>5</v>
      </c>
      <c r="G592" s="5" t="s">
        <v>1325</v>
      </c>
    </row>
    <row r="593" spans="1:7">
      <c r="A593" s="5" t="s">
        <v>1326</v>
      </c>
      <c r="B593" s="5" t="s">
        <v>54</v>
      </c>
      <c r="C593" s="5" t="s">
        <v>327</v>
      </c>
      <c r="D593" s="5">
        <v>110</v>
      </c>
      <c r="E593" s="5">
        <v>95</v>
      </c>
      <c r="F593" s="5">
        <v>5</v>
      </c>
      <c r="G593" s="5" t="s">
        <v>415</v>
      </c>
    </row>
    <row r="594" spans="1:7">
      <c r="A594" s="5" t="s">
        <v>1327</v>
      </c>
      <c r="B594" s="5" t="s">
        <v>32</v>
      </c>
      <c r="C594" s="5" t="s">
        <v>327</v>
      </c>
      <c r="D594" s="5">
        <v>80</v>
      </c>
      <c r="E594" s="5"/>
      <c r="F594" s="5">
        <v>5</v>
      </c>
      <c r="G594" s="5" t="s">
        <v>1328</v>
      </c>
    </row>
    <row r="595" spans="1:7">
      <c r="A595" s="5" t="s">
        <v>1329</v>
      </c>
      <c r="B595" s="5" t="s">
        <v>54</v>
      </c>
      <c r="C595" s="5" t="s">
        <v>327</v>
      </c>
      <c r="D595" s="5">
        <v>15</v>
      </c>
      <c r="E595" s="5">
        <v>100</v>
      </c>
      <c r="F595" s="5">
        <v>20</v>
      </c>
      <c r="G595" s="5" t="s">
        <v>1330</v>
      </c>
    </row>
    <row r="596" spans="1:7">
      <c r="A596" s="5" t="s">
        <v>1331</v>
      </c>
      <c r="B596" s="5" t="s">
        <v>59</v>
      </c>
      <c r="C596" s="5" t="s">
        <v>327</v>
      </c>
      <c r="D596" s="5">
        <v>75</v>
      </c>
      <c r="E596" s="5">
        <v>100</v>
      </c>
      <c r="F596" s="5">
        <v>10</v>
      </c>
      <c r="G596" s="5" t="s">
        <v>880</v>
      </c>
    </row>
    <row r="597" spans="1:7">
      <c r="A597" s="5" t="s">
        <v>1332</v>
      </c>
      <c r="B597" s="5" t="s">
        <v>82</v>
      </c>
      <c r="C597" s="5" t="s">
        <v>427</v>
      </c>
      <c r="D597" s="5"/>
      <c r="E597" s="5"/>
      <c r="F597" s="5">
        <v>10</v>
      </c>
      <c r="G597" s="5" t="s">
        <v>1333</v>
      </c>
    </row>
    <row r="598" spans="1:7">
      <c r="A598" s="5" t="s">
        <v>1334</v>
      </c>
      <c r="B598" s="5" t="s">
        <v>138</v>
      </c>
      <c r="C598" s="5" t="s">
        <v>427</v>
      </c>
      <c r="D598" s="5"/>
      <c r="E598" s="5"/>
      <c r="F598" s="5">
        <v>20</v>
      </c>
      <c r="G598" s="5" t="s">
        <v>1335</v>
      </c>
    </row>
    <row r="599" spans="1:7">
      <c r="A599" s="5" t="s">
        <v>1336</v>
      </c>
      <c r="B599" s="5" t="s">
        <v>76</v>
      </c>
      <c r="C599" s="5" t="s">
        <v>427</v>
      </c>
      <c r="D599" s="5"/>
      <c r="E599" s="5">
        <v>100</v>
      </c>
      <c r="F599" s="5">
        <v>15</v>
      </c>
      <c r="G599" s="5" t="s">
        <v>1337</v>
      </c>
    </row>
    <row r="600" spans="1:7">
      <c r="A600" s="5" t="s">
        <v>1338</v>
      </c>
      <c r="B600" s="5" t="s">
        <v>341</v>
      </c>
      <c r="C600" s="5" t="s">
        <v>427</v>
      </c>
      <c r="D600" s="5"/>
      <c r="E600" s="5">
        <v>100</v>
      </c>
      <c r="F600" s="5">
        <v>20</v>
      </c>
      <c r="G600" s="5" t="s">
        <v>1339</v>
      </c>
    </row>
    <row r="601" spans="1:7">
      <c r="A601" s="5" t="s">
        <v>1340</v>
      </c>
      <c r="B601" s="5" t="s">
        <v>164</v>
      </c>
      <c r="C601" s="5" t="s">
        <v>427</v>
      </c>
      <c r="D601" s="5"/>
      <c r="E601" s="5">
        <v>100</v>
      </c>
      <c r="F601" s="5">
        <v>20</v>
      </c>
      <c r="G601" s="5" t="s">
        <v>1341</v>
      </c>
    </row>
    <row r="602" spans="1:7">
      <c r="A602" s="5" t="s">
        <v>1342</v>
      </c>
      <c r="B602" s="5" t="s">
        <v>138</v>
      </c>
      <c r="C602" s="5" t="s">
        <v>427</v>
      </c>
      <c r="D602" s="5"/>
      <c r="E602" s="5"/>
      <c r="F602" s="5">
        <v>10</v>
      </c>
      <c r="G602" s="5" t="s">
        <v>1343</v>
      </c>
    </row>
    <row r="603" spans="1:7">
      <c r="A603" s="5" t="s">
        <v>1344</v>
      </c>
      <c r="B603" s="5" t="s">
        <v>76</v>
      </c>
      <c r="C603" s="5" t="s">
        <v>427</v>
      </c>
      <c r="D603" s="5"/>
      <c r="E603" s="5"/>
      <c r="F603" s="5">
        <v>20</v>
      </c>
      <c r="G603" s="5" t="s">
        <v>1345</v>
      </c>
    </row>
    <row r="604" spans="1:7">
      <c r="A604" s="5" t="s">
        <v>1346</v>
      </c>
      <c r="B604" s="5" t="s">
        <v>129</v>
      </c>
      <c r="C604" s="5" t="s">
        <v>427</v>
      </c>
      <c r="D604" s="5"/>
      <c r="E604" s="5"/>
      <c r="F604" s="5">
        <v>30</v>
      </c>
      <c r="G604" s="5" t="s">
        <v>1347</v>
      </c>
    </row>
    <row r="605" spans="1:7">
      <c r="A605" s="5" t="s">
        <v>1348</v>
      </c>
      <c r="B605" s="5" t="s">
        <v>76</v>
      </c>
      <c r="C605" s="5" t="s">
        <v>427</v>
      </c>
      <c r="D605" s="5"/>
      <c r="E605" s="5"/>
      <c r="F605" s="5">
        <v>10</v>
      </c>
      <c r="G605" s="5" t="s">
        <v>1349</v>
      </c>
    </row>
    <row r="606" spans="1:7">
      <c r="A606" s="5" t="s">
        <v>1350</v>
      </c>
      <c r="B606" s="5" t="s">
        <v>138</v>
      </c>
      <c r="C606" s="5" t="s">
        <v>327</v>
      </c>
      <c r="D606" s="5">
        <v>80</v>
      </c>
      <c r="E606" s="5">
        <v>100</v>
      </c>
      <c r="F606" s="5">
        <v>10</v>
      </c>
      <c r="G606" s="5" t="s">
        <v>405</v>
      </c>
    </row>
    <row r="607" spans="1:7">
      <c r="A607" s="5" t="s">
        <v>1351</v>
      </c>
      <c r="B607" s="5" t="s">
        <v>129</v>
      </c>
      <c r="C607" s="5" t="s">
        <v>427</v>
      </c>
      <c r="D607" s="5"/>
      <c r="E607" s="5"/>
      <c r="F607" s="5">
        <v>40</v>
      </c>
      <c r="G607" s="5" t="s">
        <v>632</v>
      </c>
    </row>
    <row r="608" spans="1:7">
      <c r="A608" s="5" t="s">
        <v>1352</v>
      </c>
      <c r="B608" s="5" t="s">
        <v>129</v>
      </c>
      <c r="C608" s="5" t="s">
        <v>427</v>
      </c>
      <c r="D608" s="5"/>
      <c r="E608" s="5"/>
      <c r="F608" s="5">
        <v>40</v>
      </c>
      <c r="G608" s="5" t="s">
        <v>632</v>
      </c>
    </row>
    <row r="609" spans="1:7">
      <c r="A609" s="5" t="s">
        <v>1353</v>
      </c>
      <c r="B609" s="5" t="s">
        <v>138</v>
      </c>
      <c r="C609" s="5" t="s">
        <v>427</v>
      </c>
      <c r="D609" s="5"/>
      <c r="E609" s="5">
        <v>100</v>
      </c>
      <c r="F609" s="5">
        <v>30</v>
      </c>
      <c r="G609" s="5" t="s">
        <v>475</v>
      </c>
    </row>
    <row r="610" spans="1:7">
      <c r="A610" s="5" t="s">
        <v>1354</v>
      </c>
      <c r="B610" s="5" t="s">
        <v>76</v>
      </c>
      <c r="C610" s="5" t="s">
        <v>404</v>
      </c>
      <c r="D610" s="5">
        <v>20</v>
      </c>
      <c r="E610" s="5">
        <v>100</v>
      </c>
      <c r="F610" s="5">
        <v>20</v>
      </c>
      <c r="G610" s="5" t="s">
        <v>419</v>
      </c>
    </row>
    <row r="611" spans="1:7">
      <c r="A611" s="5" t="s">
        <v>1355</v>
      </c>
      <c r="B611" s="5" t="s">
        <v>129</v>
      </c>
      <c r="C611" s="5" t="s">
        <v>404</v>
      </c>
      <c r="D611" s="5">
        <v>40</v>
      </c>
      <c r="E611" s="5">
        <v>100</v>
      </c>
      <c r="F611" s="5">
        <v>40</v>
      </c>
      <c r="G611" s="5" t="s">
        <v>718</v>
      </c>
    </row>
    <row r="612" spans="1:7">
      <c r="A612" s="5" t="s">
        <v>1356</v>
      </c>
      <c r="B612" s="5" t="s">
        <v>164</v>
      </c>
      <c r="C612" s="5" t="s">
        <v>327</v>
      </c>
      <c r="D612" s="5">
        <v>20</v>
      </c>
      <c r="E612" s="5">
        <v>100</v>
      </c>
      <c r="F612" s="5">
        <v>20</v>
      </c>
      <c r="G612" s="5" t="s">
        <v>439</v>
      </c>
    </row>
    <row r="613" spans="1:7">
      <c r="A613" s="5" t="s">
        <v>1357</v>
      </c>
      <c r="B613" s="5" t="s">
        <v>337</v>
      </c>
      <c r="C613" s="5" t="s">
        <v>404</v>
      </c>
      <c r="D613" s="5">
        <v>40</v>
      </c>
      <c r="E613" s="5">
        <v>100</v>
      </c>
      <c r="F613" s="5">
        <v>20</v>
      </c>
      <c r="G613" s="5" t="s">
        <v>1358</v>
      </c>
    </row>
    <row r="614" spans="1:7">
      <c r="A614" s="5" t="s">
        <v>1359</v>
      </c>
      <c r="B614" s="5" t="s">
        <v>431</v>
      </c>
      <c r="C614" s="5" t="s">
        <v>327</v>
      </c>
      <c r="D614" s="5">
        <v>80</v>
      </c>
      <c r="E614" s="5">
        <v>100</v>
      </c>
      <c r="F614" s="5">
        <v>10</v>
      </c>
      <c r="G614" s="5" t="s">
        <v>1302</v>
      </c>
    </row>
    <row r="615" spans="1:7">
      <c r="A615" s="5" t="s">
        <v>1360</v>
      </c>
      <c r="B615" s="5" t="s">
        <v>154</v>
      </c>
      <c r="C615" s="5" t="s">
        <v>404</v>
      </c>
      <c r="D615" s="5">
        <v>90</v>
      </c>
      <c r="E615" s="5">
        <v>100</v>
      </c>
      <c r="F615" s="5">
        <v>10</v>
      </c>
      <c r="G615" s="5" t="s">
        <v>1361</v>
      </c>
    </row>
    <row r="616" spans="1:7">
      <c r="A616" s="5" t="s">
        <v>1362</v>
      </c>
      <c r="B616" s="5" t="s">
        <v>154</v>
      </c>
      <c r="C616" s="5" t="s">
        <v>404</v>
      </c>
      <c r="D616" s="5">
        <v>90</v>
      </c>
      <c r="E616" s="5">
        <v>100</v>
      </c>
      <c r="F616" s="5">
        <v>10</v>
      </c>
      <c r="G616" s="5" t="s">
        <v>661</v>
      </c>
    </row>
    <row r="617" spans="1:7">
      <c r="A617" s="5" t="s">
        <v>1363</v>
      </c>
      <c r="B617" s="5" t="s">
        <v>154</v>
      </c>
      <c r="C617" s="5" t="s">
        <v>404</v>
      </c>
      <c r="D617" s="5">
        <v>90</v>
      </c>
      <c r="E617" s="5">
        <v>100</v>
      </c>
      <c r="F617" s="5">
        <v>10</v>
      </c>
      <c r="G617" s="5" t="s">
        <v>405</v>
      </c>
    </row>
    <row r="618" spans="1:7">
      <c r="A618" s="5" t="s">
        <v>1364</v>
      </c>
      <c r="B618" s="5" t="s">
        <v>138</v>
      </c>
      <c r="C618" s="5" t="s">
        <v>327</v>
      </c>
      <c r="D618" s="5">
        <v>140</v>
      </c>
      <c r="E618" s="5">
        <v>90</v>
      </c>
      <c r="F618" s="5">
        <v>5</v>
      </c>
      <c r="G618" s="5" t="s">
        <v>1107</v>
      </c>
    </row>
    <row r="619" spans="1:7">
      <c r="A619" s="5" t="s">
        <v>1365</v>
      </c>
      <c r="B619" s="5" t="s">
        <v>54</v>
      </c>
      <c r="C619" s="5" t="s">
        <v>327</v>
      </c>
      <c r="D619" s="5">
        <v>110</v>
      </c>
      <c r="E619" s="5">
        <v>85</v>
      </c>
      <c r="F619" s="5">
        <v>10</v>
      </c>
      <c r="G619" s="5" t="s">
        <v>405</v>
      </c>
    </row>
    <row r="620" spans="1:7">
      <c r="A620" s="5" t="s">
        <v>1366</v>
      </c>
      <c r="B620" s="5" t="s">
        <v>154</v>
      </c>
      <c r="C620" s="5" t="s">
        <v>404</v>
      </c>
      <c r="D620" s="5">
        <v>120</v>
      </c>
      <c r="E620" s="5">
        <v>85</v>
      </c>
      <c r="F620" s="5">
        <v>10</v>
      </c>
      <c r="G620" s="5" t="s">
        <v>405</v>
      </c>
    </row>
    <row r="621" spans="1:7">
      <c r="A621" s="5" t="s">
        <v>1367</v>
      </c>
      <c r="B621" s="5" t="s">
        <v>431</v>
      </c>
      <c r="C621" s="5" t="s">
        <v>404</v>
      </c>
      <c r="D621" s="5">
        <v>120</v>
      </c>
      <c r="E621" s="5">
        <v>100</v>
      </c>
      <c r="F621" s="5">
        <v>5</v>
      </c>
      <c r="G621" s="5" t="s">
        <v>985</v>
      </c>
    </row>
    <row r="622" spans="1:7">
      <c r="A622" s="5" t="s">
        <v>1368</v>
      </c>
      <c r="B622" s="5" t="s">
        <v>62</v>
      </c>
      <c r="C622" s="5" t="s">
        <v>404</v>
      </c>
      <c r="D622" s="5">
        <v>100</v>
      </c>
      <c r="E622" s="5"/>
      <c r="F622" s="5">
        <v>5</v>
      </c>
      <c r="G622" s="5" t="s">
        <v>1328</v>
      </c>
    </row>
    <row r="623" spans="1:7">
      <c r="A623" s="5" t="s">
        <v>1369</v>
      </c>
      <c r="B623" s="5" t="s">
        <v>129</v>
      </c>
      <c r="C623" s="5" t="s">
        <v>404</v>
      </c>
      <c r="D623" s="5"/>
      <c r="E623" s="5"/>
      <c r="F623" s="5">
        <v>1</v>
      </c>
      <c r="G623" s="5" t="s">
        <v>405</v>
      </c>
    </row>
    <row r="624" spans="1:7">
      <c r="A624" s="5" t="s">
        <v>1370</v>
      </c>
      <c r="B624" s="5" t="s">
        <v>129</v>
      </c>
      <c r="C624" s="5" t="s">
        <v>327</v>
      </c>
      <c r="D624" s="5"/>
      <c r="E624" s="5"/>
      <c r="F624" s="5">
        <v>1</v>
      </c>
      <c r="G624" s="5" t="s">
        <v>405</v>
      </c>
    </row>
    <row r="625" spans="1:7">
      <c r="A625" s="5" t="s">
        <v>1371</v>
      </c>
      <c r="B625" s="5" t="s">
        <v>337</v>
      </c>
      <c r="C625" s="5" t="s">
        <v>404</v>
      </c>
      <c r="D625" s="5"/>
      <c r="E625" s="5"/>
      <c r="F625" s="5">
        <v>1</v>
      </c>
      <c r="G625" s="5" t="s">
        <v>405</v>
      </c>
    </row>
    <row r="626" spans="1:7">
      <c r="A626" s="5" t="s">
        <v>1372</v>
      </c>
      <c r="B626" s="5" t="s">
        <v>337</v>
      </c>
      <c r="C626" s="5" t="s">
        <v>327</v>
      </c>
      <c r="D626" s="5"/>
      <c r="E626" s="5"/>
      <c r="F626" s="5">
        <v>1</v>
      </c>
      <c r="G626" s="5" t="s">
        <v>405</v>
      </c>
    </row>
    <row r="627" spans="1:7">
      <c r="A627" s="5" t="s">
        <v>1373</v>
      </c>
      <c r="B627" s="5" t="s">
        <v>431</v>
      </c>
      <c r="C627" s="5" t="s">
        <v>404</v>
      </c>
      <c r="D627" s="5"/>
      <c r="E627" s="5"/>
      <c r="F627" s="5">
        <v>1</v>
      </c>
      <c r="G627" s="5" t="s">
        <v>405</v>
      </c>
    </row>
    <row r="628" spans="1:7">
      <c r="A628" s="5" t="s">
        <v>1374</v>
      </c>
      <c r="B628" s="5" t="s">
        <v>431</v>
      </c>
      <c r="C628" s="5" t="s">
        <v>327</v>
      </c>
      <c r="D628" s="5"/>
      <c r="E628" s="5"/>
      <c r="F628" s="5">
        <v>1</v>
      </c>
      <c r="G628" s="5" t="s">
        <v>405</v>
      </c>
    </row>
    <row r="629" spans="1:7">
      <c r="A629" s="5" t="s">
        <v>1375</v>
      </c>
      <c r="B629" s="5" t="s">
        <v>341</v>
      </c>
      <c r="C629" s="5" t="s">
        <v>404</v>
      </c>
      <c r="D629" s="5"/>
      <c r="E629" s="5"/>
      <c r="F629" s="5">
        <v>1</v>
      </c>
      <c r="G629" s="5" t="s">
        <v>405</v>
      </c>
    </row>
    <row r="630" spans="1:7">
      <c r="A630" s="5" t="s">
        <v>1376</v>
      </c>
      <c r="B630" s="5" t="s">
        <v>341</v>
      </c>
      <c r="C630" s="5" t="s">
        <v>327</v>
      </c>
      <c r="D630" s="5"/>
      <c r="E630" s="5"/>
      <c r="F630" s="5">
        <v>1</v>
      </c>
      <c r="G630" s="5" t="s">
        <v>405</v>
      </c>
    </row>
    <row r="631" spans="1:7">
      <c r="A631" s="5" t="s">
        <v>1377</v>
      </c>
      <c r="B631" s="5" t="s">
        <v>154</v>
      </c>
      <c r="C631" s="5" t="s">
        <v>404</v>
      </c>
      <c r="D631" s="5"/>
      <c r="E631" s="5"/>
      <c r="F631" s="5">
        <v>1</v>
      </c>
      <c r="G631" s="5" t="s">
        <v>405</v>
      </c>
    </row>
    <row r="632" spans="1:7">
      <c r="A632" s="5" t="s">
        <v>1378</v>
      </c>
      <c r="B632" s="5" t="s">
        <v>154</v>
      </c>
      <c r="C632" s="5" t="s">
        <v>327</v>
      </c>
      <c r="D632" s="5"/>
      <c r="E632" s="5"/>
      <c r="F632" s="5">
        <v>1</v>
      </c>
      <c r="G632" s="5" t="s">
        <v>405</v>
      </c>
    </row>
    <row r="633" spans="1:7">
      <c r="A633" s="5" t="s">
        <v>1379</v>
      </c>
      <c r="B633" s="5" t="s">
        <v>540</v>
      </c>
      <c r="C633" s="5" t="s">
        <v>404</v>
      </c>
      <c r="D633" s="5"/>
      <c r="E633" s="5"/>
      <c r="F633" s="5">
        <v>1</v>
      </c>
      <c r="G633" s="5" t="s">
        <v>405</v>
      </c>
    </row>
    <row r="634" spans="1:7">
      <c r="A634" s="5" t="s">
        <v>1380</v>
      </c>
      <c r="B634" s="5" t="s">
        <v>540</v>
      </c>
      <c r="C634" s="5" t="s">
        <v>327</v>
      </c>
      <c r="D634" s="5"/>
      <c r="E634" s="5"/>
      <c r="F634" s="5">
        <v>1</v>
      </c>
      <c r="G634" s="5" t="s">
        <v>405</v>
      </c>
    </row>
    <row r="635" spans="1:7">
      <c r="A635" s="5" t="s">
        <v>1381</v>
      </c>
      <c r="B635" s="5" t="s">
        <v>164</v>
      </c>
      <c r="C635" s="5" t="s">
        <v>404</v>
      </c>
      <c r="D635" s="5"/>
      <c r="E635" s="5"/>
      <c r="F635" s="5">
        <v>1</v>
      </c>
      <c r="G635" s="5" t="s">
        <v>405</v>
      </c>
    </row>
    <row r="636" spans="1:7">
      <c r="A636" s="5" t="s">
        <v>1382</v>
      </c>
      <c r="B636" s="5" t="s">
        <v>164</v>
      </c>
      <c r="C636" s="5" t="s">
        <v>327</v>
      </c>
      <c r="D636" s="5"/>
      <c r="E636" s="5"/>
      <c r="F636" s="5">
        <v>1</v>
      </c>
      <c r="G636" s="5" t="s">
        <v>405</v>
      </c>
    </row>
    <row r="637" spans="1:7">
      <c r="A637" s="5" t="s">
        <v>1383</v>
      </c>
      <c r="B637" s="5" t="s">
        <v>363</v>
      </c>
      <c r="C637" s="5" t="s">
        <v>404</v>
      </c>
      <c r="D637" s="5"/>
      <c r="E637" s="5"/>
      <c r="F637" s="5">
        <v>1</v>
      </c>
      <c r="G637" s="5" t="s">
        <v>405</v>
      </c>
    </row>
    <row r="638" spans="1:7">
      <c r="A638" s="5" t="s">
        <v>1384</v>
      </c>
      <c r="B638" s="5" t="s">
        <v>363</v>
      </c>
      <c r="C638" s="5" t="s">
        <v>327</v>
      </c>
      <c r="D638" s="5"/>
      <c r="E638" s="5"/>
      <c r="F638" s="5">
        <v>1</v>
      </c>
      <c r="G638" s="5" t="s">
        <v>405</v>
      </c>
    </row>
    <row r="639" spans="1:7">
      <c r="A639" s="5" t="s">
        <v>1385</v>
      </c>
      <c r="B639" s="5" t="s">
        <v>726</v>
      </c>
      <c r="C639" s="5" t="s">
        <v>404</v>
      </c>
      <c r="D639" s="5"/>
      <c r="E639" s="5"/>
      <c r="F639" s="5">
        <v>1</v>
      </c>
      <c r="G639" s="5" t="s">
        <v>405</v>
      </c>
    </row>
    <row r="640" spans="1:7">
      <c r="A640" s="5" t="s">
        <v>1386</v>
      </c>
      <c r="B640" s="5" t="s">
        <v>726</v>
      </c>
      <c r="C640" s="5" t="s">
        <v>327</v>
      </c>
      <c r="D640" s="5"/>
      <c r="E640" s="5"/>
      <c r="F640" s="5">
        <v>1</v>
      </c>
      <c r="G640" s="5" t="s">
        <v>405</v>
      </c>
    </row>
    <row r="641" spans="1:7">
      <c r="A641" s="5" t="s">
        <v>1387</v>
      </c>
      <c r="B641" s="5" t="s">
        <v>59</v>
      </c>
      <c r="C641" s="5" t="s">
        <v>404</v>
      </c>
      <c r="D641" s="5"/>
      <c r="E641" s="5"/>
      <c r="F641" s="5">
        <v>1</v>
      </c>
      <c r="G641" s="5" t="s">
        <v>405</v>
      </c>
    </row>
    <row r="642" spans="1:7">
      <c r="A642" s="5" t="s">
        <v>1388</v>
      </c>
      <c r="B642" s="5" t="s">
        <v>59</v>
      </c>
      <c r="C642" s="5" t="s">
        <v>327</v>
      </c>
      <c r="D642" s="5"/>
      <c r="E642" s="5"/>
      <c r="F642" s="5">
        <v>1</v>
      </c>
      <c r="G642" s="5" t="s">
        <v>405</v>
      </c>
    </row>
    <row r="643" spans="1:7">
      <c r="A643" s="5" t="s">
        <v>1389</v>
      </c>
      <c r="B643" s="5" t="s">
        <v>54</v>
      </c>
      <c r="C643" s="5" t="s">
        <v>404</v>
      </c>
      <c r="D643" s="5"/>
      <c r="E643" s="5"/>
      <c r="F643" s="5">
        <v>1</v>
      </c>
      <c r="G643" s="5" t="s">
        <v>405</v>
      </c>
    </row>
    <row r="644" spans="1:7">
      <c r="A644" s="5" t="s">
        <v>1390</v>
      </c>
      <c r="B644" s="5" t="s">
        <v>54</v>
      </c>
      <c r="C644" s="5" t="s">
        <v>327</v>
      </c>
      <c r="D644" s="5"/>
      <c r="E644" s="5"/>
      <c r="F644" s="5">
        <v>1</v>
      </c>
      <c r="G644" s="5" t="s">
        <v>405</v>
      </c>
    </row>
    <row r="645" spans="1:7">
      <c r="A645" s="5" t="s">
        <v>1391</v>
      </c>
      <c r="B645" s="5" t="s">
        <v>82</v>
      </c>
      <c r="C645" s="5" t="s">
        <v>404</v>
      </c>
      <c r="D645" s="5"/>
      <c r="E645" s="5"/>
      <c r="F645" s="5">
        <v>1</v>
      </c>
      <c r="G645" s="5" t="s">
        <v>405</v>
      </c>
    </row>
    <row r="646" spans="1:7">
      <c r="A646" s="5" t="s">
        <v>1392</v>
      </c>
      <c r="B646" s="5" t="s">
        <v>82</v>
      </c>
      <c r="C646" s="5" t="s">
        <v>327</v>
      </c>
      <c r="D646" s="5"/>
      <c r="E646" s="5"/>
      <c r="F646" s="5">
        <v>1</v>
      </c>
      <c r="G646" s="5" t="s">
        <v>405</v>
      </c>
    </row>
    <row r="647" spans="1:7">
      <c r="A647" s="5" t="s">
        <v>1393</v>
      </c>
      <c r="B647" s="5" t="s">
        <v>76</v>
      </c>
      <c r="C647" s="5" t="s">
        <v>404</v>
      </c>
      <c r="D647" s="5"/>
      <c r="E647" s="5"/>
      <c r="F647" s="5">
        <v>1</v>
      </c>
      <c r="G647" s="5" t="s">
        <v>405</v>
      </c>
    </row>
    <row r="648" spans="1:7">
      <c r="A648" s="5" t="s">
        <v>1394</v>
      </c>
      <c r="B648" s="5" t="s">
        <v>76</v>
      </c>
      <c r="C648" s="5" t="s">
        <v>327</v>
      </c>
      <c r="D648" s="5"/>
      <c r="E648" s="5"/>
      <c r="F648" s="5">
        <v>1</v>
      </c>
      <c r="G648" s="5" t="s">
        <v>405</v>
      </c>
    </row>
    <row r="649" spans="1:7">
      <c r="A649" s="5" t="s">
        <v>1395</v>
      </c>
      <c r="B649" s="5" t="s">
        <v>32</v>
      </c>
      <c r="C649" s="5" t="s">
        <v>404</v>
      </c>
      <c r="D649" s="5"/>
      <c r="E649" s="5"/>
      <c r="F649" s="5">
        <v>1</v>
      </c>
      <c r="G649" s="5" t="s">
        <v>405</v>
      </c>
    </row>
    <row r="650" spans="1:7">
      <c r="A650" s="5" t="s">
        <v>1396</v>
      </c>
      <c r="B650" s="5" t="s">
        <v>32</v>
      </c>
      <c r="C650" s="5" t="s">
        <v>327</v>
      </c>
      <c r="D650" s="5"/>
      <c r="E650" s="5"/>
      <c r="F650" s="5">
        <v>1</v>
      </c>
      <c r="G650" s="5" t="s">
        <v>405</v>
      </c>
    </row>
    <row r="651" spans="1:7">
      <c r="A651" s="5" t="s">
        <v>1397</v>
      </c>
      <c r="B651" s="5" t="s">
        <v>64</v>
      </c>
      <c r="C651" s="5" t="s">
        <v>404</v>
      </c>
      <c r="D651" s="5"/>
      <c r="E651" s="5"/>
      <c r="F651" s="5">
        <v>1</v>
      </c>
      <c r="G651" s="5" t="s">
        <v>405</v>
      </c>
    </row>
    <row r="652" spans="1:7">
      <c r="A652" s="5" t="s">
        <v>1398</v>
      </c>
      <c r="B652" s="5" t="s">
        <v>64</v>
      </c>
      <c r="C652" s="5" t="s">
        <v>327</v>
      </c>
      <c r="D652" s="5"/>
      <c r="E652" s="5"/>
      <c r="F652" s="5">
        <v>1</v>
      </c>
      <c r="G652" s="5" t="s">
        <v>405</v>
      </c>
    </row>
    <row r="653" spans="1:7">
      <c r="A653" s="5" t="s">
        <v>1399</v>
      </c>
      <c r="B653" s="5" t="s">
        <v>336</v>
      </c>
      <c r="C653" s="5" t="s">
        <v>404</v>
      </c>
      <c r="D653" s="5"/>
      <c r="E653" s="5"/>
      <c r="F653" s="5">
        <v>1</v>
      </c>
      <c r="G653" s="5" t="s">
        <v>405</v>
      </c>
    </row>
    <row r="654" spans="1:7">
      <c r="A654" s="5" t="s">
        <v>1400</v>
      </c>
      <c r="B654" s="5" t="s">
        <v>336</v>
      </c>
      <c r="C654" s="5" t="s">
        <v>327</v>
      </c>
      <c r="D654" s="5"/>
      <c r="E654" s="5"/>
      <c r="F654" s="5">
        <v>1</v>
      </c>
      <c r="G654" s="5" t="s">
        <v>405</v>
      </c>
    </row>
    <row r="655" spans="1:7">
      <c r="A655" s="5" t="s">
        <v>1401</v>
      </c>
      <c r="B655" s="5" t="s">
        <v>62</v>
      </c>
      <c r="C655" s="5" t="s">
        <v>404</v>
      </c>
      <c r="D655" s="5"/>
      <c r="E655" s="5"/>
      <c r="F655" s="5">
        <v>1</v>
      </c>
      <c r="G655" s="5" t="s">
        <v>405</v>
      </c>
    </row>
    <row r="656" spans="1:7">
      <c r="A656" s="5" t="s">
        <v>1402</v>
      </c>
      <c r="B656" s="5" t="s">
        <v>62</v>
      </c>
      <c r="C656" s="5" t="s">
        <v>327</v>
      </c>
      <c r="D656" s="5"/>
      <c r="E656" s="5"/>
      <c r="F656" s="5">
        <v>1</v>
      </c>
      <c r="G656" s="5" t="s">
        <v>405</v>
      </c>
    </row>
    <row r="657" spans="1:7">
      <c r="A657" s="5" t="s">
        <v>1403</v>
      </c>
      <c r="B657" s="5" t="s">
        <v>138</v>
      </c>
      <c r="C657" s="5" t="s">
        <v>404</v>
      </c>
      <c r="D657" s="5"/>
      <c r="E657" s="5"/>
      <c r="F657" s="5">
        <v>1</v>
      </c>
      <c r="G657" s="5" t="s">
        <v>405</v>
      </c>
    </row>
    <row r="658" spans="1:7">
      <c r="A658" s="5" t="s">
        <v>1404</v>
      </c>
      <c r="B658" s="5" t="s">
        <v>138</v>
      </c>
      <c r="C658" s="5" t="s">
        <v>327</v>
      </c>
      <c r="D658" s="5"/>
      <c r="E658" s="5"/>
      <c r="F658" s="5">
        <v>1</v>
      </c>
      <c r="G658" s="5" t="s">
        <v>405</v>
      </c>
    </row>
    <row r="659" spans="1:7">
      <c r="A659" s="5" t="s">
        <v>1405</v>
      </c>
      <c r="B659" s="5" t="s">
        <v>76</v>
      </c>
      <c r="C659" s="5" t="s">
        <v>404</v>
      </c>
      <c r="D659" s="5">
        <v>210</v>
      </c>
      <c r="E659" s="5"/>
      <c r="F659" s="5">
        <v>1</v>
      </c>
      <c r="G659" s="5" t="s">
        <v>405</v>
      </c>
    </row>
    <row r="660" spans="1:7">
      <c r="A660" s="5" t="s">
        <v>1406</v>
      </c>
      <c r="B660" s="5" t="s">
        <v>154</v>
      </c>
      <c r="C660" s="5" t="s">
        <v>427</v>
      </c>
      <c r="D660" s="5"/>
      <c r="E660" s="5"/>
      <c r="F660" s="5">
        <v>5</v>
      </c>
      <c r="G660" s="5" t="s">
        <v>1407</v>
      </c>
    </row>
    <row r="661" spans="1:7">
      <c r="A661" s="5" t="s">
        <v>1408</v>
      </c>
      <c r="B661" s="5" t="s">
        <v>164</v>
      </c>
      <c r="C661" s="5" t="s">
        <v>404</v>
      </c>
      <c r="D661" s="5">
        <v>90</v>
      </c>
      <c r="E661" s="5">
        <v>100</v>
      </c>
      <c r="F661" s="5">
        <v>10</v>
      </c>
      <c r="G661" s="5" t="s">
        <v>1409</v>
      </c>
    </row>
    <row r="662" spans="1:7">
      <c r="A662" s="5" t="s">
        <v>1410</v>
      </c>
      <c r="B662" s="5" t="s">
        <v>341</v>
      </c>
      <c r="C662" s="5" t="s">
        <v>427</v>
      </c>
      <c r="D662" s="5"/>
      <c r="E662" s="5"/>
      <c r="F662" s="5">
        <v>10</v>
      </c>
      <c r="G662" s="5" t="s">
        <v>1411</v>
      </c>
    </row>
    <row r="663" spans="1:7">
      <c r="A663" s="5" t="s">
        <v>1412</v>
      </c>
      <c r="B663" s="5" t="s">
        <v>363</v>
      </c>
      <c r="C663" s="5" t="s">
        <v>404</v>
      </c>
      <c r="D663" s="5">
        <v>80</v>
      </c>
      <c r="E663" s="5">
        <v>100</v>
      </c>
      <c r="F663" s="5">
        <v>10</v>
      </c>
      <c r="G663" s="5" t="s">
        <v>1413</v>
      </c>
    </row>
    <row r="664" spans="1:7">
      <c r="A664" s="5" t="s">
        <v>1414</v>
      </c>
      <c r="B664" s="5" t="s">
        <v>62</v>
      </c>
      <c r="C664" s="5" t="s">
        <v>404</v>
      </c>
      <c r="D664" s="5">
        <v>85</v>
      </c>
      <c r="E664" s="5">
        <v>100</v>
      </c>
      <c r="F664" s="5">
        <v>10</v>
      </c>
      <c r="G664" s="5" t="s">
        <v>1179</v>
      </c>
    </row>
    <row r="665" spans="1:7">
      <c r="A665" s="5" t="s">
        <v>1415</v>
      </c>
      <c r="B665" s="5" t="s">
        <v>54</v>
      </c>
      <c r="C665" s="5" t="s">
        <v>327</v>
      </c>
      <c r="D665" s="5">
        <v>90</v>
      </c>
      <c r="E665" s="5">
        <v>100</v>
      </c>
      <c r="F665" s="5">
        <v>10</v>
      </c>
      <c r="G665" s="5" t="s">
        <v>1416</v>
      </c>
    </row>
    <row r="666" spans="1:7">
      <c r="A666" s="5" t="s">
        <v>1417</v>
      </c>
      <c r="B666" s="5" t="s">
        <v>64</v>
      </c>
      <c r="C666" s="5" t="s">
        <v>404</v>
      </c>
      <c r="D666" s="5">
        <v>100</v>
      </c>
      <c r="E666" s="5">
        <v>90</v>
      </c>
      <c r="F666" s="5">
        <v>10</v>
      </c>
      <c r="G666" s="5" t="s">
        <v>963</v>
      </c>
    </row>
    <row r="667" spans="1:7">
      <c r="A667" s="5" t="s">
        <v>1418</v>
      </c>
      <c r="B667" s="5" t="s">
        <v>138</v>
      </c>
      <c r="C667" s="5" t="s">
        <v>427</v>
      </c>
      <c r="D667" s="5"/>
      <c r="E667" s="5"/>
      <c r="F667" s="5">
        <v>10</v>
      </c>
      <c r="G667" s="5" t="s">
        <v>1419</v>
      </c>
    </row>
    <row r="668" spans="1:7">
      <c r="A668" s="5" t="s">
        <v>1420</v>
      </c>
      <c r="B668" s="5" t="s">
        <v>154</v>
      </c>
      <c r="C668" s="5" t="s">
        <v>404</v>
      </c>
      <c r="D668" s="5">
        <v>95</v>
      </c>
      <c r="E668" s="5">
        <v>95</v>
      </c>
      <c r="F668" s="5">
        <v>10</v>
      </c>
      <c r="G668" s="5" t="s">
        <v>405</v>
      </c>
    </row>
    <row r="669" spans="1:7">
      <c r="A669" s="5" t="s">
        <v>1421</v>
      </c>
      <c r="B669" s="5" t="s">
        <v>82</v>
      </c>
      <c r="C669" s="5" t="s">
        <v>427</v>
      </c>
      <c r="D669" s="5"/>
      <c r="E669" s="5">
        <v>100</v>
      </c>
      <c r="F669" s="5">
        <v>10</v>
      </c>
      <c r="G669" s="5" t="s">
        <v>1422</v>
      </c>
    </row>
    <row r="670" spans="1:7">
      <c r="A670" s="5" t="s">
        <v>1423</v>
      </c>
      <c r="B670" s="5" t="s">
        <v>82</v>
      </c>
      <c r="C670" s="5" t="s">
        <v>404</v>
      </c>
      <c r="D670" s="5">
        <v>125</v>
      </c>
      <c r="E670" s="5">
        <v>100</v>
      </c>
      <c r="F670" s="5">
        <v>10</v>
      </c>
      <c r="G670" s="5" t="s">
        <v>425</v>
      </c>
    </row>
    <row r="671" spans="1:7">
      <c r="A671" s="5" t="s">
        <v>1424</v>
      </c>
      <c r="B671" s="5" t="s">
        <v>82</v>
      </c>
      <c r="C671" s="5" t="s">
        <v>404</v>
      </c>
      <c r="D671" s="5">
        <v>40</v>
      </c>
      <c r="E671" s="5">
        <v>100</v>
      </c>
      <c r="F671" s="5">
        <v>40</v>
      </c>
      <c r="G671" s="5" t="s">
        <v>405</v>
      </c>
    </row>
    <row r="672" spans="1:7">
      <c r="A672" s="5" t="s">
        <v>1425</v>
      </c>
      <c r="B672" s="5" t="s">
        <v>129</v>
      </c>
      <c r="C672" s="5" t="s">
        <v>427</v>
      </c>
      <c r="D672" s="5"/>
      <c r="E672" s="5"/>
      <c r="F672" s="5">
        <v>15</v>
      </c>
      <c r="G672" s="5" t="s">
        <v>1426</v>
      </c>
    </row>
    <row r="673" spans="1:7">
      <c r="A673" s="5" t="s">
        <v>1427</v>
      </c>
      <c r="B673" s="5" t="s">
        <v>341</v>
      </c>
      <c r="C673" s="5" t="s">
        <v>427</v>
      </c>
      <c r="D673" s="5"/>
      <c r="E673" s="5">
        <v>100</v>
      </c>
      <c r="F673" s="5">
        <v>20</v>
      </c>
      <c r="G673" s="5" t="s">
        <v>1428</v>
      </c>
    </row>
    <row r="674" spans="1:7">
      <c r="A674" s="5" t="s">
        <v>1429</v>
      </c>
      <c r="B674" s="5" t="s">
        <v>129</v>
      </c>
      <c r="C674" s="5" t="s">
        <v>427</v>
      </c>
      <c r="D674" s="5"/>
      <c r="E674" s="5"/>
      <c r="F674" s="5">
        <v>30</v>
      </c>
      <c r="G674" s="5" t="s">
        <v>1430</v>
      </c>
    </row>
    <row r="675" spans="1:7">
      <c r="A675" s="5" t="s">
        <v>1431</v>
      </c>
      <c r="B675" s="5" t="s">
        <v>726</v>
      </c>
      <c r="C675" s="5" t="s">
        <v>427</v>
      </c>
      <c r="D675" s="5"/>
      <c r="E675" s="5"/>
      <c r="F675" s="5">
        <v>20</v>
      </c>
      <c r="G675" s="5" t="s">
        <v>1432</v>
      </c>
    </row>
    <row r="676" spans="1:7">
      <c r="A676" s="5" t="s">
        <v>1433</v>
      </c>
      <c r="B676" s="5" t="s">
        <v>62</v>
      </c>
      <c r="C676" s="5" t="s">
        <v>404</v>
      </c>
      <c r="D676" s="5">
        <v>80</v>
      </c>
      <c r="E676" s="5">
        <v>100</v>
      </c>
      <c r="F676" s="5">
        <v>15</v>
      </c>
      <c r="G676" s="5" t="s">
        <v>1434</v>
      </c>
    </row>
    <row r="677" spans="1:7">
      <c r="A677" s="5" t="s">
        <v>1435</v>
      </c>
      <c r="B677" s="5" t="s">
        <v>164</v>
      </c>
      <c r="C677" s="5" t="s">
        <v>327</v>
      </c>
      <c r="D677" s="5">
        <v>90</v>
      </c>
      <c r="E677" s="5">
        <v>100</v>
      </c>
      <c r="F677" s="5">
        <v>15</v>
      </c>
      <c r="G677" s="5" t="s">
        <v>1436</v>
      </c>
    </row>
    <row r="678" spans="1:7">
      <c r="A678" s="5" t="s">
        <v>1437</v>
      </c>
      <c r="B678" s="5" t="s">
        <v>726</v>
      </c>
      <c r="C678" s="5" t="s">
        <v>404</v>
      </c>
      <c r="D678" s="5">
        <v>80</v>
      </c>
      <c r="E678" s="5">
        <v>100</v>
      </c>
      <c r="F678" s="5">
        <v>20</v>
      </c>
      <c r="G678" s="5" t="s">
        <v>1413</v>
      </c>
    </row>
    <row r="679" spans="1:7">
      <c r="A679" s="5" t="s">
        <v>1438</v>
      </c>
      <c r="B679" s="5" t="s">
        <v>32</v>
      </c>
      <c r="C679" s="5" t="s">
        <v>427</v>
      </c>
      <c r="D679" s="5"/>
      <c r="E679" s="5"/>
      <c r="F679" s="5">
        <v>10</v>
      </c>
      <c r="G679" s="5" t="s">
        <v>1439</v>
      </c>
    </row>
    <row r="680" spans="1:7">
      <c r="A680" s="5" t="s">
        <v>1440</v>
      </c>
      <c r="B680" s="5" t="s">
        <v>164</v>
      </c>
      <c r="C680" s="5" t="s">
        <v>404</v>
      </c>
      <c r="D680" s="5">
        <v>80</v>
      </c>
      <c r="E680" s="5">
        <v>100</v>
      </c>
      <c r="F680" s="5">
        <v>15</v>
      </c>
      <c r="G680" s="5" t="s">
        <v>1441</v>
      </c>
    </row>
    <row r="681" spans="1:7">
      <c r="A681" s="5" t="s">
        <v>1442</v>
      </c>
      <c r="B681" s="5" t="s">
        <v>59</v>
      </c>
      <c r="C681" s="5" t="s">
        <v>404</v>
      </c>
      <c r="D681" s="5">
        <v>80</v>
      </c>
      <c r="E681" s="5">
        <v>100</v>
      </c>
      <c r="F681" s="5">
        <v>15</v>
      </c>
      <c r="G681" s="5" t="s">
        <v>1443</v>
      </c>
    </row>
    <row r="682" spans="1:7">
      <c r="A682" s="5" t="s">
        <v>1444</v>
      </c>
      <c r="B682" s="5" t="s">
        <v>62</v>
      </c>
      <c r="C682" s="5" t="s">
        <v>404</v>
      </c>
      <c r="D682" s="5">
        <v>20</v>
      </c>
      <c r="E682" s="5">
        <v>100</v>
      </c>
      <c r="F682" s="5">
        <v>10</v>
      </c>
      <c r="G682" s="5" t="s">
        <v>1183</v>
      </c>
    </row>
    <row r="683" spans="1:7">
      <c r="A683" s="5" t="s">
        <v>1445</v>
      </c>
      <c r="B683" s="5" t="s">
        <v>59</v>
      </c>
      <c r="C683" s="5" t="s">
        <v>327</v>
      </c>
      <c r="D683" s="5">
        <v>130</v>
      </c>
      <c r="E683" s="5">
        <v>100</v>
      </c>
      <c r="F683" s="5">
        <v>5</v>
      </c>
      <c r="G683" s="5" t="s">
        <v>1446</v>
      </c>
    </row>
    <row r="684" spans="1:7">
      <c r="A684" s="5" t="s">
        <v>1447</v>
      </c>
      <c r="B684" s="5" t="s">
        <v>32</v>
      </c>
      <c r="C684" s="5" t="s">
        <v>427</v>
      </c>
      <c r="D684" s="5"/>
      <c r="E684" s="5"/>
      <c r="F684" s="5">
        <v>10</v>
      </c>
      <c r="G684" s="5" t="s">
        <v>1448</v>
      </c>
    </row>
    <row r="685" spans="1:7">
      <c r="A685" s="5" t="s">
        <v>1449</v>
      </c>
      <c r="B685" s="5" t="s">
        <v>726</v>
      </c>
      <c r="C685" s="5" t="s">
        <v>404</v>
      </c>
      <c r="D685" s="5">
        <v>70</v>
      </c>
      <c r="E685" s="5"/>
      <c r="F685" s="5">
        <v>10</v>
      </c>
      <c r="G685" s="5" t="s">
        <v>604</v>
      </c>
    </row>
    <row r="686" spans="1:7">
      <c r="A686" s="5" t="s">
        <v>1450</v>
      </c>
      <c r="B686" s="5" t="s">
        <v>341</v>
      </c>
      <c r="C686" s="5" t="s">
        <v>427</v>
      </c>
      <c r="D686" s="5"/>
      <c r="E686" s="5"/>
      <c r="F686" s="5">
        <v>20</v>
      </c>
      <c r="G686" s="5" t="s">
        <v>1451</v>
      </c>
    </row>
    <row r="687" spans="1:7">
      <c r="A687" s="5" t="s">
        <v>1452</v>
      </c>
      <c r="B687" s="5" t="s">
        <v>129</v>
      </c>
      <c r="C687" s="5" t="s">
        <v>327</v>
      </c>
      <c r="D687" s="5">
        <v>90</v>
      </c>
      <c r="E687" s="5">
        <v>100</v>
      </c>
      <c r="F687" s="5">
        <v>15</v>
      </c>
      <c r="G687" s="5" t="s">
        <v>1453</v>
      </c>
    </row>
    <row r="688" spans="1:7">
      <c r="A688" s="5" t="s">
        <v>1454</v>
      </c>
      <c r="B688" s="5" t="s">
        <v>336</v>
      </c>
      <c r="C688" s="5" t="s">
        <v>327</v>
      </c>
      <c r="D688" s="5">
        <v>100</v>
      </c>
      <c r="E688" s="5">
        <v>100</v>
      </c>
      <c r="F688" s="5">
        <v>10</v>
      </c>
      <c r="G688" s="5" t="s">
        <v>1455</v>
      </c>
    </row>
    <row r="689" spans="1:7">
      <c r="A689" s="5" t="s">
        <v>1456</v>
      </c>
      <c r="B689" s="5" t="s">
        <v>82</v>
      </c>
      <c r="C689" s="5" t="s">
        <v>404</v>
      </c>
      <c r="D689" s="5">
        <v>70</v>
      </c>
      <c r="E689" s="5">
        <v>100</v>
      </c>
      <c r="F689" s="5">
        <v>15</v>
      </c>
      <c r="G689" s="5" t="s">
        <v>1441</v>
      </c>
    </row>
    <row r="690" spans="1:7">
      <c r="A690" s="5" t="s">
        <v>1457</v>
      </c>
      <c r="B690" s="5" t="s">
        <v>32</v>
      </c>
      <c r="C690" s="5" t="s">
        <v>427</v>
      </c>
      <c r="D690" s="5"/>
      <c r="E690" s="5"/>
      <c r="F690" s="5">
        <v>15</v>
      </c>
      <c r="G690" s="5" t="s">
        <v>1458</v>
      </c>
    </row>
    <row r="691" spans="1:7">
      <c r="A691" s="5" t="s">
        <v>1459</v>
      </c>
      <c r="B691" s="5" t="s">
        <v>431</v>
      </c>
      <c r="C691" s="5" t="s">
        <v>404</v>
      </c>
      <c r="D691" s="5">
        <v>100</v>
      </c>
      <c r="E691" s="5">
        <v>100</v>
      </c>
      <c r="F691" s="5">
        <v>15</v>
      </c>
      <c r="G691" s="5" t="s">
        <v>1460</v>
      </c>
    </row>
    <row r="692" spans="1:7">
      <c r="A692" s="5" t="s">
        <v>1461</v>
      </c>
      <c r="B692" s="5" t="s">
        <v>336</v>
      </c>
      <c r="C692" s="5" t="s">
        <v>327</v>
      </c>
      <c r="D692" s="5">
        <v>110</v>
      </c>
      <c r="E692" s="5">
        <v>100</v>
      </c>
      <c r="F692" s="5">
        <v>5</v>
      </c>
      <c r="G692" s="5" t="s">
        <v>1462</v>
      </c>
    </row>
    <row r="693" spans="1:7">
      <c r="A693" s="5" t="s">
        <v>1463</v>
      </c>
      <c r="B693" s="5" t="s">
        <v>336</v>
      </c>
      <c r="C693" s="5" t="s">
        <v>404</v>
      </c>
      <c r="D693" s="5">
        <v>90</v>
      </c>
      <c r="E693" s="5">
        <v>100</v>
      </c>
      <c r="F693" s="5">
        <v>15</v>
      </c>
      <c r="G693" s="5" t="s">
        <v>405</v>
      </c>
    </row>
    <row r="694" spans="1:7">
      <c r="A694" s="5" t="s">
        <v>1464</v>
      </c>
      <c r="B694" s="5" t="s">
        <v>62</v>
      </c>
      <c r="C694" s="5" t="s">
        <v>404</v>
      </c>
      <c r="D694" s="5">
        <v>60</v>
      </c>
      <c r="E694" s="5">
        <v>100</v>
      </c>
      <c r="F694" s="5">
        <v>20</v>
      </c>
      <c r="G694" s="5" t="s">
        <v>405</v>
      </c>
    </row>
    <row r="695" spans="1:7">
      <c r="A695" s="5" t="s">
        <v>1465</v>
      </c>
      <c r="B695" s="5" t="s">
        <v>64</v>
      </c>
      <c r="C695" s="5" t="s">
        <v>427</v>
      </c>
      <c r="D695" s="5"/>
      <c r="E695" s="5"/>
      <c r="F695" s="5">
        <v>20</v>
      </c>
      <c r="G695" s="5" t="s">
        <v>1466</v>
      </c>
    </row>
    <row r="696" spans="1:7">
      <c r="A696" s="5" t="s">
        <v>1467</v>
      </c>
      <c r="B696" s="5" t="s">
        <v>363</v>
      </c>
      <c r="C696" s="5" t="s">
        <v>404</v>
      </c>
      <c r="D696" s="5">
        <v>180</v>
      </c>
      <c r="E696" s="5"/>
      <c r="F696" s="5">
        <v>1</v>
      </c>
      <c r="G696" s="5" t="s">
        <v>405</v>
      </c>
    </row>
    <row r="697" spans="1:7">
      <c r="A697" s="5" t="s">
        <v>1468</v>
      </c>
      <c r="B697" s="5" t="s">
        <v>62</v>
      </c>
      <c r="C697" s="5" t="s">
        <v>404</v>
      </c>
      <c r="D697" s="5">
        <v>180</v>
      </c>
      <c r="E697" s="5"/>
      <c r="F697" s="5">
        <v>1</v>
      </c>
      <c r="G697" s="5" t="s">
        <v>405</v>
      </c>
    </row>
    <row r="698" spans="1:7">
      <c r="A698" s="5" t="s">
        <v>1469</v>
      </c>
      <c r="B698" s="5" t="s">
        <v>54</v>
      </c>
      <c r="C698" s="5" t="s">
        <v>327</v>
      </c>
      <c r="D698" s="5">
        <v>195</v>
      </c>
      <c r="E698" s="5"/>
      <c r="F698" s="5">
        <v>1</v>
      </c>
      <c r="G698" s="5" t="s">
        <v>405</v>
      </c>
    </row>
    <row r="699" spans="1:7">
      <c r="A699" s="5" t="s">
        <v>1470</v>
      </c>
      <c r="B699" s="5" t="s">
        <v>138</v>
      </c>
      <c r="C699" s="5" t="s">
        <v>327</v>
      </c>
      <c r="D699" s="5"/>
      <c r="E699" s="5"/>
      <c r="F699" s="5">
        <v>1</v>
      </c>
      <c r="G699" s="5" t="s">
        <v>1471</v>
      </c>
    </row>
    <row r="700" spans="1:7">
      <c r="A700" s="5" t="s">
        <v>1472</v>
      </c>
      <c r="B700" s="5" t="s">
        <v>363</v>
      </c>
      <c r="C700" s="5" t="s">
        <v>404</v>
      </c>
      <c r="D700" s="5">
        <v>195</v>
      </c>
      <c r="E700" s="5"/>
      <c r="F700" s="5">
        <v>1</v>
      </c>
      <c r="G700" s="5" t="s">
        <v>405</v>
      </c>
    </row>
    <row r="701" spans="1:7">
      <c r="A701" s="5" t="s">
        <v>1473</v>
      </c>
      <c r="B701" s="5" t="s">
        <v>76</v>
      </c>
      <c r="C701" s="5" t="s">
        <v>327</v>
      </c>
      <c r="D701" s="5">
        <v>175</v>
      </c>
      <c r="E701" s="5"/>
      <c r="F701" s="5">
        <v>1</v>
      </c>
      <c r="G701" s="5" t="s">
        <v>419</v>
      </c>
    </row>
    <row r="702" spans="1:7">
      <c r="A702" s="5" t="s">
        <v>1474</v>
      </c>
      <c r="B702" s="5" t="s">
        <v>129</v>
      </c>
      <c r="C702" s="5" t="s">
        <v>404</v>
      </c>
      <c r="D702" s="5">
        <v>210</v>
      </c>
      <c r="E702" s="5"/>
      <c r="F702" s="5">
        <v>1</v>
      </c>
      <c r="G702" s="5" t="s">
        <v>405</v>
      </c>
    </row>
    <row r="703" spans="1:7">
      <c r="A703" s="5" t="s">
        <v>1475</v>
      </c>
      <c r="B703" s="5" t="s">
        <v>129</v>
      </c>
      <c r="C703" s="5" t="s">
        <v>427</v>
      </c>
      <c r="D703" s="5"/>
      <c r="E703" s="5"/>
      <c r="F703" s="5">
        <v>1</v>
      </c>
      <c r="G703" s="5" t="s">
        <v>1476</v>
      </c>
    </row>
    <row r="704" spans="1:7">
      <c r="A704" s="5" t="s">
        <v>1477</v>
      </c>
      <c r="B704" s="5" t="s">
        <v>32</v>
      </c>
      <c r="C704" s="5" t="s">
        <v>327</v>
      </c>
      <c r="D704" s="5">
        <v>185</v>
      </c>
      <c r="E704" s="5"/>
      <c r="F704" s="5">
        <v>1</v>
      </c>
      <c r="G704" s="5" t="s">
        <v>1478</v>
      </c>
    </row>
    <row r="705" spans="1:7">
      <c r="A705" s="5" t="s">
        <v>1479</v>
      </c>
      <c r="B705" s="5" t="s">
        <v>59</v>
      </c>
      <c r="C705" s="5" t="s">
        <v>327</v>
      </c>
      <c r="D705" s="5">
        <v>150</v>
      </c>
      <c r="E705" s="5">
        <v>100</v>
      </c>
      <c r="F705" s="5">
        <v>5</v>
      </c>
      <c r="G705" s="5" t="s">
        <v>1480</v>
      </c>
    </row>
    <row r="706" spans="1:7">
      <c r="A706" s="5" t="s">
        <v>1481</v>
      </c>
      <c r="B706" s="5" t="s">
        <v>138</v>
      </c>
      <c r="C706" s="5" t="s">
        <v>327</v>
      </c>
      <c r="D706" s="5">
        <v>130</v>
      </c>
      <c r="E706" s="5">
        <v>90</v>
      </c>
      <c r="F706" s="5">
        <v>5</v>
      </c>
      <c r="G706" s="5" t="s">
        <v>905</v>
      </c>
    </row>
    <row r="707" spans="1:7">
      <c r="A707" s="5" t="s">
        <v>1482</v>
      </c>
      <c r="B707" s="5" t="s">
        <v>32</v>
      </c>
      <c r="C707" s="5" t="s">
        <v>404</v>
      </c>
      <c r="D707" s="5">
        <v>85</v>
      </c>
      <c r="E707" s="5">
        <v>100</v>
      </c>
      <c r="F707" s="5">
        <v>10</v>
      </c>
      <c r="G707" s="5" t="s">
        <v>850</v>
      </c>
    </row>
    <row r="708" spans="1:7">
      <c r="A708" s="5" t="s">
        <v>1483</v>
      </c>
      <c r="B708" s="5" t="s">
        <v>154</v>
      </c>
      <c r="C708" s="5" t="s">
        <v>404</v>
      </c>
      <c r="D708" s="5">
        <v>75</v>
      </c>
      <c r="E708" s="5">
        <v>100</v>
      </c>
      <c r="F708" s="5">
        <v>10</v>
      </c>
      <c r="G708" s="5" t="s">
        <v>1484</v>
      </c>
    </row>
    <row r="709" spans="1:7">
      <c r="A709" s="5" t="s">
        <v>1485</v>
      </c>
      <c r="B709" s="5" t="s">
        <v>363</v>
      </c>
      <c r="C709" s="5" t="s">
        <v>404</v>
      </c>
      <c r="D709" s="5">
        <v>85</v>
      </c>
      <c r="E709" s="5">
        <v>100</v>
      </c>
      <c r="F709" s="5">
        <v>10</v>
      </c>
      <c r="G709" s="5" t="s">
        <v>762</v>
      </c>
    </row>
    <row r="710" spans="1:7">
      <c r="A710" s="5" t="s">
        <v>1486</v>
      </c>
      <c r="B710" s="5" t="s">
        <v>540</v>
      </c>
      <c r="C710" s="5" t="s">
        <v>404</v>
      </c>
      <c r="D710" s="5">
        <v>40</v>
      </c>
      <c r="E710" s="5">
        <v>100</v>
      </c>
      <c r="F710" s="5">
        <v>20</v>
      </c>
      <c r="G710" s="5" t="s">
        <v>405</v>
      </c>
    </row>
    <row r="711" spans="1:7">
      <c r="A711" s="5" t="s">
        <v>1487</v>
      </c>
      <c r="B711" s="5" t="s">
        <v>54</v>
      </c>
      <c r="C711" s="5" t="s">
        <v>404</v>
      </c>
      <c r="D711" s="5">
        <v>85</v>
      </c>
      <c r="E711" s="5">
        <v>100</v>
      </c>
      <c r="F711" s="5">
        <v>10</v>
      </c>
      <c r="G711" s="5" t="s">
        <v>762</v>
      </c>
    </row>
    <row r="712" spans="1:7">
      <c r="A712" s="5" t="s">
        <v>1488</v>
      </c>
      <c r="B712" s="5" t="s">
        <v>32</v>
      </c>
      <c r="C712" s="5" t="s">
        <v>327</v>
      </c>
      <c r="D712" s="5">
        <v>160</v>
      </c>
      <c r="E712" s="5">
        <v>100</v>
      </c>
      <c r="F712" s="5">
        <v>10</v>
      </c>
      <c r="G712" s="5" t="s">
        <v>504</v>
      </c>
    </row>
    <row r="713" spans="1:7">
      <c r="A713" s="5" t="s">
        <v>1489</v>
      </c>
      <c r="B713" s="5" t="s">
        <v>363</v>
      </c>
      <c r="C713" s="5" t="s">
        <v>404</v>
      </c>
      <c r="D713" s="5">
        <v>90</v>
      </c>
      <c r="E713" s="5">
        <v>100</v>
      </c>
      <c r="F713" s="5">
        <v>10</v>
      </c>
      <c r="G713" s="5" t="s">
        <v>1490</v>
      </c>
    </row>
    <row r="714" spans="1:7">
      <c r="A714" s="5" t="s">
        <v>1491</v>
      </c>
      <c r="B714" s="5" t="s">
        <v>726</v>
      </c>
      <c r="C714" s="5" t="s">
        <v>404</v>
      </c>
      <c r="D714" s="5">
        <v>100</v>
      </c>
      <c r="E714" s="5">
        <v>100</v>
      </c>
      <c r="F714" s="5">
        <v>5</v>
      </c>
      <c r="G714" s="5" t="s">
        <v>1492</v>
      </c>
    </row>
    <row r="715" spans="1:7">
      <c r="A715" s="5" t="s">
        <v>1493</v>
      </c>
      <c r="B715" s="5" t="s">
        <v>363</v>
      </c>
      <c r="C715" s="5" t="s">
        <v>327</v>
      </c>
      <c r="D715" s="5">
        <v>100</v>
      </c>
      <c r="E715" s="5">
        <v>100</v>
      </c>
      <c r="F715" s="5">
        <v>5</v>
      </c>
      <c r="G715" s="5" t="s">
        <v>1492</v>
      </c>
    </row>
    <row r="716" spans="1:7">
      <c r="A716" s="5" t="s">
        <v>1494</v>
      </c>
      <c r="B716" s="5" t="s">
        <v>129</v>
      </c>
      <c r="C716" s="5" t="s">
        <v>427</v>
      </c>
      <c r="D716" s="5"/>
      <c r="E716" s="5"/>
      <c r="F716" s="5">
        <v>20</v>
      </c>
      <c r="G716" s="5" t="s">
        <v>1285</v>
      </c>
    </row>
    <row r="717" spans="1:7">
      <c r="A717" s="5" t="s">
        <v>1495</v>
      </c>
      <c r="B717" s="5" t="s">
        <v>76</v>
      </c>
      <c r="C717" s="5" t="s">
        <v>404</v>
      </c>
      <c r="D717" s="5">
        <v>80</v>
      </c>
      <c r="E717" s="5">
        <v>100</v>
      </c>
      <c r="F717" s="5">
        <v>10</v>
      </c>
      <c r="G717" s="5" t="s">
        <v>443</v>
      </c>
    </row>
    <row r="718" spans="1:7">
      <c r="A718" s="5" t="s">
        <v>1496</v>
      </c>
      <c r="B718" s="5" t="s">
        <v>138</v>
      </c>
      <c r="C718" s="5" t="s">
        <v>327</v>
      </c>
      <c r="D718" s="5"/>
      <c r="E718" s="5">
        <v>90</v>
      </c>
      <c r="F718" s="5">
        <v>10</v>
      </c>
      <c r="G718" s="5" t="s">
        <v>648</v>
      </c>
    </row>
    <row r="719" spans="1:7">
      <c r="A719" s="5" t="s">
        <v>1497</v>
      </c>
      <c r="B719" s="5" t="s">
        <v>129</v>
      </c>
      <c r="C719" s="5" t="s">
        <v>404</v>
      </c>
      <c r="D719" s="5">
        <v>120</v>
      </c>
      <c r="E719" s="5">
        <v>100</v>
      </c>
      <c r="F719" s="5">
        <v>10</v>
      </c>
      <c r="G719" s="5" t="s">
        <v>1097</v>
      </c>
    </row>
    <row r="720" spans="1:7">
      <c r="A720" s="5" t="s">
        <v>1498</v>
      </c>
      <c r="B720" s="5" t="s">
        <v>76</v>
      </c>
      <c r="C720" s="5" t="s">
        <v>327</v>
      </c>
      <c r="D720" s="5">
        <v>195</v>
      </c>
      <c r="E720" s="5"/>
      <c r="F720" s="5">
        <v>1</v>
      </c>
      <c r="G720" s="5" t="s">
        <v>405</v>
      </c>
    </row>
    <row r="721" spans="1:7">
      <c r="A721" s="5" t="s">
        <v>1499</v>
      </c>
      <c r="B721" s="5" t="s">
        <v>59</v>
      </c>
      <c r="C721" s="5" t="s">
        <v>327</v>
      </c>
      <c r="D721" s="5">
        <v>150</v>
      </c>
      <c r="E721" s="5">
        <v>100</v>
      </c>
      <c r="F721" s="5">
        <v>5</v>
      </c>
      <c r="G721" s="5" t="s">
        <v>1500</v>
      </c>
    </row>
    <row r="722" spans="1:7">
      <c r="A722" s="5" t="s">
        <v>1501</v>
      </c>
      <c r="B722" s="5" t="s">
        <v>76</v>
      </c>
      <c r="C722" s="5" t="s">
        <v>404</v>
      </c>
      <c r="D722" s="5">
        <v>100</v>
      </c>
      <c r="E722" s="5">
        <v>100</v>
      </c>
      <c r="F722" s="5">
        <v>15</v>
      </c>
      <c r="G722" s="5" t="s">
        <v>1502</v>
      </c>
    </row>
    <row r="723" spans="1:7">
      <c r="A723" s="5" t="s">
        <v>1503</v>
      </c>
      <c r="B723" s="5" t="s">
        <v>32</v>
      </c>
      <c r="C723" s="5" t="s">
        <v>327</v>
      </c>
      <c r="D723" s="5">
        <v>100</v>
      </c>
      <c r="E723" s="5">
        <v>100</v>
      </c>
      <c r="F723" s="5">
        <v>5</v>
      </c>
      <c r="G723" s="5" t="s">
        <v>405</v>
      </c>
    </row>
    <row r="724" spans="1:7">
      <c r="A724" s="5" t="s">
        <v>1504</v>
      </c>
      <c r="B724" s="5" t="s">
        <v>32</v>
      </c>
      <c r="C724" s="5" t="s">
        <v>327</v>
      </c>
      <c r="D724" s="5">
        <v>200</v>
      </c>
      <c r="E724" s="5"/>
      <c r="F724" s="5">
        <v>1</v>
      </c>
      <c r="G724" s="5" t="s">
        <v>1505</v>
      </c>
    </row>
    <row r="725" spans="1:7">
      <c r="A725" s="5" t="s">
        <v>1506</v>
      </c>
      <c r="B725" s="5" t="s">
        <v>726</v>
      </c>
      <c r="C725" s="5" t="s">
        <v>404</v>
      </c>
      <c r="D725" s="5">
        <v>200</v>
      </c>
      <c r="E725" s="5"/>
      <c r="F725" s="5">
        <v>1</v>
      </c>
      <c r="G725" s="5" t="s">
        <v>1492</v>
      </c>
    </row>
    <row r="726" spans="1:7">
      <c r="A726" s="5" t="s">
        <v>1507</v>
      </c>
      <c r="B726" s="5" t="s">
        <v>363</v>
      </c>
      <c r="C726" s="5" t="s">
        <v>327</v>
      </c>
      <c r="D726" s="5">
        <v>200</v>
      </c>
      <c r="E726" s="5"/>
      <c r="F726" s="5">
        <v>1</v>
      </c>
      <c r="G726" s="5" t="s">
        <v>1492</v>
      </c>
    </row>
    <row r="727" spans="1:7">
      <c r="A727" s="5" t="s">
        <v>1508</v>
      </c>
      <c r="B727" s="5" t="s">
        <v>138</v>
      </c>
      <c r="C727" s="5" t="s">
        <v>404</v>
      </c>
      <c r="D727" s="5">
        <v>190</v>
      </c>
      <c r="E727" s="5"/>
      <c r="F727" s="5">
        <v>1</v>
      </c>
      <c r="G727" s="5" t="s">
        <v>405</v>
      </c>
    </row>
    <row r="728" spans="1:7">
      <c r="A728" s="5" t="s">
        <v>1509</v>
      </c>
      <c r="B728" s="5" t="s">
        <v>540</v>
      </c>
      <c r="C728" s="5" t="s">
        <v>404</v>
      </c>
      <c r="D728" s="5">
        <v>190</v>
      </c>
      <c r="E728" s="5"/>
      <c r="F728" s="5">
        <v>1</v>
      </c>
      <c r="G728" s="5" t="s">
        <v>1510</v>
      </c>
    </row>
    <row r="729" spans="1:7">
      <c r="A729" s="5" t="s">
        <v>1511</v>
      </c>
      <c r="B729" s="5" t="s">
        <v>336</v>
      </c>
      <c r="C729" s="5" t="s">
        <v>327</v>
      </c>
      <c r="D729" s="5">
        <v>185</v>
      </c>
      <c r="E729" s="5"/>
      <c r="F729" s="5">
        <v>1</v>
      </c>
      <c r="G729" s="5" t="s">
        <v>1512</v>
      </c>
    </row>
    <row r="730" spans="1:7">
      <c r="A730" s="5" t="s">
        <v>1513</v>
      </c>
      <c r="B730" s="5" t="s">
        <v>76</v>
      </c>
      <c r="C730" s="5" t="s">
        <v>404</v>
      </c>
      <c r="D730" s="5">
        <v>80</v>
      </c>
      <c r="E730" s="5">
        <v>100</v>
      </c>
      <c r="F730" s="5">
        <v>10</v>
      </c>
      <c r="G730" s="5" t="s">
        <v>405</v>
      </c>
    </row>
    <row r="731" spans="1:7">
      <c r="A731" s="5" t="s">
        <v>1514</v>
      </c>
      <c r="B731" s="5" t="s">
        <v>54</v>
      </c>
      <c r="C731" s="5" t="s">
        <v>327</v>
      </c>
      <c r="D731" s="5">
        <v>90</v>
      </c>
      <c r="E731" s="5">
        <v>100</v>
      </c>
      <c r="F731" s="5">
        <v>15</v>
      </c>
      <c r="G731" s="5" t="s">
        <v>405</v>
      </c>
    </row>
    <row r="732" spans="1:7">
      <c r="A732" s="5" t="s">
        <v>1515</v>
      </c>
      <c r="B732" s="5" t="s">
        <v>431</v>
      </c>
      <c r="C732" s="5" t="s">
        <v>404</v>
      </c>
      <c r="D732" s="5">
        <v>90</v>
      </c>
      <c r="E732" s="5">
        <v>95</v>
      </c>
      <c r="F732" s="5">
        <v>15</v>
      </c>
      <c r="G732" s="5" t="s">
        <v>405</v>
      </c>
    </row>
    <row r="733" spans="1:7">
      <c r="A733" s="5" t="s">
        <v>1516</v>
      </c>
      <c r="B733" s="5" t="s">
        <v>76</v>
      </c>
      <c r="C733" s="5" t="s">
        <v>327</v>
      </c>
      <c r="D733" s="5"/>
      <c r="E733" s="5"/>
      <c r="F733" s="5">
        <v>20</v>
      </c>
      <c r="G733" s="5" t="s">
        <v>405</v>
      </c>
    </row>
    <row r="734" spans="1:7">
      <c r="A734" s="5" t="s">
        <v>1517</v>
      </c>
      <c r="B734" s="5" t="s">
        <v>54</v>
      </c>
      <c r="C734" s="5" t="s">
        <v>327</v>
      </c>
      <c r="D734" s="5">
        <v>60</v>
      </c>
      <c r="E734" s="5">
        <v>100</v>
      </c>
      <c r="F734" s="5">
        <v>20</v>
      </c>
      <c r="G734" s="5" t="s">
        <v>405</v>
      </c>
    </row>
    <row r="735" spans="1:7">
      <c r="A735" s="5" t="s">
        <v>1518</v>
      </c>
      <c r="B735" s="5" t="s">
        <v>76</v>
      </c>
      <c r="C735" s="5" t="s">
        <v>327</v>
      </c>
      <c r="D735" s="5">
        <v>60</v>
      </c>
      <c r="E735" s="5">
        <v>100</v>
      </c>
      <c r="F735" s="5">
        <v>20</v>
      </c>
      <c r="G735" s="5" t="s">
        <v>405</v>
      </c>
    </row>
    <row r="736" spans="1:7">
      <c r="A736" s="5" t="s">
        <v>1519</v>
      </c>
      <c r="B736" s="5" t="s">
        <v>59</v>
      </c>
      <c r="C736" s="5" t="s">
        <v>404</v>
      </c>
      <c r="D736" s="5">
        <v>60</v>
      </c>
      <c r="E736" s="5">
        <v>100</v>
      </c>
      <c r="F736" s="5">
        <v>20</v>
      </c>
      <c r="G736" s="5" t="s">
        <v>405</v>
      </c>
    </row>
    <row r="737" spans="1:7">
      <c r="A737" s="5" t="s">
        <v>1520</v>
      </c>
      <c r="B737" s="5" t="s">
        <v>32</v>
      </c>
      <c r="C737" s="5" t="s">
        <v>327</v>
      </c>
      <c r="D737" s="5">
        <v>80</v>
      </c>
      <c r="E737" s="5">
        <v>95</v>
      </c>
      <c r="F737" s="5">
        <v>15</v>
      </c>
      <c r="G737" s="5" t="s">
        <v>405</v>
      </c>
    </row>
    <row r="738" spans="1:7">
      <c r="A738" s="5" t="s">
        <v>1521</v>
      </c>
      <c r="B738" s="5" t="s">
        <v>62</v>
      </c>
      <c r="C738" s="5" t="s">
        <v>327</v>
      </c>
      <c r="D738" s="5">
        <v>80</v>
      </c>
      <c r="E738" s="5">
        <v>95</v>
      </c>
      <c r="F738" s="5">
        <v>15</v>
      </c>
      <c r="G738" s="5" t="s">
        <v>405</v>
      </c>
    </row>
    <row r="739" spans="1:7">
      <c r="A739" s="5" t="s">
        <v>1522</v>
      </c>
      <c r="B739" s="5" t="s">
        <v>82</v>
      </c>
      <c r="C739" s="5" t="s">
        <v>404</v>
      </c>
      <c r="D739" s="5">
        <v>100</v>
      </c>
      <c r="E739" s="5">
        <v>90</v>
      </c>
      <c r="F739" s="5">
        <v>10</v>
      </c>
      <c r="G739" s="5" t="s">
        <v>405</v>
      </c>
    </row>
    <row r="740" spans="1:7">
      <c r="A740" s="5" t="s">
        <v>1523</v>
      </c>
      <c r="B740" s="5" t="s">
        <v>64</v>
      </c>
      <c r="C740" s="5" t="s">
        <v>327</v>
      </c>
      <c r="D740" s="5">
        <v>100</v>
      </c>
      <c r="E740" s="5">
        <v>90</v>
      </c>
      <c r="F740" s="5">
        <v>10</v>
      </c>
      <c r="G740" s="5" t="s">
        <v>405</v>
      </c>
    </row>
    <row r="741" spans="1:7">
      <c r="A741" s="5" t="s">
        <v>1524</v>
      </c>
      <c r="B741" s="5" t="s">
        <v>138</v>
      </c>
      <c r="C741" s="5" t="s">
        <v>327</v>
      </c>
      <c r="D741" s="5">
        <v>120</v>
      </c>
      <c r="E741" s="5">
        <v>85</v>
      </c>
      <c r="F741" s="5">
        <v>5</v>
      </c>
      <c r="G741" s="5" t="s">
        <v>405</v>
      </c>
    </row>
    <row r="742" spans="1:7">
      <c r="A742" s="5" t="s">
        <v>1525</v>
      </c>
      <c r="B742" s="5" t="s">
        <v>129</v>
      </c>
      <c r="C742" s="5" t="s">
        <v>404</v>
      </c>
      <c r="D742" s="5"/>
      <c r="E742" s="5"/>
      <c r="F742" s="5">
        <v>20</v>
      </c>
      <c r="G742" s="5" t="s">
        <v>405</v>
      </c>
    </row>
    <row r="743" spans="1:7">
      <c r="A743" s="5" t="s">
        <v>1526</v>
      </c>
      <c r="B743" s="5" t="s">
        <v>726</v>
      </c>
      <c r="C743" s="5" t="s">
        <v>404</v>
      </c>
      <c r="D743" s="5">
        <v>60</v>
      </c>
      <c r="E743" s="5">
        <v>100</v>
      </c>
      <c r="F743" s="5">
        <v>5</v>
      </c>
      <c r="G743" s="5" t="s">
        <v>445</v>
      </c>
    </row>
    <row r="744" spans="1:7">
      <c r="A744" s="5" t="s">
        <v>1527</v>
      </c>
      <c r="B744" s="5" t="s">
        <v>129</v>
      </c>
      <c r="C744" s="5" t="s">
        <v>427</v>
      </c>
      <c r="D744" s="5"/>
      <c r="E744" s="5"/>
      <c r="F744" s="5">
        <v>10</v>
      </c>
      <c r="G744" s="5" t="s">
        <v>683</v>
      </c>
    </row>
    <row r="745" spans="1:7">
      <c r="A745" s="5" t="s">
        <v>1528</v>
      </c>
      <c r="B745" s="5" t="s">
        <v>336</v>
      </c>
      <c r="C745" s="5" t="s">
        <v>327</v>
      </c>
      <c r="D745" s="5">
        <v>100</v>
      </c>
      <c r="E745" s="5">
        <v>100</v>
      </c>
      <c r="F745" s="5">
        <v>5</v>
      </c>
      <c r="G745" s="5" t="s">
        <v>1529</v>
      </c>
    </row>
    <row r="746" spans="1:7">
      <c r="A746" s="5" t="s">
        <v>1530</v>
      </c>
      <c r="B746" s="5" t="s">
        <v>54</v>
      </c>
      <c r="C746" s="5" t="s">
        <v>327</v>
      </c>
      <c r="D746" s="5">
        <v>80</v>
      </c>
      <c r="E746" s="5">
        <v>100</v>
      </c>
      <c r="F746" s="5">
        <v>15</v>
      </c>
      <c r="G746" s="5" t="s">
        <v>1531</v>
      </c>
    </row>
    <row r="747" spans="1:7">
      <c r="A747" s="5" t="s">
        <v>1532</v>
      </c>
      <c r="B747" s="5" t="s">
        <v>62</v>
      </c>
      <c r="C747" s="5" t="s">
        <v>404</v>
      </c>
      <c r="D747" s="5">
        <v>80</v>
      </c>
      <c r="E747" s="5">
        <v>100</v>
      </c>
      <c r="F747" s="5">
        <v>10</v>
      </c>
      <c r="G747" s="5" t="s">
        <v>1533</v>
      </c>
    </row>
    <row r="748" spans="1:7">
      <c r="A748" s="5" t="s">
        <v>1534</v>
      </c>
      <c r="B748" s="5" t="s">
        <v>129</v>
      </c>
      <c r="C748" s="5" t="s">
        <v>427</v>
      </c>
      <c r="D748" s="5"/>
      <c r="E748" s="5"/>
      <c r="F748" s="5">
        <v>10</v>
      </c>
      <c r="G748" s="5" t="s">
        <v>1535</v>
      </c>
    </row>
    <row r="749" spans="1:7">
      <c r="A749" s="5" t="s">
        <v>1536</v>
      </c>
      <c r="B749" s="5" t="s">
        <v>337</v>
      </c>
      <c r="C749" s="5" t="s">
        <v>427</v>
      </c>
      <c r="D749" s="5"/>
      <c r="E749" s="5"/>
      <c r="F749" s="5">
        <v>5</v>
      </c>
      <c r="G749" s="5" t="s">
        <v>1537</v>
      </c>
    </row>
    <row r="750" spans="1:7">
      <c r="A750" s="5" t="s">
        <v>1538</v>
      </c>
      <c r="B750" s="5" t="s">
        <v>540</v>
      </c>
      <c r="C750" s="5" t="s">
        <v>427</v>
      </c>
      <c r="D750" s="5"/>
      <c r="E750" s="5">
        <v>100</v>
      </c>
      <c r="F750" s="5">
        <v>15</v>
      </c>
      <c r="G750" s="5" t="s">
        <v>1539</v>
      </c>
    </row>
    <row r="751" spans="1:7">
      <c r="A751" s="5" t="s">
        <v>1540</v>
      </c>
      <c r="B751" s="5" t="s">
        <v>32</v>
      </c>
      <c r="C751" s="5" t="s">
        <v>427</v>
      </c>
      <c r="D751" s="5"/>
      <c r="E751" s="5">
        <v>100</v>
      </c>
      <c r="F751" s="5">
        <v>20</v>
      </c>
      <c r="G751" s="5" t="s">
        <v>1539</v>
      </c>
    </row>
    <row r="752" spans="1:7">
      <c r="A752" s="5" t="s">
        <v>1541</v>
      </c>
      <c r="B752" s="5" t="s">
        <v>336</v>
      </c>
      <c r="C752" s="5" t="s">
        <v>404</v>
      </c>
      <c r="D752" s="5">
        <v>50</v>
      </c>
      <c r="E752" s="5">
        <v>100</v>
      </c>
      <c r="F752" s="5">
        <v>10</v>
      </c>
      <c r="G752" s="5" t="s">
        <v>1539</v>
      </c>
    </row>
    <row r="753" spans="1:7">
      <c r="A753" s="5" t="s">
        <v>1542</v>
      </c>
      <c r="B753" s="5" t="s">
        <v>129</v>
      </c>
      <c r="C753" s="5" t="s">
        <v>427</v>
      </c>
      <c r="D753" s="5"/>
      <c r="E753" s="5"/>
      <c r="F753" s="5">
        <v>10</v>
      </c>
      <c r="G753" s="5" t="s">
        <v>1539</v>
      </c>
    </row>
    <row r="754" spans="1:7">
      <c r="A754" s="5" t="s">
        <v>1543</v>
      </c>
      <c r="B754" s="5" t="s">
        <v>337</v>
      </c>
      <c r="C754" s="5" t="s">
        <v>427</v>
      </c>
      <c r="D754" s="5"/>
      <c r="E754" s="5">
        <v>100</v>
      </c>
      <c r="F754" s="5">
        <v>15</v>
      </c>
      <c r="G754" s="5" t="s">
        <v>1539</v>
      </c>
    </row>
    <row r="755" spans="1:7">
      <c r="A755" s="5" t="s">
        <v>1544</v>
      </c>
      <c r="B755" s="5" t="s">
        <v>76</v>
      </c>
      <c r="C755" s="5" t="s">
        <v>404</v>
      </c>
      <c r="D755" s="5">
        <v>85</v>
      </c>
      <c r="E755" s="5">
        <v>100</v>
      </c>
      <c r="F755" s="5">
        <v>10</v>
      </c>
      <c r="G755" s="5" t="s">
        <v>1539</v>
      </c>
    </row>
    <row r="756" spans="1:7">
      <c r="A756" s="5" t="s">
        <v>1545</v>
      </c>
      <c r="B756" s="5" t="s">
        <v>54</v>
      </c>
      <c r="C756" s="5" t="s">
        <v>404</v>
      </c>
      <c r="D756" s="5">
        <v>85</v>
      </c>
      <c r="E756" s="5">
        <v>100</v>
      </c>
      <c r="F756" s="5">
        <v>10</v>
      </c>
      <c r="G756" s="5" t="s">
        <v>1539</v>
      </c>
    </row>
    <row r="757" spans="1:7">
      <c r="A757" s="5" t="s">
        <v>1546</v>
      </c>
      <c r="B757" s="5" t="s">
        <v>129</v>
      </c>
      <c r="C757" s="5" t="s">
        <v>427</v>
      </c>
      <c r="D757" s="5"/>
      <c r="E757" s="5">
        <v>100</v>
      </c>
      <c r="F757" s="5">
        <v>10</v>
      </c>
      <c r="G757" s="5" t="s">
        <v>1539</v>
      </c>
    </row>
    <row r="758" spans="1:7">
      <c r="A758" s="5" t="s">
        <v>1547</v>
      </c>
      <c r="B758" s="5" t="s">
        <v>59</v>
      </c>
      <c r="C758" s="5" t="s">
        <v>404</v>
      </c>
      <c r="D758" s="5">
        <v>100</v>
      </c>
      <c r="E758" s="5"/>
      <c r="F758" s="5">
        <v>10</v>
      </c>
      <c r="G758" s="5" t="s">
        <v>405</v>
      </c>
    </row>
    <row r="759" spans="1:7">
      <c r="A759" s="5" t="s">
        <v>1548</v>
      </c>
      <c r="B759" s="5" t="s">
        <v>164</v>
      </c>
      <c r="C759" s="5" t="s">
        <v>404</v>
      </c>
      <c r="D759" s="5">
        <v>10</v>
      </c>
      <c r="E759" s="5"/>
      <c r="F759" s="5">
        <v>10</v>
      </c>
      <c r="G759" s="5" t="s">
        <v>405</v>
      </c>
    </row>
    <row r="760" spans="1:7">
      <c r="A760" s="5" t="s">
        <v>1549</v>
      </c>
      <c r="B760" s="5" t="s">
        <v>76</v>
      </c>
      <c r="C760" s="5" t="s">
        <v>404</v>
      </c>
      <c r="D760" s="5">
        <v>10</v>
      </c>
      <c r="E760" s="5"/>
      <c r="F760" s="5">
        <v>10</v>
      </c>
      <c r="G760" s="5" t="s">
        <v>405</v>
      </c>
    </row>
    <row r="761" spans="1:7">
      <c r="A761" s="5" t="s">
        <v>1550</v>
      </c>
      <c r="B761" s="5" t="s">
        <v>129</v>
      </c>
      <c r="C761" s="5" t="s">
        <v>404</v>
      </c>
      <c r="D761" s="5">
        <v>10</v>
      </c>
      <c r="E761" s="5"/>
      <c r="F761" s="5">
        <v>10</v>
      </c>
      <c r="G761" s="5" t="s">
        <v>405</v>
      </c>
    </row>
    <row r="762" spans="1:7">
      <c r="A762" s="5" t="s">
        <v>1551</v>
      </c>
      <c r="B762" s="5" t="s">
        <v>337</v>
      </c>
      <c r="C762" s="5" t="s">
        <v>404</v>
      </c>
      <c r="D762" s="5">
        <v>10</v>
      </c>
      <c r="E762" s="5"/>
      <c r="F762" s="5">
        <v>10</v>
      </c>
      <c r="G762" s="5" t="s">
        <v>405</v>
      </c>
    </row>
    <row r="763" spans="1:7">
      <c r="A763" s="5" t="s">
        <v>1552</v>
      </c>
      <c r="B763" s="5" t="s">
        <v>363</v>
      </c>
      <c r="C763" s="5" t="s">
        <v>404</v>
      </c>
      <c r="D763" s="5">
        <v>10</v>
      </c>
      <c r="E763" s="5"/>
      <c r="F763" s="5">
        <v>10</v>
      </c>
      <c r="G763" s="5" t="s">
        <v>405</v>
      </c>
    </row>
    <row r="764" spans="1:7">
      <c r="A764" s="5" t="s">
        <v>1553</v>
      </c>
      <c r="B764" s="5" t="s">
        <v>64</v>
      </c>
      <c r="C764" s="5" t="s">
        <v>404</v>
      </c>
      <c r="D764" s="5">
        <v>10</v>
      </c>
      <c r="E764" s="5"/>
      <c r="F764" s="5">
        <v>10</v>
      </c>
      <c r="G764" s="5" t="s">
        <v>405</v>
      </c>
    </row>
    <row r="765" spans="1:7">
      <c r="A765" s="5" t="s">
        <v>1554</v>
      </c>
      <c r="B765" s="5" t="s">
        <v>341</v>
      </c>
      <c r="C765" s="5" t="s">
        <v>404</v>
      </c>
      <c r="D765" s="5">
        <v>10</v>
      </c>
      <c r="E765" s="5"/>
      <c r="F765" s="5">
        <v>10</v>
      </c>
      <c r="G765" s="5" t="s">
        <v>405</v>
      </c>
    </row>
    <row r="766" spans="1:7">
      <c r="A766" s="5" t="s">
        <v>1555</v>
      </c>
      <c r="B766" s="5" t="s">
        <v>54</v>
      </c>
      <c r="C766" s="5" t="s">
        <v>404</v>
      </c>
      <c r="D766" s="5">
        <v>10</v>
      </c>
      <c r="E766" s="5"/>
      <c r="F766" s="5">
        <v>10</v>
      </c>
      <c r="G766" s="5" t="s">
        <v>405</v>
      </c>
    </row>
    <row r="767" spans="1:7">
      <c r="A767" s="5" t="s">
        <v>1556</v>
      </c>
      <c r="B767" s="5" t="s">
        <v>431</v>
      </c>
      <c r="C767" s="5" t="s">
        <v>404</v>
      </c>
      <c r="D767" s="5">
        <v>10</v>
      </c>
      <c r="E767" s="5"/>
      <c r="F767" s="5">
        <v>10</v>
      </c>
      <c r="G767" s="5" t="s">
        <v>405</v>
      </c>
    </row>
    <row r="768" spans="1:7">
      <c r="A768" s="5" t="s">
        <v>1557</v>
      </c>
      <c r="B768" s="5" t="s">
        <v>138</v>
      </c>
      <c r="C768" s="5" t="s">
        <v>404</v>
      </c>
      <c r="D768" s="5">
        <v>10</v>
      </c>
      <c r="E768" s="5"/>
      <c r="F768" s="5">
        <v>10</v>
      </c>
      <c r="G768" s="5" t="s">
        <v>405</v>
      </c>
    </row>
    <row r="769" spans="1:7">
      <c r="A769" s="5" t="s">
        <v>1558</v>
      </c>
      <c r="B769" s="5" t="s">
        <v>336</v>
      </c>
      <c r="C769" s="5" t="s">
        <v>404</v>
      </c>
      <c r="D769" s="5">
        <v>10</v>
      </c>
      <c r="E769" s="5"/>
      <c r="F769" s="5">
        <v>10</v>
      </c>
      <c r="G769" s="5" t="s">
        <v>405</v>
      </c>
    </row>
    <row r="770" spans="1:7">
      <c r="A770" s="5" t="s">
        <v>1559</v>
      </c>
      <c r="B770" s="5" t="s">
        <v>32</v>
      </c>
      <c r="C770" s="5" t="s">
        <v>404</v>
      </c>
      <c r="D770" s="5">
        <v>10</v>
      </c>
      <c r="E770" s="5"/>
      <c r="F770" s="5">
        <v>10</v>
      </c>
      <c r="G770" s="5" t="s">
        <v>405</v>
      </c>
    </row>
    <row r="771" spans="1:7">
      <c r="A771" s="5" t="s">
        <v>1560</v>
      </c>
      <c r="B771" s="5" t="s">
        <v>540</v>
      </c>
      <c r="C771" s="5" t="s">
        <v>404</v>
      </c>
      <c r="D771" s="5">
        <v>10</v>
      </c>
      <c r="E771" s="5"/>
      <c r="F771" s="5">
        <v>10</v>
      </c>
      <c r="G771" s="5" t="s">
        <v>405</v>
      </c>
    </row>
    <row r="772" spans="1:7">
      <c r="A772" s="5" t="s">
        <v>1561</v>
      </c>
      <c r="B772" s="5" t="s">
        <v>154</v>
      </c>
      <c r="C772" s="5" t="s">
        <v>404</v>
      </c>
      <c r="D772" s="5">
        <v>10</v>
      </c>
      <c r="E772" s="5"/>
      <c r="F772" s="5">
        <v>10</v>
      </c>
      <c r="G772" s="5" t="s">
        <v>405</v>
      </c>
    </row>
    <row r="773" spans="1:7">
      <c r="A773" s="5" t="s">
        <v>1562</v>
      </c>
      <c r="B773" s="5" t="s">
        <v>62</v>
      </c>
      <c r="C773" s="5" t="s">
        <v>404</v>
      </c>
      <c r="D773" s="5">
        <v>10</v>
      </c>
      <c r="E773" s="5"/>
      <c r="F773" s="5">
        <v>10</v>
      </c>
      <c r="G773" s="5" t="s">
        <v>405</v>
      </c>
    </row>
    <row r="774" spans="1:7">
      <c r="A774" s="5" t="s">
        <v>1563</v>
      </c>
      <c r="B774" s="5" t="s">
        <v>82</v>
      </c>
      <c r="C774" s="5" t="s">
        <v>404</v>
      </c>
      <c r="D774" s="5">
        <v>10</v>
      </c>
      <c r="E774" s="5"/>
      <c r="F774" s="5">
        <v>10</v>
      </c>
      <c r="G774" s="5" t="s">
        <v>405</v>
      </c>
    </row>
    <row r="775" spans="1:7">
      <c r="A775" s="5" t="s">
        <v>1564</v>
      </c>
      <c r="B775" s="5" t="s">
        <v>726</v>
      </c>
      <c r="C775" s="5" t="s">
        <v>404</v>
      </c>
      <c r="D775" s="5">
        <v>10</v>
      </c>
      <c r="E775" s="5"/>
      <c r="F775" s="5">
        <v>10</v>
      </c>
      <c r="G775" s="5" t="s">
        <v>405</v>
      </c>
    </row>
    <row r="776" spans="1:7">
      <c r="A776" s="5" t="s">
        <v>1565</v>
      </c>
      <c r="B776" s="5" t="s">
        <v>336</v>
      </c>
      <c r="C776" s="5" t="s">
        <v>427</v>
      </c>
      <c r="D776" s="5"/>
      <c r="E776" s="5">
        <v>100</v>
      </c>
      <c r="F776" s="5">
        <v>5</v>
      </c>
      <c r="G776" s="5" t="s">
        <v>1539</v>
      </c>
    </row>
    <row r="777" spans="1:7">
      <c r="A777" s="5" t="s">
        <v>1566</v>
      </c>
      <c r="B777" s="5" t="s">
        <v>337</v>
      </c>
      <c r="C777" s="5" t="s">
        <v>404</v>
      </c>
      <c r="D777" s="5">
        <v>80</v>
      </c>
      <c r="E777" s="5">
        <v>100</v>
      </c>
      <c r="F777" s="5">
        <v>10</v>
      </c>
      <c r="G777" s="5" t="s">
        <v>1539</v>
      </c>
    </row>
    <row r="778" spans="1:7">
      <c r="A778" s="5" t="s">
        <v>1567</v>
      </c>
      <c r="B778" s="5" t="s">
        <v>138</v>
      </c>
      <c r="C778" s="5" t="s">
        <v>427</v>
      </c>
      <c r="D778" s="5"/>
      <c r="E778" s="5"/>
      <c r="F778" s="5">
        <v>15</v>
      </c>
      <c r="G778" s="5" t="s">
        <v>1539</v>
      </c>
    </row>
    <row r="779" spans="1:7">
      <c r="A779" s="5" t="s">
        <v>1568</v>
      </c>
      <c r="B779" s="5" t="s">
        <v>82</v>
      </c>
      <c r="C779" s="5" t="s">
        <v>404</v>
      </c>
      <c r="D779" s="5">
        <v>80</v>
      </c>
      <c r="E779" s="5">
        <v>100</v>
      </c>
      <c r="F779" s="5">
        <v>10</v>
      </c>
      <c r="G779" s="5" t="s">
        <v>500</v>
      </c>
    </row>
    <row r="780" spans="1:7">
      <c r="A780" s="5" t="s">
        <v>1569</v>
      </c>
      <c r="B780" s="5" t="s">
        <v>82</v>
      </c>
      <c r="C780" s="5" t="s">
        <v>404</v>
      </c>
      <c r="D780" s="5">
        <v>35</v>
      </c>
      <c r="E780" s="5">
        <v>100</v>
      </c>
      <c r="F780" s="5">
        <v>15</v>
      </c>
      <c r="G780" s="5" t="s">
        <v>439</v>
      </c>
    </row>
    <row r="781" spans="1:7">
      <c r="A781" s="5" t="s">
        <v>1570</v>
      </c>
      <c r="B781" s="5" t="s">
        <v>59</v>
      </c>
      <c r="C781" s="5" t="s">
        <v>404</v>
      </c>
      <c r="D781" s="5">
        <v>120</v>
      </c>
      <c r="E781" s="5">
        <v>90</v>
      </c>
      <c r="F781" s="5">
        <v>5</v>
      </c>
      <c r="G781" s="5" t="s">
        <v>415</v>
      </c>
    </row>
    <row r="782" spans="1:7">
      <c r="A782" s="5" t="s">
        <v>1571</v>
      </c>
      <c r="B782" s="5" t="s">
        <v>726</v>
      </c>
      <c r="C782" s="5" t="s">
        <v>404</v>
      </c>
      <c r="D782" s="5">
        <v>100</v>
      </c>
      <c r="E782" s="5">
        <v>100</v>
      </c>
      <c r="F782" s="5">
        <v>5</v>
      </c>
      <c r="G782" s="5" t="s">
        <v>1539</v>
      </c>
    </row>
    <row r="783" spans="1:7">
      <c r="A783" s="5" t="s">
        <v>1572</v>
      </c>
      <c r="B783" s="5" t="s">
        <v>726</v>
      </c>
      <c r="C783" s="5" t="s">
        <v>404</v>
      </c>
      <c r="D783" s="5">
        <v>100</v>
      </c>
      <c r="E783" s="5">
        <v>100</v>
      </c>
      <c r="F783" s="5">
        <v>5</v>
      </c>
      <c r="G783" s="5" t="s">
        <v>1539</v>
      </c>
    </row>
    <row r="784" spans="1:7">
      <c r="A784" s="5" t="s">
        <v>1573</v>
      </c>
      <c r="B784" s="5" t="s">
        <v>76</v>
      </c>
      <c r="C784" s="5" t="s">
        <v>404</v>
      </c>
      <c r="D784" s="5">
        <v>110</v>
      </c>
      <c r="E784" s="5">
        <v>100</v>
      </c>
      <c r="F784" s="5">
        <v>10</v>
      </c>
      <c r="G784" s="5" t="s">
        <v>1539</v>
      </c>
    </row>
    <row r="785" spans="1:7">
      <c r="A785" s="5" t="s">
        <v>1574</v>
      </c>
      <c r="B785" s="5" t="s">
        <v>336</v>
      </c>
      <c r="C785" s="5" t="s">
        <v>404</v>
      </c>
      <c r="D785" s="5">
        <v>60</v>
      </c>
      <c r="E785" s="5">
        <v>100</v>
      </c>
      <c r="F785" s="5">
        <v>15</v>
      </c>
      <c r="G785" s="5" t="s">
        <v>1441</v>
      </c>
    </row>
    <row r="786" spans="1:7">
      <c r="A786" s="5" t="s">
        <v>1575</v>
      </c>
      <c r="B786" s="5" t="s">
        <v>82</v>
      </c>
      <c r="C786" s="5" t="s">
        <v>404</v>
      </c>
      <c r="D786" s="5">
        <v>40</v>
      </c>
      <c r="E786" s="5">
        <v>100</v>
      </c>
      <c r="F786" s="5">
        <v>40</v>
      </c>
      <c r="G786" s="5" t="s">
        <v>405</v>
      </c>
    </row>
    <row r="787" spans="1:7">
      <c r="A787" s="5" t="s">
        <v>1576</v>
      </c>
      <c r="B787" s="5" t="s">
        <v>76</v>
      </c>
      <c r="C787" s="5" t="s">
        <v>327</v>
      </c>
      <c r="D787" s="5">
        <v>80</v>
      </c>
      <c r="E787" s="5">
        <v>100</v>
      </c>
      <c r="F787" s="5">
        <v>10</v>
      </c>
      <c r="G787" s="5" t="s">
        <v>1539</v>
      </c>
    </row>
    <row r="788" spans="1:7">
      <c r="A788" s="5" t="s">
        <v>1577</v>
      </c>
      <c r="B788" s="5" t="s">
        <v>82</v>
      </c>
      <c r="C788" s="5" t="s">
        <v>327</v>
      </c>
      <c r="D788" s="5">
        <v>80</v>
      </c>
      <c r="E788" s="5">
        <v>100</v>
      </c>
      <c r="F788" s="5">
        <v>10</v>
      </c>
      <c r="G788" s="5" t="s">
        <v>1539</v>
      </c>
    </row>
    <row r="789" spans="1:7">
      <c r="A789" s="5" t="s">
        <v>1578</v>
      </c>
      <c r="B789" s="5" t="s">
        <v>82</v>
      </c>
      <c r="C789" s="5" t="s">
        <v>404</v>
      </c>
      <c r="D789" s="5">
        <v>80</v>
      </c>
      <c r="E789" s="5">
        <v>100</v>
      </c>
      <c r="F789" s="5">
        <v>10</v>
      </c>
      <c r="G789" s="5" t="s">
        <v>1443</v>
      </c>
    </row>
    <row r="790" spans="1:7">
      <c r="A790" s="5" t="s">
        <v>1579</v>
      </c>
      <c r="B790" s="5" t="s">
        <v>138</v>
      </c>
      <c r="C790" s="5" t="s">
        <v>404</v>
      </c>
      <c r="D790" s="5">
        <v>75</v>
      </c>
      <c r="E790" s="5">
        <v>100</v>
      </c>
      <c r="F790" s="5">
        <v>15</v>
      </c>
      <c r="G790" s="5" t="s">
        <v>880</v>
      </c>
    </row>
    <row r="791" spans="1:7">
      <c r="A791" s="5" t="s">
        <v>1580</v>
      </c>
      <c r="B791" s="5" t="s">
        <v>138</v>
      </c>
      <c r="C791" s="5" t="s">
        <v>327</v>
      </c>
      <c r="D791" s="5">
        <v>90</v>
      </c>
      <c r="E791" s="5">
        <v>95</v>
      </c>
      <c r="F791" s="5">
        <v>10</v>
      </c>
      <c r="G791" s="5" t="s">
        <v>498</v>
      </c>
    </row>
    <row r="792" spans="1:7">
      <c r="A792" s="5" t="s">
        <v>1581</v>
      </c>
      <c r="B792" s="5" t="s">
        <v>54</v>
      </c>
      <c r="C792" s="5" t="s">
        <v>427</v>
      </c>
      <c r="D792" s="5"/>
      <c r="E792" s="5"/>
      <c r="F792" s="5">
        <v>10</v>
      </c>
      <c r="G792" s="5" t="s">
        <v>1539</v>
      </c>
    </row>
    <row r="793" spans="1:7">
      <c r="A793" s="5" t="s">
        <v>1582</v>
      </c>
      <c r="B793" s="5" t="s">
        <v>62</v>
      </c>
      <c r="C793" s="5" t="s">
        <v>427</v>
      </c>
      <c r="D793" s="5"/>
      <c r="E793" s="5">
        <v>100</v>
      </c>
      <c r="F793" s="5">
        <v>10</v>
      </c>
      <c r="G793" s="5" t="s">
        <v>1539</v>
      </c>
    </row>
    <row r="794" spans="1:7">
      <c r="A794" s="5" t="s">
        <v>1583</v>
      </c>
      <c r="B794" s="5" t="s">
        <v>62</v>
      </c>
      <c r="C794" s="5" t="s">
        <v>404</v>
      </c>
      <c r="D794" s="5">
        <v>80</v>
      </c>
      <c r="E794" s="5"/>
      <c r="F794" s="5">
        <v>10</v>
      </c>
      <c r="G794" s="5" t="s">
        <v>604</v>
      </c>
    </row>
    <row r="795" spans="1:7">
      <c r="A795" s="5" t="s">
        <v>1584</v>
      </c>
      <c r="B795" s="5" t="s">
        <v>337</v>
      </c>
      <c r="C795" s="5" t="s">
        <v>404</v>
      </c>
      <c r="D795" s="5">
        <v>150</v>
      </c>
      <c r="E795" s="5">
        <v>100</v>
      </c>
      <c r="F795" s="5">
        <v>5</v>
      </c>
      <c r="G795" s="5" t="s">
        <v>504</v>
      </c>
    </row>
    <row r="796" spans="1:7">
      <c r="A796" s="5" t="s">
        <v>1585</v>
      </c>
      <c r="B796" s="5" t="s">
        <v>336</v>
      </c>
      <c r="C796" s="5" t="s">
        <v>327</v>
      </c>
      <c r="D796" s="5">
        <v>160</v>
      </c>
      <c r="E796" s="5">
        <v>90</v>
      </c>
      <c r="F796" s="5">
        <v>5</v>
      </c>
      <c r="G796" s="5" t="s">
        <v>504</v>
      </c>
    </row>
    <row r="797" spans="1:7">
      <c r="A797" s="5" t="s">
        <v>1586</v>
      </c>
      <c r="B797" s="5" t="s">
        <v>726</v>
      </c>
      <c r="C797" s="5" t="s">
        <v>327</v>
      </c>
      <c r="D797" s="5">
        <v>140</v>
      </c>
      <c r="E797" s="5">
        <v>95</v>
      </c>
      <c r="F797" s="5">
        <v>5</v>
      </c>
      <c r="G797" s="5" t="s">
        <v>1500</v>
      </c>
    </row>
    <row r="798" spans="1:7">
      <c r="A798" s="5" t="s">
        <v>1587</v>
      </c>
      <c r="B798" s="5" t="s">
        <v>32</v>
      </c>
      <c r="C798" s="5" t="s">
        <v>327</v>
      </c>
      <c r="D798" s="5">
        <v>80</v>
      </c>
      <c r="E798" s="5">
        <v>100</v>
      </c>
      <c r="F798" s="5">
        <v>10</v>
      </c>
      <c r="G798" s="5" t="s">
        <v>405</v>
      </c>
    </row>
    <row r="799" spans="1:7">
      <c r="A799" s="5" t="s">
        <v>1588</v>
      </c>
      <c r="B799" s="5" t="s">
        <v>726</v>
      </c>
      <c r="C799" s="5" t="s">
        <v>404</v>
      </c>
      <c r="D799" s="5">
        <v>130</v>
      </c>
      <c r="E799" s="5">
        <v>100</v>
      </c>
      <c r="F799" s="5">
        <v>5</v>
      </c>
      <c r="G799" s="5" t="s">
        <v>405</v>
      </c>
    </row>
    <row r="800" spans="1:7">
      <c r="A800" s="5" t="s">
        <v>1589</v>
      </c>
      <c r="B800" s="5" t="s">
        <v>336</v>
      </c>
      <c r="C800" s="5" t="s">
        <v>404</v>
      </c>
      <c r="D800" s="5">
        <v>25</v>
      </c>
      <c r="E800" s="5">
        <v>90</v>
      </c>
      <c r="F800" s="5">
        <v>20</v>
      </c>
      <c r="G800" s="5" t="s">
        <v>1590</v>
      </c>
    </row>
    <row r="801" spans="1:7">
      <c r="A801" s="5" t="s">
        <v>1591</v>
      </c>
      <c r="B801" s="5" t="s">
        <v>540</v>
      </c>
      <c r="C801" s="5" t="s">
        <v>327</v>
      </c>
      <c r="D801" s="5">
        <v>120</v>
      </c>
      <c r="E801" s="5">
        <v>90</v>
      </c>
      <c r="F801" s="5">
        <v>10</v>
      </c>
      <c r="G801" s="5" t="s">
        <v>405</v>
      </c>
    </row>
    <row r="802" spans="1:7">
      <c r="A802" s="5" t="s">
        <v>1592</v>
      </c>
      <c r="B802" s="5" t="s">
        <v>341</v>
      </c>
      <c r="C802" s="5" t="s">
        <v>327</v>
      </c>
      <c r="D802" s="5">
        <v>90</v>
      </c>
      <c r="E802" s="5">
        <v>100</v>
      </c>
      <c r="F802" s="5">
        <v>10</v>
      </c>
      <c r="G802" s="5" t="s">
        <v>405</v>
      </c>
    </row>
    <row r="803" spans="1:7">
      <c r="A803" s="5" t="s">
        <v>1593</v>
      </c>
      <c r="B803" s="5" t="s">
        <v>138</v>
      </c>
      <c r="C803" s="5" t="s">
        <v>327</v>
      </c>
      <c r="D803" s="5">
        <v>100</v>
      </c>
      <c r="E803" s="5">
        <v>100</v>
      </c>
      <c r="F803" s="5">
        <v>5</v>
      </c>
      <c r="G803" s="5" t="s">
        <v>405</v>
      </c>
    </row>
    <row r="804" spans="1:7">
      <c r="A804" s="5" t="s">
        <v>1594</v>
      </c>
      <c r="B804" s="5" t="s">
        <v>82</v>
      </c>
      <c r="C804" s="5" t="s">
        <v>404</v>
      </c>
      <c r="D804" s="5">
        <v>55</v>
      </c>
      <c r="E804" s="5">
        <v>100</v>
      </c>
      <c r="F804" s="5">
        <v>20</v>
      </c>
      <c r="G804" s="5" t="s">
        <v>405</v>
      </c>
    </row>
    <row r="805" spans="1:7">
      <c r="A805" s="5" t="s">
        <v>1595</v>
      </c>
      <c r="B805" s="5" t="s">
        <v>76</v>
      </c>
      <c r="C805" s="5" t="s">
        <v>327</v>
      </c>
      <c r="D805" s="5">
        <v>70</v>
      </c>
      <c r="E805" s="5">
        <v>100</v>
      </c>
      <c r="F805" s="5">
        <v>20</v>
      </c>
      <c r="G805" s="5" t="s">
        <v>405</v>
      </c>
    </row>
    <row r="806" spans="1:7">
      <c r="A806" s="5" t="s">
        <v>1596</v>
      </c>
      <c r="B806" s="5" t="s">
        <v>129</v>
      </c>
      <c r="C806" s="5" t="s">
        <v>327</v>
      </c>
      <c r="D806" s="5">
        <v>50</v>
      </c>
      <c r="E806" s="5">
        <v>100</v>
      </c>
      <c r="F806" s="5">
        <v>10</v>
      </c>
      <c r="G806" s="5" t="s">
        <v>405</v>
      </c>
    </row>
    <row r="807" spans="1:7">
      <c r="A807" s="5" t="s">
        <v>1597</v>
      </c>
      <c r="B807" s="5" t="s">
        <v>164</v>
      </c>
      <c r="C807" s="5" t="s">
        <v>404</v>
      </c>
      <c r="D807" s="5">
        <v>70</v>
      </c>
      <c r="E807" s="5">
        <v>90</v>
      </c>
      <c r="F807" s="5">
        <v>10</v>
      </c>
      <c r="G807" s="5" t="s">
        <v>405</v>
      </c>
    </row>
    <row r="808" spans="1:7">
      <c r="A808" s="5" t="s">
        <v>1598</v>
      </c>
      <c r="B808" s="5" t="s">
        <v>59</v>
      </c>
      <c r="C808" s="5" t="s">
        <v>327</v>
      </c>
      <c r="D808" s="5">
        <v>70</v>
      </c>
      <c r="E808" s="5">
        <v>100</v>
      </c>
      <c r="F808" s="5">
        <v>5</v>
      </c>
      <c r="G808" s="5" t="s">
        <v>405</v>
      </c>
    </row>
    <row r="809" spans="1:7">
      <c r="A809" s="5" t="s">
        <v>1599</v>
      </c>
      <c r="B809" s="5" t="s">
        <v>62</v>
      </c>
      <c r="C809" s="5" t="s">
        <v>404</v>
      </c>
      <c r="D809" s="5">
        <v>75</v>
      </c>
      <c r="E809" s="5">
        <v>100</v>
      </c>
      <c r="F809" s="5">
        <v>5</v>
      </c>
      <c r="G809" s="5" t="s">
        <v>405</v>
      </c>
    </row>
    <row r="810" spans="1:7">
      <c r="A810" s="5" t="s">
        <v>1600</v>
      </c>
      <c r="B810" s="5" t="s">
        <v>363</v>
      </c>
      <c r="C810" s="5" t="s">
        <v>404</v>
      </c>
      <c r="D810" s="5">
        <v>110</v>
      </c>
      <c r="E810" s="5">
        <v>90</v>
      </c>
      <c r="F810" s="5">
        <v>5</v>
      </c>
      <c r="G810" s="5" t="s">
        <v>405</v>
      </c>
    </row>
    <row r="811" spans="1:7">
      <c r="A811" s="5" t="s">
        <v>1601</v>
      </c>
      <c r="B811" s="5" t="s">
        <v>341</v>
      </c>
      <c r="C811" s="5" t="s">
        <v>427</v>
      </c>
      <c r="D811" s="5"/>
      <c r="E811" s="5">
        <v>100</v>
      </c>
      <c r="F811" s="5">
        <v>40</v>
      </c>
      <c r="G811" s="5" t="s">
        <v>405</v>
      </c>
    </row>
    <row r="812" spans="1:7">
      <c r="A812" s="5" t="s">
        <v>1602</v>
      </c>
      <c r="B812" s="5" t="s">
        <v>337</v>
      </c>
      <c r="C812" s="5" t="s">
        <v>427</v>
      </c>
      <c r="D812" s="5"/>
      <c r="E812" s="5"/>
      <c r="F812" s="5">
        <v>10</v>
      </c>
      <c r="G812" s="5" t="s">
        <v>405</v>
      </c>
    </row>
    <row r="813" spans="1:7">
      <c r="A813" s="5" t="s">
        <v>1603</v>
      </c>
      <c r="B813" s="5" t="s">
        <v>54</v>
      </c>
      <c r="C813" s="5" t="s">
        <v>404</v>
      </c>
      <c r="D813" s="5">
        <v>60</v>
      </c>
      <c r="E813" s="5">
        <v>100</v>
      </c>
      <c r="F813" s="5">
        <v>20</v>
      </c>
      <c r="G813" s="5" t="s">
        <v>405</v>
      </c>
    </row>
    <row r="814" spans="1:7">
      <c r="A814" s="5" t="s">
        <v>1604</v>
      </c>
      <c r="B814" s="5" t="s">
        <v>64</v>
      </c>
      <c r="C814" s="5" t="s">
        <v>404</v>
      </c>
      <c r="D814" s="5">
        <v>20</v>
      </c>
      <c r="E814" s="5">
        <v>90</v>
      </c>
      <c r="F814" s="5">
        <v>10</v>
      </c>
      <c r="G814" s="5" t="s">
        <v>405</v>
      </c>
    </row>
    <row r="815" spans="1:7">
      <c r="A815" s="5" t="s">
        <v>1605</v>
      </c>
      <c r="B815" s="5" t="s">
        <v>431</v>
      </c>
      <c r="C815" s="5" t="s">
        <v>404</v>
      </c>
      <c r="D815" s="5">
        <v>40</v>
      </c>
      <c r="E815" s="5">
        <v>90</v>
      </c>
      <c r="F815" s="5">
        <v>10</v>
      </c>
      <c r="G815" s="5" t="s">
        <v>405</v>
      </c>
    </row>
    <row r="816" spans="1:7">
      <c r="A816" s="5" t="s">
        <v>1606</v>
      </c>
      <c r="B816" s="5" t="s">
        <v>154</v>
      </c>
      <c r="C816" s="5" t="s">
        <v>327</v>
      </c>
      <c r="D816" s="5">
        <v>70</v>
      </c>
      <c r="E816" s="5">
        <v>100</v>
      </c>
      <c r="F816" s="5">
        <v>10</v>
      </c>
      <c r="G816" s="5" t="s">
        <v>415</v>
      </c>
    </row>
    <row r="817" spans="1:7">
      <c r="A817" s="5" t="s">
        <v>1607</v>
      </c>
      <c r="B817" s="5" t="s">
        <v>82</v>
      </c>
      <c r="C817" s="5" t="s">
        <v>427</v>
      </c>
      <c r="D817" s="5"/>
      <c r="E817" s="5"/>
      <c r="F817" s="5">
        <v>10</v>
      </c>
      <c r="G817" s="5" t="s">
        <v>405</v>
      </c>
    </row>
    <row r="818" spans="1:7">
      <c r="A818" s="5" t="s">
        <v>1608</v>
      </c>
      <c r="B818" s="5" t="s">
        <v>62</v>
      </c>
      <c r="C818" s="5" t="s">
        <v>404</v>
      </c>
      <c r="D818" s="5">
        <v>75</v>
      </c>
      <c r="E818" s="5">
        <v>100</v>
      </c>
      <c r="F818" s="5">
        <v>5</v>
      </c>
      <c r="G818" s="5" t="s">
        <v>405</v>
      </c>
    </row>
    <row r="819" spans="1:7">
      <c r="A819" s="5" t="s">
        <v>1609</v>
      </c>
      <c r="B819" s="5" t="s">
        <v>54</v>
      </c>
      <c r="C819" s="5" t="s">
        <v>404</v>
      </c>
      <c r="D819" s="5">
        <v>25</v>
      </c>
      <c r="E819" s="5">
        <v>100</v>
      </c>
      <c r="F819" s="5">
        <v>5</v>
      </c>
      <c r="G819" s="5" t="s">
        <v>405</v>
      </c>
    </row>
    <row r="820" spans="1:7">
      <c r="A820" s="5" t="s">
        <v>1610</v>
      </c>
      <c r="B820" s="5" t="s">
        <v>76</v>
      </c>
      <c r="C820" s="5" t="s">
        <v>327</v>
      </c>
      <c r="D820" s="5">
        <v>80</v>
      </c>
      <c r="E820" s="5">
        <v>90</v>
      </c>
      <c r="F820" s="5">
        <v>15</v>
      </c>
      <c r="G820" s="5" t="s">
        <v>405</v>
      </c>
    </row>
    <row r="821" spans="1:7">
      <c r="A821" s="5" t="s">
        <v>1611</v>
      </c>
      <c r="B821" s="5" t="s">
        <v>336</v>
      </c>
      <c r="C821" s="5" t="s">
        <v>327</v>
      </c>
      <c r="D821" s="5">
        <v>150</v>
      </c>
      <c r="E821" s="5">
        <v>100</v>
      </c>
      <c r="F821" s="5">
        <v>5</v>
      </c>
      <c r="G821" s="5" t="s">
        <v>405</v>
      </c>
    </row>
    <row r="822" spans="1:7">
      <c r="A822" s="5" t="s">
        <v>1612</v>
      </c>
      <c r="B822" s="5" t="s">
        <v>32</v>
      </c>
      <c r="C822" s="5" t="s">
        <v>327</v>
      </c>
      <c r="D822" s="5">
        <v>90</v>
      </c>
      <c r="E822" s="5">
        <v>100</v>
      </c>
      <c r="F822" s="5">
        <v>10</v>
      </c>
      <c r="G822" s="5" t="s">
        <v>405</v>
      </c>
    </row>
    <row r="823" spans="1:7">
      <c r="A823" s="5" t="s">
        <v>1613</v>
      </c>
      <c r="B823" s="5" t="s">
        <v>62</v>
      </c>
      <c r="C823" s="5" t="s">
        <v>327</v>
      </c>
      <c r="D823" s="5">
        <v>90</v>
      </c>
      <c r="E823" s="5">
        <v>100</v>
      </c>
      <c r="F823" s="5">
        <v>10</v>
      </c>
      <c r="G823" s="5" t="s">
        <v>405</v>
      </c>
    </row>
    <row r="824" spans="1:7">
      <c r="A824" s="5" t="s">
        <v>1614</v>
      </c>
      <c r="B824" s="5" t="s">
        <v>337</v>
      </c>
      <c r="C824" s="5" t="s">
        <v>404</v>
      </c>
      <c r="D824" s="5">
        <v>90</v>
      </c>
      <c r="E824" s="5">
        <v>100</v>
      </c>
      <c r="F824" s="5">
        <v>10</v>
      </c>
      <c r="G824" s="5" t="s">
        <v>405</v>
      </c>
    </row>
    <row r="825" spans="1:7">
      <c r="A825" s="5" t="s">
        <v>1615</v>
      </c>
      <c r="B825" s="5" t="s">
        <v>64</v>
      </c>
      <c r="C825" s="5" t="s">
        <v>404</v>
      </c>
      <c r="D825" s="5">
        <v>120</v>
      </c>
      <c r="E825" s="5">
        <v>100</v>
      </c>
      <c r="F825" s="5">
        <v>5</v>
      </c>
      <c r="G825" s="5" t="s">
        <v>405</v>
      </c>
    </row>
    <row r="826" spans="1:7">
      <c r="A826" s="5" t="s">
        <v>1616</v>
      </c>
      <c r="B826" s="5" t="s">
        <v>363</v>
      </c>
      <c r="C826" s="5" t="s">
        <v>327</v>
      </c>
      <c r="D826" s="5">
        <v>120</v>
      </c>
      <c r="E826" s="5">
        <v>100</v>
      </c>
      <c r="F826" s="5">
        <v>5</v>
      </c>
      <c r="G826" s="5" t="s">
        <v>405</v>
      </c>
    </row>
    <row r="827" spans="1:7">
      <c r="A827" s="5" t="s">
        <v>1617</v>
      </c>
      <c r="B827" s="5" t="s">
        <v>32</v>
      </c>
      <c r="C827" s="5" t="s">
        <v>327</v>
      </c>
      <c r="D827" s="5">
        <v>80</v>
      </c>
      <c r="E827" s="5">
        <v>100</v>
      </c>
      <c r="F827" s="5">
        <v>5</v>
      </c>
      <c r="G827" s="5" t="s">
        <v>405</v>
      </c>
    </row>
    <row r="828" spans="1:7">
      <c r="A828" s="5" t="s">
        <v>1618</v>
      </c>
      <c r="B828" s="5" t="s">
        <v>341</v>
      </c>
      <c r="C828" s="5" t="s">
        <v>404</v>
      </c>
      <c r="D828" s="5">
        <v>80</v>
      </c>
      <c r="E828" s="5">
        <v>100</v>
      </c>
      <c r="F828" s="5">
        <v>15</v>
      </c>
      <c r="G828" s="5" t="s">
        <v>1539</v>
      </c>
    </row>
    <row r="829" spans="1:7">
      <c r="A829" s="5" t="s">
        <v>1619</v>
      </c>
      <c r="B829" s="5" t="s">
        <v>32</v>
      </c>
      <c r="C829" s="5" t="s">
        <v>404</v>
      </c>
      <c r="D829" s="5">
        <v>70</v>
      </c>
      <c r="E829" s="5">
        <v>90</v>
      </c>
      <c r="F829" s="5">
        <v>10</v>
      </c>
      <c r="G829" s="5" t="s">
        <v>1539</v>
      </c>
    </row>
    <row r="830" spans="1:7">
      <c r="A830" s="5" t="s">
        <v>1620</v>
      </c>
      <c r="B830" s="5" t="s">
        <v>129</v>
      </c>
      <c r="C830" s="5" t="s">
        <v>427</v>
      </c>
      <c r="D830" s="5">
        <v>0</v>
      </c>
      <c r="E830" s="5"/>
      <c r="F830" s="5">
        <v>10</v>
      </c>
      <c r="G830" s="5" t="s">
        <v>1539</v>
      </c>
    </row>
    <row r="831" spans="1:7">
      <c r="A831" s="5" t="s">
        <v>1621</v>
      </c>
      <c r="B831" s="5" t="s">
        <v>540</v>
      </c>
      <c r="C831" s="5" t="s">
        <v>404</v>
      </c>
      <c r="D831" s="5">
        <v>65</v>
      </c>
      <c r="E831" s="5">
        <v>90</v>
      </c>
      <c r="F831" s="5">
        <v>15</v>
      </c>
      <c r="G831" s="5" t="s">
        <v>1539</v>
      </c>
    </row>
    <row r="832" spans="1:7">
      <c r="A832" s="5" t="s">
        <v>1622</v>
      </c>
      <c r="B832" s="5" t="s">
        <v>138</v>
      </c>
      <c r="C832" s="5" t="s">
        <v>327</v>
      </c>
      <c r="D832" s="5">
        <v>100</v>
      </c>
      <c r="E832" s="5">
        <v>80</v>
      </c>
      <c r="F832" s="5">
        <v>5</v>
      </c>
      <c r="G832" s="5" t="s">
        <v>1539</v>
      </c>
    </row>
    <row r="833" spans="1:7">
      <c r="A833" s="5" t="s">
        <v>1623</v>
      </c>
      <c r="B833" s="5" t="s">
        <v>32</v>
      </c>
      <c r="C833" s="5" t="s">
        <v>327</v>
      </c>
      <c r="D833" s="5">
        <v>70</v>
      </c>
      <c r="E833" s="5">
        <v>90</v>
      </c>
      <c r="F833" s="5">
        <v>10</v>
      </c>
      <c r="G833" s="5" t="s">
        <v>1539</v>
      </c>
    </row>
    <row r="834" spans="1:7">
      <c r="A834" s="5" t="s">
        <v>1624</v>
      </c>
      <c r="B834" s="5" t="s">
        <v>59</v>
      </c>
      <c r="C834" s="5" t="s">
        <v>404</v>
      </c>
      <c r="D834" s="5">
        <v>120</v>
      </c>
      <c r="E834" s="5">
        <v>100</v>
      </c>
      <c r="F834" s="5">
        <v>10</v>
      </c>
      <c r="G834" s="5" t="s">
        <v>1539</v>
      </c>
    </row>
    <row r="835" spans="1:7">
      <c r="A835" s="5" t="s">
        <v>1625</v>
      </c>
      <c r="B835" s="5" t="s">
        <v>54</v>
      </c>
      <c r="C835" s="5" t="s">
        <v>404</v>
      </c>
      <c r="D835" s="5">
        <v>120</v>
      </c>
      <c r="E835" s="5">
        <v>100</v>
      </c>
      <c r="F835" s="5">
        <v>10</v>
      </c>
      <c r="G835" s="5" t="s">
        <v>1539</v>
      </c>
    </row>
    <row r="836" spans="1:7">
      <c r="A836" s="5" t="s">
        <v>1626</v>
      </c>
      <c r="B836" s="5" t="s">
        <v>82</v>
      </c>
      <c r="C836" s="5" t="s">
        <v>327</v>
      </c>
      <c r="D836" s="5">
        <v>150</v>
      </c>
      <c r="E836" s="5">
        <v>95</v>
      </c>
      <c r="F836" s="5">
        <v>5</v>
      </c>
      <c r="G836" s="5" t="s">
        <v>1539</v>
      </c>
    </row>
    <row r="837" spans="1:7">
      <c r="A837" s="5" t="s">
        <v>1627</v>
      </c>
      <c r="B837" s="5" t="s">
        <v>64</v>
      </c>
      <c r="C837" s="5" t="s">
        <v>404</v>
      </c>
      <c r="D837" s="5">
        <v>100</v>
      </c>
      <c r="E837" s="5">
        <v>85</v>
      </c>
      <c r="F837" s="5">
        <v>10</v>
      </c>
      <c r="G837" s="5" t="s">
        <v>1539</v>
      </c>
    </row>
    <row r="838" spans="1:7">
      <c r="A838" s="5" t="s">
        <v>1628</v>
      </c>
      <c r="B838" s="5" t="s">
        <v>337</v>
      </c>
      <c r="C838" s="5" t="s">
        <v>427</v>
      </c>
      <c r="D838" s="5">
        <v>0</v>
      </c>
      <c r="E838" s="5"/>
      <c r="F838" s="5">
        <v>10</v>
      </c>
      <c r="G838" s="5" t="s">
        <v>1539</v>
      </c>
    </row>
    <row r="839" spans="1:7">
      <c r="A839" s="5" t="s">
        <v>1629</v>
      </c>
      <c r="B839" s="5" t="s">
        <v>154</v>
      </c>
      <c r="C839" s="5" t="s">
        <v>404</v>
      </c>
      <c r="D839" s="5">
        <v>120</v>
      </c>
      <c r="E839" s="5">
        <v>100</v>
      </c>
      <c r="F839" s="5">
        <v>5</v>
      </c>
      <c r="G839" s="5" t="s">
        <v>1539</v>
      </c>
    </row>
    <row r="840" spans="1:7">
      <c r="A840" s="5" t="s">
        <v>1630</v>
      </c>
      <c r="B840" s="5" t="s">
        <v>341</v>
      </c>
      <c r="C840" s="5" t="s">
        <v>404</v>
      </c>
      <c r="D840" s="5">
        <v>60</v>
      </c>
      <c r="E840" s="5">
        <v>100</v>
      </c>
      <c r="F840" s="5">
        <v>10</v>
      </c>
      <c r="G840" s="5" t="s">
        <v>1539</v>
      </c>
    </row>
    <row r="841" spans="1:7">
      <c r="A841" s="5" t="s">
        <v>1631</v>
      </c>
      <c r="B841" s="5" t="s">
        <v>32</v>
      </c>
      <c r="C841" s="5" t="s">
        <v>327</v>
      </c>
      <c r="D841" s="5">
        <v>80</v>
      </c>
      <c r="E841" s="5">
        <v>100</v>
      </c>
      <c r="F841" s="5">
        <v>10</v>
      </c>
      <c r="G841" s="5" t="s">
        <v>1539</v>
      </c>
    </row>
    <row r="842" spans="1:7">
      <c r="A842" s="5" t="s">
        <v>1632</v>
      </c>
      <c r="B842" s="5" t="s">
        <v>363</v>
      </c>
      <c r="C842" s="5" t="s">
        <v>327</v>
      </c>
      <c r="D842" s="5">
        <v>75</v>
      </c>
      <c r="E842" s="5">
        <v>100</v>
      </c>
      <c r="F842" s="5">
        <v>10</v>
      </c>
      <c r="G842" s="5" t="s">
        <v>1539</v>
      </c>
    </row>
    <row r="843" spans="1:7">
      <c r="A843" s="5" t="s">
        <v>1633</v>
      </c>
      <c r="B843" s="5" t="s">
        <v>726</v>
      </c>
      <c r="C843" s="5" t="s">
        <v>427</v>
      </c>
      <c r="D843" s="5">
        <v>0</v>
      </c>
      <c r="E843" s="5"/>
      <c r="F843" s="5">
        <v>10</v>
      </c>
      <c r="G843" s="5" t="s">
        <v>1539</v>
      </c>
    </row>
    <row r="844" spans="1:7">
      <c r="A844" s="5" t="s">
        <v>1634</v>
      </c>
      <c r="B844" s="5" t="s">
        <v>337</v>
      </c>
      <c r="C844" s="5" t="s">
        <v>404</v>
      </c>
      <c r="D844" s="5">
        <v>90</v>
      </c>
      <c r="E844" s="5">
        <v>100</v>
      </c>
      <c r="F844" s="5">
        <v>10</v>
      </c>
      <c r="G844" s="5" t="s">
        <v>1539</v>
      </c>
    </row>
    <row r="845" spans="1:7">
      <c r="A845" s="5" t="s">
        <v>1635</v>
      </c>
      <c r="B845" s="5" t="s">
        <v>363</v>
      </c>
      <c r="C845" s="5" t="s">
        <v>327</v>
      </c>
      <c r="D845" s="5">
        <v>60</v>
      </c>
      <c r="E845" s="5">
        <v>100</v>
      </c>
      <c r="F845" s="5">
        <v>15</v>
      </c>
      <c r="G845" s="5" t="s">
        <v>1539</v>
      </c>
    </row>
    <row r="846" spans="1:7">
      <c r="A846" s="5" t="s">
        <v>1636</v>
      </c>
      <c r="B846" s="5" t="s">
        <v>62</v>
      </c>
      <c r="C846" s="5" t="s">
        <v>404</v>
      </c>
      <c r="D846" s="5">
        <v>65</v>
      </c>
      <c r="E846" s="5">
        <v>90</v>
      </c>
      <c r="F846" s="5">
        <v>15</v>
      </c>
      <c r="G846" s="5" t="s">
        <v>1539</v>
      </c>
    </row>
    <row r="847" spans="1:7">
      <c r="A847" s="5" t="s">
        <v>1637</v>
      </c>
      <c r="B847" s="5" t="s">
        <v>431</v>
      </c>
      <c r="C847" s="5" t="s">
        <v>327</v>
      </c>
      <c r="D847" s="5">
        <v>100</v>
      </c>
      <c r="E847" s="5">
        <v>80</v>
      </c>
      <c r="F847" s="5">
        <v>10</v>
      </c>
      <c r="G847" s="5" t="s">
        <v>1539</v>
      </c>
    </row>
    <row r="848" spans="1:7">
      <c r="A848" s="5" t="s">
        <v>1638</v>
      </c>
      <c r="B848" s="5" t="s">
        <v>76</v>
      </c>
      <c r="C848" s="5" t="s">
        <v>327</v>
      </c>
      <c r="D848" s="5">
        <v>100</v>
      </c>
      <c r="E848" s="5">
        <v>80</v>
      </c>
      <c r="F848" s="5">
        <v>10</v>
      </c>
      <c r="G848" s="5" t="s">
        <v>1539</v>
      </c>
    </row>
    <row r="849" spans="1:7">
      <c r="A849" s="5" t="s">
        <v>1639</v>
      </c>
      <c r="B849" s="5" t="s">
        <v>154</v>
      </c>
      <c r="C849" s="5" t="s">
        <v>327</v>
      </c>
      <c r="D849" s="5">
        <v>100</v>
      </c>
      <c r="E849" s="5">
        <v>80</v>
      </c>
      <c r="F849" s="5">
        <v>10</v>
      </c>
      <c r="G849" s="5" t="s">
        <v>1539</v>
      </c>
    </row>
    <row r="850" spans="1:7">
      <c r="A850" s="5" t="s">
        <v>1640</v>
      </c>
      <c r="B850" s="5" t="s">
        <v>32</v>
      </c>
      <c r="C850" s="5" t="s">
        <v>427</v>
      </c>
      <c r="D850" s="5">
        <v>0</v>
      </c>
      <c r="E850" s="5"/>
      <c r="F850" s="5">
        <v>5</v>
      </c>
      <c r="G850" s="5" t="s">
        <v>1539</v>
      </c>
    </row>
    <row r="851" spans="1:7">
      <c r="A851" s="5" t="s">
        <v>1641</v>
      </c>
      <c r="B851" s="5" t="s">
        <v>32</v>
      </c>
      <c r="C851" s="5" t="s">
        <v>427</v>
      </c>
      <c r="D851" s="5">
        <v>0</v>
      </c>
      <c r="E851" s="5"/>
      <c r="F851" s="5">
        <v>10</v>
      </c>
      <c r="G851" s="5" t="s">
        <v>1539</v>
      </c>
    </row>
    <row r="852" spans="1:7">
      <c r="A852" s="5" t="s">
        <v>1642</v>
      </c>
      <c r="B852" s="5" t="s">
        <v>129</v>
      </c>
      <c r="C852" s="5" t="s">
        <v>327</v>
      </c>
      <c r="D852" s="5">
        <v>80</v>
      </c>
      <c r="E852" s="5">
        <v>100</v>
      </c>
      <c r="F852" s="5">
        <v>10</v>
      </c>
      <c r="G852" s="5" t="s">
        <v>1539</v>
      </c>
    </row>
    <row r="853" spans="1:7">
      <c r="A853" s="5" t="s">
        <v>1643</v>
      </c>
      <c r="B853" s="5" t="s">
        <v>164</v>
      </c>
      <c r="C853" s="5" t="s">
        <v>427</v>
      </c>
      <c r="D853" s="5">
        <v>0</v>
      </c>
      <c r="E853" s="5"/>
      <c r="F853" s="5">
        <v>10</v>
      </c>
      <c r="G853" s="5" t="s">
        <v>1539</v>
      </c>
    </row>
    <row r="854" spans="1:7">
      <c r="A854" s="5" t="s">
        <v>1644</v>
      </c>
      <c r="B854" s="5" t="s">
        <v>337</v>
      </c>
      <c r="C854" s="5" t="s">
        <v>404</v>
      </c>
      <c r="D854" s="5">
        <v>120</v>
      </c>
      <c r="E854" s="5">
        <v>90</v>
      </c>
      <c r="F854" s="5">
        <v>10</v>
      </c>
      <c r="G854" s="5" t="s">
        <v>1539</v>
      </c>
    </row>
    <row r="855" spans="1:7">
      <c r="A855" s="5" t="s">
        <v>1645</v>
      </c>
      <c r="B855" s="5" t="s">
        <v>363</v>
      </c>
      <c r="C855" s="5" t="s">
        <v>404</v>
      </c>
      <c r="D855" s="5">
        <v>50</v>
      </c>
      <c r="E855" s="5">
        <v>100</v>
      </c>
      <c r="F855" s="5">
        <v>10</v>
      </c>
      <c r="G855" s="5" t="s">
        <v>1539</v>
      </c>
    </row>
    <row r="856" spans="1:7">
      <c r="A856" s="5" t="s">
        <v>1646</v>
      </c>
      <c r="B856" s="5" t="s">
        <v>32</v>
      </c>
      <c r="C856" s="5" t="s">
        <v>327</v>
      </c>
      <c r="D856" s="5">
        <v>80</v>
      </c>
      <c r="E856" s="5">
        <v>100</v>
      </c>
      <c r="F856" s="5">
        <v>10</v>
      </c>
      <c r="G856" s="5" t="s">
        <v>1539</v>
      </c>
    </row>
    <row r="857" spans="1:7">
      <c r="A857" s="5" t="s">
        <v>1647</v>
      </c>
      <c r="B857" s="5" t="s">
        <v>336</v>
      </c>
      <c r="C857" s="5" t="s">
        <v>404</v>
      </c>
      <c r="D857" s="5">
        <v>80</v>
      </c>
      <c r="E857" s="5">
        <v>100</v>
      </c>
      <c r="F857" s="5">
        <v>10</v>
      </c>
      <c r="G857" s="5" t="s">
        <v>1539</v>
      </c>
    </row>
    <row r="858" spans="1:7">
      <c r="A858" s="5" t="s">
        <v>1648</v>
      </c>
      <c r="B858" s="5" t="s">
        <v>54</v>
      </c>
      <c r="C858" s="5" t="s">
        <v>404</v>
      </c>
      <c r="D858" s="5">
        <v>60</v>
      </c>
      <c r="E858" s="5">
        <v>100</v>
      </c>
      <c r="F858" s="5">
        <v>15</v>
      </c>
      <c r="G858" s="5" t="s">
        <v>1539</v>
      </c>
    </row>
    <row r="859" spans="1:7">
      <c r="A859" s="5" t="s">
        <v>1649</v>
      </c>
      <c r="B859" s="5" t="s">
        <v>82</v>
      </c>
      <c r="C859" s="5" t="s">
        <v>427</v>
      </c>
      <c r="D859" s="5">
        <v>0</v>
      </c>
      <c r="E859" s="5"/>
      <c r="F859" s="5">
        <v>15</v>
      </c>
      <c r="G859" s="5" t="s">
        <v>1539</v>
      </c>
    </row>
    <row r="860" spans="1:7">
      <c r="A860" s="5" t="s">
        <v>1650</v>
      </c>
      <c r="B860" s="5" t="s">
        <v>726</v>
      </c>
      <c r="C860" s="5" t="s">
        <v>404</v>
      </c>
      <c r="D860" s="5">
        <v>100</v>
      </c>
      <c r="E860" s="5">
        <v>100</v>
      </c>
      <c r="F860" s="5">
        <v>5</v>
      </c>
      <c r="G860" s="5" t="s">
        <v>1539</v>
      </c>
    </row>
    <row r="861" spans="1:7">
      <c r="A861" s="5" t="s">
        <v>1651</v>
      </c>
      <c r="B861" s="5" t="s">
        <v>129</v>
      </c>
      <c r="C861" s="5" t="s">
        <v>404</v>
      </c>
      <c r="D861" s="5">
        <v>20</v>
      </c>
      <c r="E861" s="5">
        <v>90</v>
      </c>
      <c r="F861" s="5">
        <v>10</v>
      </c>
      <c r="G861" s="5" t="s">
        <v>1539</v>
      </c>
    </row>
    <row r="862" spans="1:7">
      <c r="A862" s="5" t="s">
        <v>1652</v>
      </c>
      <c r="B862" s="5" t="s">
        <v>64</v>
      </c>
      <c r="C862" s="5" t="s">
        <v>404</v>
      </c>
      <c r="D862" s="5">
        <v>80</v>
      </c>
      <c r="E862" s="5">
        <v>100</v>
      </c>
      <c r="F862" s="5">
        <v>15</v>
      </c>
      <c r="G862" s="5" t="s">
        <v>1539</v>
      </c>
    </row>
    <row r="863" spans="1:7">
      <c r="A863" s="5" t="s">
        <v>1653</v>
      </c>
      <c r="B863" s="5" t="s">
        <v>336</v>
      </c>
      <c r="C863" s="5" t="s">
        <v>404</v>
      </c>
      <c r="D863" s="5">
        <v>120</v>
      </c>
      <c r="E863" s="5">
        <v>100</v>
      </c>
      <c r="F863" s="5">
        <v>5</v>
      </c>
      <c r="G863" s="5" t="s">
        <v>1539</v>
      </c>
    </row>
    <row r="864" spans="1:7">
      <c r="A864" s="5" t="s">
        <v>1654</v>
      </c>
      <c r="B864" s="5" t="s">
        <v>129</v>
      </c>
      <c r="C864" s="5" t="s">
        <v>427</v>
      </c>
      <c r="D864" s="5">
        <v>0</v>
      </c>
      <c r="E864" s="5"/>
      <c r="F864" s="5">
        <v>1</v>
      </c>
      <c r="G864" s="5" t="s">
        <v>1539</v>
      </c>
    </row>
    <row r="865" spans="1:7">
      <c r="A865" s="5" t="s">
        <v>1655</v>
      </c>
      <c r="B865" s="5" t="s">
        <v>540</v>
      </c>
      <c r="C865" s="5" t="s">
        <v>404</v>
      </c>
      <c r="D865" s="5">
        <v>40</v>
      </c>
      <c r="E865" s="5">
        <v>100</v>
      </c>
      <c r="F865" s="5">
        <v>15</v>
      </c>
      <c r="G865" s="5" t="s">
        <v>1539</v>
      </c>
    </row>
    <row r="866" spans="1:7">
      <c r="A866" s="5" t="s">
        <v>1656</v>
      </c>
      <c r="B866" s="5" t="s">
        <v>54</v>
      </c>
      <c r="C866" s="5" t="s">
        <v>404</v>
      </c>
      <c r="D866" s="5">
        <v>30</v>
      </c>
      <c r="E866" s="5">
        <v>95</v>
      </c>
      <c r="F866" s="5">
        <v>10</v>
      </c>
      <c r="G866" s="5" t="s">
        <v>1539</v>
      </c>
    </row>
    <row r="867" spans="1:7">
      <c r="A867" s="5" t="s">
        <v>1657</v>
      </c>
      <c r="B867" s="5" t="s">
        <v>341</v>
      </c>
      <c r="C867" s="5" t="s">
        <v>404</v>
      </c>
      <c r="D867" s="5">
        <v>30</v>
      </c>
      <c r="E867" s="5">
        <v>100</v>
      </c>
      <c r="F867" s="5">
        <v>15</v>
      </c>
      <c r="G867" s="5" t="s">
        <v>1539</v>
      </c>
    </row>
    <row r="868" spans="1:7">
      <c r="A868" s="5" t="s">
        <v>1658</v>
      </c>
      <c r="B868" s="5" t="s">
        <v>129</v>
      </c>
      <c r="C868" s="5" t="s">
        <v>427</v>
      </c>
      <c r="D868" s="5">
        <v>0</v>
      </c>
      <c r="E868" s="5">
        <v>100</v>
      </c>
      <c r="F868" s="5">
        <v>10</v>
      </c>
      <c r="G868" s="5" t="s">
        <v>1539</v>
      </c>
    </row>
    <row r="869" spans="1:7">
      <c r="A869" s="5" t="s">
        <v>1659</v>
      </c>
      <c r="B869" s="5" t="s">
        <v>129</v>
      </c>
      <c r="C869" s="5" t="s">
        <v>427</v>
      </c>
      <c r="D869" s="5">
        <v>0</v>
      </c>
      <c r="E869" s="5"/>
      <c r="F869" s="5">
        <v>10</v>
      </c>
      <c r="G869" s="5" t="s">
        <v>1539</v>
      </c>
    </row>
    <row r="870" spans="1:7">
      <c r="A870" s="5" t="s">
        <v>1660</v>
      </c>
      <c r="B870" s="5" t="s">
        <v>62</v>
      </c>
      <c r="C870" s="5" t="s">
        <v>404</v>
      </c>
      <c r="D870" s="5">
        <v>85</v>
      </c>
      <c r="E870" s="5"/>
      <c r="F870" s="5">
        <v>10</v>
      </c>
      <c r="G870" s="5" t="s">
        <v>1539</v>
      </c>
    </row>
    <row r="871" spans="1:7">
      <c r="A871" s="5" t="s">
        <v>1661</v>
      </c>
      <c r="B871" s="5" t="s">
        <v>82</v>
      </c>
      <c r="C871" s="5" t="s">
        <v>404</v>
      </c>
      <c r="D871" s="5">
        <v>70</v>
      </c>
      <c r="E871" s="5"/>
      <c r="F871" s="5">
        <v>10</v>
      </c>
      <c r="G871" s="5" t="s">
        <v>1539</v>
      </c>
    </row>
    <row r="872" spans="1:7">
      <c r="A872" s="5" t="s">
        <v>1662</v>
      </c>
      <c r="B872" s="5" t="s">
        <v>59</v>
      </c>
      <c r="C872" s="5" t="s">
        <v>327</v>
      </c>
      <c r="D872" s="5">
        <v>80</v>
      </c>
      <c r="E872" s="5">
        <v>100</v>
      </c>
      <c r="F872" s="5">
        <v>10</v>
      </c>
      <c r="G872" s="5" t="s">
        <v>1539</v>
      </c>
    </row>
    <row r="873" spans="1:7">
      <c r="A873" s="5" t="s">
        <v>1663</v>
      </c>
      <c r="B873" s="5" t="s">
        <v>54</v>
      </c>
      <c r="C873" s="5" t="s">
        <v>404</v>
      </c>
      <c r="D873" s="5">
        <v>80</v>
      </c>
      <c r="E873" s="5">
        <v>100</v>
      </c>
      <c r="F873" s="5">
        <v>10</v>
      </c>
      <c r="G873" s="5" t="s">
        <v>1539</v>
      </c>
    </row>
    <row r="874" spans="1:7">
      <c r="A874" s="5" t="s">
        <v>1664</v>
      </c>
      <c r="B874" s="5" t="s">
        <v>129</v>
      </c>
      <c r="C874" s="5" t="s">
        <v>404</v>
      </c>
      <c r="D874" s="5">
        <v>90</v>
      </c>
      <c r="E874" s="5">
        <v>100</v>
      </c>
      <c r="F874" s="5">
        <v>10</v>
      </c>
      <c r="G874" s="5" t="s">
        <v>1539</v>
      </c>
    </row>
    <row r="875" spans="1:7">
      <c r="A875" s="5" t="s">
        <v>1665</v>
      </c>
      <c r="B875" s="5" t="s">
        <v>726</v>
      </c>
      <c r="C875" s="5" t="s">
        <v>327</v>
      </c>
      <c r="D875" s="5">
        <v>120</v>
      </c>
      <c r="E875" s="5">
        <v>100</v>
      </c>
      <c r="F875" s="5">
        <v>5</v>
      </c>
      <c r="G875" s="5" t="s">
        <v>1539</v>
      </c>
    </row>
    <row r="876" spans="1:7">
      <c r="A876" s="5" t="s">
        <v>1666</v>
      </c>
      <c r="B876" s="5" t="s">
        <v>32</v>
      </c>
      <c r="C876" s="5" t="s">
        <v>404</v>
      </c>
      <c r="D876" s="5">
        <v>80</v>
      </c>
      <c r="E876" s="5">
        <v>100</v>
      </c>
      <c r="F876" s="5">
        <v>15</v>
      </c>
      <c r="G876" s="5" t="s">
        <v>1539</v>
      </c>
    </row>
    <row r="877" spans="1:7">
      <c r="A877" s="5" t="s">
        <v>1667</v>
      </c>
      <c r="B877" s="5" t="s">
        <v>54</v>
      </c>
      <c r="C877" s="5" t="s">
        <v>327</v>
      </c>
      <c r="D877" s="5">
        <v>80</v>
      </c>
      <c r="E877" s="5">
        <v>100</v>
      </c>
      <c r="F877" s="5">
        <v>15</v>
      </c>
      <c r="G877" s="5" t="s">
        <v>1539</v>
      </c>
    </row>
    <row r="878" spans="1:7">
      <c r="A878" s="5" t="s">
        <v>1668</v>
      </c>
      <c r="B878" s="5" t="s">
        <v>62</v>
      </c>
      <c r="C878" s="5" t="s">
        <v>327</v>
      </c>
      <c r="D878" s="5">
        <v>1</v>
      </c>
      <c r="E878" s="5">
        <v>90</v>
      </c>
      <c r="F878" s="5">
        <v>10</v>
      </c>
      <c r="G878" s="5" t="s">
        <v>1539</v>
      </c>
    </row>
    <row r="879" spans="1:7">
      <c r="A879" s="5" t="s">
        <v>1669</v>
      </c>
      <c r="B879" s="5" t="s">
        <v>337</v>
      </c>
      <c r="C879" s="5" t="s">
        <v>404</v>
      </c>
      <c r="D879" s="5">
        <v>100</v>
      </c>
      <c r="E879" s="5">
        <v>100</v>
      </c>
      <c r="F879" s="5">
        <v>5</v>
      </c>
      <c r="G879" s="5" t="s">
        <v>1539</v>
      </c>
    </row>
    <row r="880" spans="1:7">
      <c r="A880" s="5" t="s">
        <v>1670</v>
      </c>
      <c r="B880" s="5" t="s">
        <v>76</v>
      </c>
      <c r="C880" s="5" t="s">
        <v>327</v>
      </c>
      <c r="D880" s="5">
        <v>100</v>
      </c>
      <c r="E880" s="5">
        <v>100</v>
      </c>
      <c r="F880" s="5">
        <v>5</v>
      </c>
      <c r="G880" s="5" t="s">
        <v>1539</v>
      </c>
    </row>
    <row r="881" spans="1:7">
      <c r="A881" s="5" t="s">
        <v>1671</v>
      </c>
      <c r="B881" s="5" t="s">
        <v>129</v>
      </c>
      <c r="C881" s="5" t="s">
        <v>427</v>
      </c>
      <c r="D881" s="5">
        <v>0</v>
      </c>
      <c r="E881" s="5"/>
      <c r="F881" s="5">
        <v>10</v>
      </c>
      <c r="G881" s="5" t="s">
        <v>1539</v>
      </c>
    </row>
    <row r="882" spans="1:7">
      <c r="A882" s="5" t="s">
        <v>1672</v>
      </c>
      <c r="B882" s="5" t="s">
        <v>64</v>
      </c>
      <c r="C882" s="5" t="s">
        <v>427</v>
      </c>
      <c r="D882" s="5">
        <v>0</v>
      </c>
      <c r="E882" s="5"/>
      <c r="F882" s="5">
        <v>10</v>
      </c>
      <c r="G882" s="5" t="s">
        <v>1539</v>
      </c>
    </row>
    <row r="883" spans="1:7">
      <c r="A883" s="5" t="s">
        <v>1673</v>
      </c>
      <c r="B883" s="5" t="s">
        <v>129</v>
      </c>
      <c r="C883" s="5" t="s">
        <v>427</v>
      </c>
      <c r="D883" s="5">
        <v>0</v>
      </c>
      <c r="E883" s="5"/>
      <c r="F883" s="5">
        <v>10</v>
      </c>
      <c r="G883" s="5" t="s">
        <v>1539</v>
      </c>
    </row>
    <row r="884" spans="1:7">
      <c r="A884" s="5" t="s">
        <v>1674</v>
      </c>
      <c r="B884" s="5" t="s">
        <v>64</v>
      </c>
      <c r="C884" s="5" t="s">
        <v>427</v>
      </c>
      <c r="D884" s="5">
        <v>0</v>
      </c>
      <c r="E884" s="5"/>
      <c r="F884" s="5">
        <v>10</v>
      </c>
      <c r="G884" s="5" t="s">
        <v>1539</v>
      </c>
    </row>
    <row r="885" spans="1:7">
      <c r="A885" s="5" t="s">
        <v>1675</v>
      </c>
      <c r="B885" s="5" t="s">
        <v>164</v>
      </c>
      <c r="C885" s="5" t="s">
        <v>404</v>
      </c>
      <c r="D885" s="5">
        <v>50</v>
      </c>
      <c r="E885" s="5">
        <v>100</v>
      </c>
      <c r="F885" s="5">
        <v>20</v>
      </c>
      <c r="G885" s="5" t="s">
        <v>1539</v>
      </c>
    </row>
    <row r="886" spans="1:7">
      <c r="A886" s="5" t="s">
        <v>1676</v>
      </c>
      <c r="B886" s="5" t="s">
        <v>82</v>
      </c>
      <c r="C886" s="5" t="s">
        <v>404</v>
      </c>
      <c r="D886" s="5">
        <v>50</v>
      </c>
      <c r="E886" s="5">
        <v>100</v>
      </c>
      <c r="F886" s="5">
        <v>20</v>
      </c>
      <c r="G886" s="5" t="s">
        <v>1539</v>
      </c>
    </row>
    <row r="887" spans="1:7">
      <c r="A887" s="5" t="s">
        <v>1677</v>
      </c>
      <c r="B887" s="5" t="s">
        <v>54</v>
      </c>
      <c r="C887" s="5" t="s">
        <v>327</v>
      </c>
      <c r="D887" s="5">
        <v>50</v>
      </c>
      <c r="E887" s="5">
        <v>100</v>
      </c>
      <c r="F887" s="5">
        <v>20</v>
      </c>
      <c r="G887" s="5" t="s">
        <v>1539</v>
      </c>
    </row>
    <row r="888" spans="1:7">
      <c r="A888" s="5" t="s">
        <v>1678</v>
      </c>
      <c r="B888" s="5" t="s">
        <v>129</v>
      </c>
      <c r="C888" s="5" t="s">
        <v>404</v>
      </c>
      <c r="D888" s="5">
        <v>100</v>
      </c>
      <c r="E888" s="5">
        <v>100</v>
      </c>
      <c r="F888" s="5">
        <v>5</v>
      </c>
      <c r="G888" s="5" t="s">
        <v>1539</v>
      </c>
    </row>
    <row r="889" spans="1:7">
      <c r="A889" s="5" t="s">
        <v>1679</v>
      </c>
      <c r="B889" s="5" t="s">
        <v>32</v>
      </c>
      <c r="C889" s="5" t="s">
        <v>327</v>
      </c>
      <c r="D889" s="5">
        <v>40</v>
      </c>
      <c r="E889" s="5">
        <v>100</v>
      </c>
      <c r="F889" s="5">
        <v>10</v>
      </c>
      <c r="G889" s="5" t="s">
        <v>1539</v>
      </c>
    </row>
    <row r="890" spans="1:7">
      <c r="A890" s="5" t="s">
        <v>1680</v>
      </c>
      <c r="B890" s="5" t="s">
        <v>363</v>
      </c>
      <c r="C890" s="5" t="s">
        <v>404</v>
      </c>
      <c r="D890" s="5">
        <v>50</v>
      </c>
      <c r="E890" s="5">
        <v>100</v>
      </c>
      <c r="F890" s="5">
        <v>10</v>
      </c>
      <c r="G890" s="5" t="s">
        <v>1539</v>
      </c>
    </row>
    <row r="891" spans="1:7">
      <c r="A891" s="5" t="s">
        <v>1681</v>
      </c>
      <c r="B891" s="5" t="s">
        <v>59</v>
      </c>
      <c r="C891" s="5" t="s">
        <v>327</v>
      </c>
      <c r="D891" s="5">
        <v>120</v>
      </c>
      <c r="E891" s="5">
        <v>100</v>
      </c>
      <c r="F891" s="5">
        <v>5</v>
      </c>
      <c r="G891" s="5" t="s">
        <v>1539</v>
      </c>
    </row>
    <row r="892" spans="1:7">
      <c r="A892" s="5" t="s">
        <v>1682</v>
      </c>
      <c r="B892" s="5" t="s">
        <v>59</v>
      </c>
      <c r="C892" s="5" t="s">
        <v>404</v>
      </c>
      <c r="D892" s="5">
        <v>90</v>
      </c>
      <c r="E892" s="5">
        <v>100</v>
      </c>
      <c r="F892" s="5">
        <v>10</v>
      </c>
      <c r="G892" s="5" t="s">
        <v>1539</v>
      </c>
    </row>
    <row r="893" spans="1:7">
      <c r="A893" s="5" t="s">
        <v>1683</v>
      </c>
      <c r="B893" s="5" t="s">
        <v>76</v>
      </c>
      <c r="C893" s="5" t="s">
        <v>404</v>
      </c>
      <c r="D893" s="5">
        <v>120</v>
      </c>
      <c r="E893" s="5">
        <v>100</v>
      </c>
      <c r="F893" s="5">
        <v>5</v>
      </c>
      <c r="G893" s="5" t="s">
        <v>1539</v>
      </c>
    </row>
    <row r="894" spans="1:7">
      <c r="A894" s="5" t="s">
        <v>1684</v>
      </c>
      <c r="B894" s="5" t="s">
        <v>726</v>
      </c>
      <c r="C894" s="5" t="s">
        <v>404</v>
      </c>
      <c r="D894" s="5">
        <v>160</v>
      </c>
      <c r="E894" s="5">
        <v>100</v>
      </c>
      <c r="F894" s="5">
        <v>5</v>
      </c>
      <c r="G894" s="5" t="s">
        <v>1539</v>
      </c>
    </row>
    <row r="895" spans="1:7">
      <c r="A895" s="5" t="s">
        <v>1685</v>
      </c>
      <c r="B895" s="5" t="s">
        <v>62</v>
      </c>
      <c r="C895" s="5" t="s">
        <v>404</v>
      </c>
      <c r="D895" s="5">
        <v>1</v>
      </c>
      <c r="E895" s="5">
        <v>100</v>
      </c>
      <c r="F895" s="5">
        <v>10</v>
      </c>
      <c r="G895" s="5" t="s">
        <v>1539</v>
      </c>
    </row>
    <row r="896" spans="1:7">
      <c r="A896" s="5" t="s">
        <v>1686</v>
      </c>
      <c r="B896" s="5" t="s">
        <v>54</v>
      </c>
      <c r="C896" s="5" t="s">
        <v>404</v>
      </c>
      <c r="D896" s="5">
        <v>70</v>
      </c>
      <c r="E896" s="5">
        <v>100</v>
      </c>
      <c r="F896" s="5">
        <v>20</v>
      </c>
      <c r="G896" s="5" t="s">
        <v>1539</v>
      </c>
    </row>
    <row r="897" spans="1:7">
      <c r="A897" s="5" t="s">
        <v>1687</v>
      </c>
      <c r="B897" s="5" t="s">
        <v>59</v>
      </c>
      <c r="C897" s="5" t="s">
        <v>404</v>
      </c>
      <c r="D897" s="5">
        <v>80</v>
      </c>
      <c r="E897" s="5">
        <v>100</v>
      </c>
      <c r="F897" s="5">
        <v>10</v>
      </c>
      <c r="G897" s="5" t="s">
        <v>1539</v>
      </c>
    </row>
    <row r="898" spans="1:7">
      <c r="A898" s="5" t="s">
        <v>1688</v>
      </c>
      <c r="B898" s="5" t="s">
        <v>62</v>
      </c>
      <c r="C898" s="5" t="s">
        <v>404</v>
      </c>
      <c r="D898" s="5">
        <v>80</v>
      </c>
      <c r="E898" s="5">
        <v>100</v>
      </c>
      <c r="F898" s="5">
        <v>10</v>
      </c>
      <c r="G898" s="5" t="s">
        <v>1539</v>
      </c>
    </row>
    <row r="899" spans="1:7">
      <c r="A899" s="5" t="s">
        <v>1689</v>
      </c>
      <c r="B899" s="5" t="s">
        <v>341</v>
      </c>
      <c r="C899" s="5" t="s">
        <v>404</v>
      </c>
      <c r="D899" s="5">
        <v>100</v>
      </c>
      <c r="E899" s="5">
        <v>100</v>
      </c>
      <c r="F899" s="5">
        <v>10</v>
      </c>
      <c r="G899" s="5" t="s">
        <v>1539</v>
      </c>
    </row>
    <row r="900" spans="1:7">
      <c r="A900" s="5" t="s">
        <v>1690</v>
      </c>
      <c r="B900" s="5" t="s">
        <v>337</v>
      </c>
      <c r="C900" s="5" t="s">
        <v>404</v>
      </c>
      <c r="D900" s="5">
        <v>100</v>
      </c>
      <c r="E900" s="5">
        <v>100</v>
      </c>
      <c r="F900" s="5">
        <v>10</v>
      </c>
      <c r="G900" s="5" t="s">
        <v>1539</v>
      </c>
    </row>
    <row r="901" spans="1:7">
      <c r="A901" s="5" t="s">
        <v>1691</v>
      </c>
      <c r="B901" s="5" t="s">
        <v>138</v>
      </c>
      <c r="C901" s="5" t="s">
        <v>404</v>
      </c>
      <c r="D901" s="5">
        <v>100</v>
      </c>
      <c r="E901" s="5">
        <v>100</v>
      </c>
      <c r="F901" s="5">
        <v>10</v>
      </c>
      <c r="G901" s="5" t="s">
        <v>1539</v>
      </c>
    </row>
    <row r="902" spans="1:7">
      <c r="A902" s="5" t="s">
        <v>1692</v>
      </c>
      <c r="B902" s="5" t="s">
        <v>129</v>
      </c>
      <c r="C902" s="5" t="s">
        <v>327</v>
      </c>
      <c r="D902" s="5">
        <v>140</v>
      </c>
      <c r="E902" s="5">
        <v>100</v>
      </c>
      <c r="F902" s="5">
        <v>5</v>
      </c>
      <c r="G902" s="5" t="s">
        <v>1539</v>
      </c>
    </row>
    <row r="903" spans="1:7">
      <c r="A903" s="5" t="s">
        <v>1693</v>
      </c>
      <c r="B903" s="5" t="s">
        <v>82</v>
      </c>
      <c r="C903" s="5" t="s">
        <v>327</v>
      </c>
      <c r="D903" s="5">
        <v>80</v>
      </c>
      <c r="E903" s="5">
        <v>90</v>
      </c>
      <c r="F903" s="5">
        <v>15</v>
      </c>
      <c r="G903" s="5" t="s">
        <v>1539</v>
      </c>
    </row>
    <row r="904" spans="1:7">
      <c r="A904" s="5" t="s">
        <v>1694</v>
      </c>
      <c r="B904" s="5" t="s">
        <v>82</v>
      </c>
      <c r="C904" s="5" t="s">
        <v>327</v>
      </c>
      <c r="D904" s="5">
        <v>60</v>
      </c>
      <c r="E904" s="5">
        <v>85</v>
      </c>
      <c r="F904" s="5">
        <v>10</v>
      </c>
      <c r="G904" s="5" t="s">
        <v>1539</v>
      </c>
    </row>
    <row r="905" spans="1:7">
      <c r="A905" s="5" t="s">
        <v>1695</v>
      </c>
      <c r="B905" s="5" t="s">
        <v>82</v>
      </c>
      <c r="C905" s="5" t="s">
        <v>404</v>
      </c>
      <c r="D905" s="5">
        <v>100</v>
      </c>
      <c r="E905" s="5">
        <v>100</v>
      </c>
      <c r="F905" s="5">
        <v>10</v>
      </c>
      <c r="G905" s="5" t="s">
        <v>1539</v>
      </c>
    </row>
    <row r="906" spans="1:7">
      <c r="A906" s="5" t="s">
        <v>1696</v>
      </c>
      <c r="B906" s="5" t="s">
        <v>76</v>
      </c>
      <c r="C906" s="5" t="s">
        <v>327</v>
      </c>
      <c r="D906" s="5">
        <v>130</v>
      </c>
      <c r="E906" s="5">
        <v>100</v>
      </c>
      <c r="F906" s="5">
        <v>10</v>
      </c>
      <c r="G906" s="5" t="s">
        <v>1539</v>
      </c>
    </row>
    <row r="907" spans="1:7">
      <c r="A907" s="5" t="s">
        <v>1697</v>
      </c>
      <c r="B907" s="5" t="s">
        <v>129</v>
      </c>
      <c r="C907" s="5" t="s">
        <v>327</v>
      </c>
      <c r="D907" s="5">
        <v>120</v>
      </c>
      <c r="E907" s="5">
        <v>100</v>
      </c>
      <c r="F907" s="5">
        <v>5</v>
      </c>
      <c r="G907" s="5" t="s">
        <v>1539</v>
      </c>
    </row>
    <row r="908" spans="1:7">
      <c r="A908" s="5" t="s">
        <v>1698</v>
      </c>
      <c r="B908" s="5" t="s">
        <v>336</v>
      </c>
      <c r="C908" s="5" t="s">
        <v>327</v>
      </c>
      <c r="D908" s="5">
        <v>80</v>
      </c>
      <c r="E908" s="5">
        <v>100</v>
      </c>
      <c r="F908" s="5">
        <v>5</v>
      </c>
      <c r="G908" s="5" t="s">
        <v>1539</v>
      </c>
    </row>
    <row r="909" spans="1:7">
      <c r="A909" s="5" t="s">
        <v>1699</v>
      </c>
      <c r="B909" s="5" t="s">
        <v>59</v>
      </c>
      <c r="C909" s="5" t="s">
        <v>427</v>
      </c>
      <c r="D909" s="5">
        <v>0</v>
      </c>
      <c r="E909" s="5">
        <v>0</v>
      </c>
      <c r="F909" s="5">
        <v>10</v>
      </c>
      <c r="G909" s="5" t="s">
        <v>1539</v>
      </c>
    </row>
    <row r="910" spans="1:7">
      <c r="A910" s="5" t="s">
        <v>1700</v>
      </c>
      <c r="B910" s="5" t="s">
        <v>76</v>
      </c>
      <c r="C910" s="5" t="s">
        <v>327</v>
      </c>
      <c r="D910" s="5">
        <v>70</v>
      </c>
      <c r="E910" s="5">
        <v>100</v>
      </c>
      <c r="F910" s="5">
        <v>5</v>
      </c>
      <c r="G910" s="5" t="s">
        <v>1539</v>
      </c>
    </row>
    <row r="911" spans="1:7">
      <c r="A911" s="5" t="s">
        <v>1701</v>
      </c>
      <c r="B911" s="5" t="s">
        <v>540</v>
      </c>
      <c r="C911" s="5" t="s">
        <v>404</v>
      </c>
      <c r="D911" s="5">
        <v>95</v>
      </c>
      <c r="E911" s="5">
        <v>100</v>
      </c>
      <c r="F911" s="5">
        <v>5</v>
      </c>
      <c r="G911" s="5" t="s">
        <v>1539</v>
      </c>
    </row>
    <row r="912" spans="1:7">
      <c r="A912" s="5" t="s">
        <v>1702</v>
      </c>
      <c r="B912" s="5" t="s">
        <v>726</v>
      </c>
      <c r="C912" s="5" t="s">
        <v>327</v>
      </c>
      <c r="D912" s="5">
        <v>50</v>
      </c>
      <c r="E912" s="5">
        <v>0</v>
      </c>
      <c r="F912" s="5">
        <v>10</v>
      </c>
      <c r="G912" s="5" t="s">
        <v>1539</v>
      </c>
    </row>
    <row r="913" spans="1:7">
      <c r="A913" s="5" t="s">
        <v>1703</v>
      </c>
      <c r="B913" s="5" t="s">
        <v>726</v>
      </c>
      <c r="C913" s="5" t="s">
        <v>404</v>
      </c>
      <c r="D913" s="5">
        <v>0</v>
      </c>
      <c r="E913" s="5">
        <v>100</v>
      </c>
      <c r="F913" s="5">
        <v>10</v>
      </c>
      <c r="G913" s="5" t="s">
        <v>1539</v>
      </c>
    </row>
    <row r="914" spans="1:7">
      <c r="A914" s="5" t="s">
        <v>1704</v>
      </c>
      <c r="B914" s="5" t="s">
        <v>336</v>
      </c>
      <c r="C914" s="5" t="s">
        <v>427</v>
      </c>
      <c r="D914" s="5">
        <v>0</v>
      </c>
      <c r="E914" s="5">
        <v>0</v>
      </c>
      <c r="F914" s="5">
        <v>15</v>
      </c>
      <c r="G914" s="5" t="s">
        <v>1539</v>
      </c>
    </row>
    <row r="915" spans="1:7">
      <c r="A915" s="5" t="s">
        <v>1705</v>
      </c>
      <c r="B915" s="5" t="s">
        <v>138</v>
      </c>
      <c r="C915" s="5" t="s">
        <v>327</v>
      </c>
      <c r="D915" s="5">
        <v>80</v>
      </c>
      <c r="E915" s="5">
        <v>100</v>
      </c>
      <c r="F915" s="5">
        <v>10</v>
      </c>
      <c r="G915" s="5" t="s">
        <v>1539</v>
      </c>
    </row>
    <row r="916" spans="1:7">
      <c r="A916" s="5" t="s">
        <v>1706</v>
      </c>
      <c r="B916" s="5" t="s">
        <v>59</v>
      </c>
      <c r="C916" s="5" t="s">
        <v>404</v>
      </c>
      <c r="D916" s="5">
        <v>75</v>
      </c>
      <c r="E916" s="5">
        <v>100</v>
      </c>
      <c r="F916" s="5">
        <v>10</v>
      </c>
      <c r="G916" s="5" t="s">
        <v>1539</v>
      </c>
    </row>
    <row r="917" spans="1:7">
      <c r="A917" s="5" t="s">
        <v>1707</v>
      </c>
      <c r="B917" s="5" t="s">
        <v>76</v>
      </c>
      <c r="C917" s="5" t="s">
        <v>404</v>
      </c>
      <c r="D917" s="5">
        <v>100</v>
      </c>
      <c r="E917" s="5">
        <v>95</v>
      </c>
      <c r="F917" s="5">
        <v>15</v>
      </c>
      <c r="G917" s="5" t="s">
        <v>1539</v>
      </c>
    </row>
    <row r="918" spans="1:7">
      <c r="A918" s="5" t="s">
        <v>1708</v>
      </c>
      <c r="B918" s="5" t="s">
        <v>32</v>
      </c>
      <c r="C918" s="5" t="s">
        <v>327</v>
      </c>
      <c r="D918" s="5">
        <v>75</v>
      </c>
      <c r="E918" s="5">
        <v>100</v>
      </c>
      <c r="F918" s="5">
        <v>10</v>
      </c>
      <c r="G918" s="5" t="s">
        <v>1539</v>
      </c>
    </row>
    <row r="919" spans="1:7">
      <c r="A919" s="5" t="s">
        <v>1709</v>
      </c>
      <c r="B919" s="5" t="s">
        <v>337</v>
      </c>
      <c r="C919" s="5" t="s">
        <v>404</v>
      </c>
      <c r="D919" s="5">
        <v>65</v>
      </c>
      <c r="E919" s="5">
        <v>100</v>
      </c>
      <c r="F919" s="5">
        <v>15</v>
      </c>
      <c r="G919" s="5" t="s">
        <v>1539</v>
      </c>
    </row>
    <row r="920" spans="1:7">
      <c r="A920" s="5" t="s">
        <v>1710</v>
      </c>
      <c r="B920" s="5" t="s">
        <v>341</v>
      </c>
      <c r="C920" s="5" t="s">
        <v>327</v>
      </c>
      <c r="D920" s="5">
        <v>100</v>
      </c>
      <c r="E920" s="5">
        <v>100</v>
      </c>
      <c r="F920" s="5">
        <v>5</v>
      </c>
      <c r="G920" s="5" t="s">
        <v>1539</v>
      </c>
    </row>
    <row r="921" spans="1:7">
      <c r="A921" s="5" t="s">
        <v>1711</v>
      </c>
      <c r="B921" s="5" t="s">
        <v>1712</v>
      </c>
      <c r="C921" s="5" t="s">
        <v>404</v>
      </c>
      <c r="D921" s="5">
        <v>55</v>
      </c>
      <c r="E921" s="5">
        <v>100</v>
      </c>
      <c r="F921" s="5"/>
      <c r="G921" s="5" t="s">
        <v>1713</v>
      </c>
    </row>
    <row r="922" spans="1:7">
      <c r="A922" s="5" t="s">
        <v>1714</v>
      </c>
      <c r="B922" s="5" t="s">
        <v>1712</v>
      </c>
      <c r="C922" s="5" t="s">
        <v>404</v>
      </c>
      <c r="D922" s="5">
        <v>80</v>
      </c>
      <c r="E922" s="5">
        <v>100</v>
      </c>
      <c r="F922" s="5"/>
      <c r="G922" s="5" t="s">
        <v>407</v>
      </c>
    </row>
    <row r="923" spans="1:7">
      <c r="A923" s="5" t="s">
        <v>1715</v>
      </c>
      <c r="B923" s="5" t="s">
        <v>1712</v>
      </c>
      <c r="C923" s="5" t="s">
        <v>404</v>
      </c>
      <c r="D923" s="5">
        <v>40</v>
      </c>
      <c r="E923" s="5">
        <v>100</v>
      </c>
      <c r="F923" s="5"/>
      <c r="G923" s="5" t="s">
        <v>405</v>
      </c>
    </row>
    <row r="924" spans="1:7">
      <c r="A924" s="5" t="s">
        <v>1716</v>
      </c>
      <c r="B924" s="5" t="s">
        <v>1712</v>
      </c>
      <c r="C924" s="5" t="s">
        <v>327</v>
      </c>
      <c r="D924" s="5">
        <v>75</v>
      </c>
      <c r="E924" s="5">
        <v>100</v>
      </c>
      <c r="F924" s="5"/>
      <c r="G924" s="5" t="s">
        <v>419</v>
      </c>
    </row>
    <row r="925" spans="1:7">
      <c r="A925" s="5" t="s">
        <v>1717</v>
      </c>
      <c r="B925" s="5" t="s">
        <v>1712</v>
      </c>
      <c r="C925" s="5" t="s">
        <v>404</v>
      </c>
      <c r="D925" s="5">
        <v>75</v>
      </c>
      <c r="E925" s="5">
        <v>100</v>
      </c>
      <c r="F925" s="5"/>
      <c r="G925" s="5" t="s">
        <v>405</v>
      </c>
    </row>
    <row r="926" spans="1:7">
      <c r="A926" s="5" t="s">
        <v>1718</v>
      </c>
      <c r="B926" s="5" t="s">
        <v>1712</v>
      </c>
      <c r="C926" s="5" t="s">
        <v>327</v>
      </c>
      <c r="D926" s="5">
        <v>75</v>
      </c>
      <c r="E926" s="5">
        <v>100</v>
      </c>
      <c r="F926" s="5"/>
      <c r="G926" s="5" t="s">
        <v>417</v>
      </c>
    </row>
    <row r="927" spans="1:7">
      <c r="A927" s="5" t="s">
        <v>1719</v>
      </c>
      <c r="B927" s="5" t="s">
        <v>1712</v>
      </c>
      <c r="C927" s="5" t="s">
        <v>404</v>
      </c>
      <c r="D927" s="5">
        <v>120</v>
      </c>
      <c r="E927" s="5">
        <v>60</v>
      </c>
      <c r="F927" s="5"/>
      <c r="G927" s="5" t="s">
        <v>1720</v>
      </c>
    </row>
    <row r="928" spans="1:7">
      <c r="A928" s="5" t="s">
        <v>1721</v>
      </c>
      <c r="B928" s="5" t="s">
        <v>1712</v>
      </c>
      <c r="C928" s="5" t="s">
        <v>327</v>
      </c>
      <c r="D928" s="5">
        <v>75</v>
      </c>
      <c r="E928" s="5">
        <v>100</v>
      </c>
      <c r="F928" s="5"/>
      <c r="G928" s="5" t="s">
        <v>415</v>
      </c>
    </row>
    <row r="929" spans="1:7">
      <c r="A929" s="5" t="s">
        <v>1722</v>
      </c>
      <c r="B929" s="5" t="s">
        <v>1712</v>
      </c>
      <c r="C929" s="5" t="s">
        <v>327</v>
      </c>
      <c r="D929" s="5">
        <v>70</v>
      </c>
      <c r="E929" s="5">
        <v>100</v>
      </c>
      <c r="F929" s="5"/>
      <c r="G929" s="5" t="s">
        <v>405</v>
      </c>
    </row>
    <row r="930" spans="1:7">
      <c r="A930" s="5" t="s">
        <v>1723</v>
      </c>
      <c r="B930" s="5" t="s">
        <v>1712</v>
      </c>
      <c r="C930" s="5" t="s">
        <v>327</v>
      </c>
      <c r="D930" s="5">
        <v>95</v>
      </c>
      <c r="E930" s="5">
        <v>100</v>
      </c>
      <c r="F930" s="5"/>
      <c r="G930" s="5" t="s">
        <v>405</v>
      </c>
    </row>
    <row r="931" spans="1:7">
      <c r="A931" s="5" t="s">
        <v>1724</v>
      </c>
      <c r="B931" s="5" t="s">
        <v>1712</v>
      </c>
      <c r="C931" s="5" t="s">
        <v>327</v>
      </c>
      <c r="D931" s="5">
        <v>50</v>
      </c>
      <c r="E931" s="5">
        <v>100</v>
      </c>
      <c r="F931" s="5"/>
      <c r="G931" s="5" t="s">
        <v>405</v>
      </c>
    </row>
    <row r="932" spans="1:7">
      <c r="A932" s="5" t="s">
        <v>1725</v>
      </c>
      <c r="B932" s="5" t="s">
        <v>1712</v>
      </c>
      <c r="C932" s="5" t="s">
        <v>427</v>
      </c>
      <c r="D932" s="5"/>
      <c r="E932" s="5">
        <v>100</v>
      </c>
      <c r="F932" s="5"/>
      <c r="G932" s="5" t="s">
        <v>563</v>
      </c>
    </row>
    <row r="933" spans="1:7">
      <c r="A933" s="5" t="s">
        <v>1726</v>
      </c>
      <c r="B933" s="5" t="s">
        <v>1712</v>
      </c>
      <c r="C933" s="5" t="s">
        <v>327</v>
      </c>
      <c r="D933" s="5"/>
      <c r="E933" s="5">
        <v>100</v>
      </c>
      <c r="F933" s="5"/>
      <c r="G933" s="5" t="s">
        <v>1727</v>
      </c>
    </row>
    <row r="934" spans="1:7">
      <c r="A934" s="5" t="s">
        <v>1728</v>
      </c>
      <c r="B934" s="5" t="s">
        <v>1712</v>
      </c>
      <c r="C934" s="5" t="s">
        <v>427</v>
      </c>
      <c r="D934" s="5"/>
      <c r="E934" s="5"/>
      <c r="F934" s="5"/>
      <c r="G934" s="5" t="s">
        <v>661</v>
      </c>
    </row>
    <row r="935" spans="1:7">
      <c r="A935" s="5" t="s">
        <v>1729</v>
      </c>
      <c r="B935" s="5" t="s">
        <v>1712</v>
      </c>
      <c r="C935" s="5" t="s">
        <v>427</v>
      </c>
      <c r="D935" s="5"/>
      <c r="E935" s="5">
        <v>100</v>
      </c>
      <c r="F935" s="5"/>
      <c r="G935" s="5" t="s">
        <v>1730</v>
      </c>
    </row>
    <row r="936" spans="1:7">
      <c r="A936" s="5" t="s">
        <v>1731</v>
      </c>
      <c r="B936" s="5" t="s">
        <v>1712</v>
      </c>
      <c r="C936" s="5" t="s">
        <v>427</v>
      </c>
      <c r="D936" s="5"/>
      <c r="E936" s="5">
        <v>90</v>
      </c>
      <c r="F936" s="5"/>
      <c r="G936" s="5" t="s">
        <v>480</v>
      </c>
    </row>
    <row r="937" spans="1:7">
      <c r="A937" s="5" t="s">
        <v>1732</v>
      </c>
      <c r="B937" s="5" t="s">
        <v>1712</v>
      </c>
      <c r="C937" s="5" t="s">
        <v>427</v>
      </c>
      <c r="D937" s="5"/>
      <c r="E937" s="5"/>
      <c r="F937" s="5"/>
      <c r="G937" s="5" t="s">
        <v>1733</v>
      </c>
    </row>
    <row r="938" spans="1:7">
      <c r="A938" s="5" t="s">
        <v>1734</v>
      </c>
      <c r="B938" s="5" t="s">
        <v>1712</v>
      </c>
      <c r="C938" s="5" t="s">
        <v>427</v>
      </c>
      <c r="D938" s="5"/>
      <c r="E938" s="5"/>
      <c r="F938" s="5"/>
      <c r="G938" s="5" t="s">
        <v>1735</v>
      </c>
    </row>
  </sheetData>
  <autoFilter ref="A1:G1000" xr:uid="{00000000-0009-0000-0000-000005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>
    <outlinePr summaryBelow="0" summaryRight="0"/>
  </sheetPr>
  <dimension ref="A1:D104"/>
  <sheetViews>
    <sheetView workbookViewId="0"/>
  </sheetViews>
  <sheetFormatPr defaultColWidth="12.5703125" defaultRowHeight="15.75" customHeight="1"/>
  <cols>
    <col min="1" max="1" width="28.5703125" customWidth="1"/>
    <col min="3" max="3" width="12.85546875" customWidth="1"/>
  </cols>
  <sheetData>
    <row r="1" spans="1:4" ht="12.75">
      <c r="A1" s="10" t="s">
        <v>397</v>
      </c>
      <c r="B1" s="10" t="s">
        <v>27</v>
      </c>
      <c r="C1" s="10" t="s">
        <v>1736</v>
      </c>
      <c r="D1" s="10" t="s">
        <v>1737</v>
      </c>
    </row>
    <row r="2" spans="1:4" ht="12.75" hidden="1">
      <c r="A2" s="10" t="s">
        <v>1738</v>
      </c>
      <c r="B2" s="10" t="s">
        <v>59</v>
      </c>
      <c r="C2" s="10" t="s">
        <v>1739</v>
      </c>
      <c r="D2" s="10">
        <v>200</v>
      </c>
    </row>
    <row r="3" spans="1:4" ht="12.75" hidden="1">
      <c r="A3" s="10" t="s">
        <v>1740</v>
      </c>
      <c r="B3" s="10" t="s">
        <v>154</v>
      </c>
      <c r="C3" s="10" t="s">
        <v>1739</v>
      </c>
      <c r="D3" s="10">
        <v>200</v>
      </c>
    </row>
    <row r="4" spans="1:4" ht="12.75" hidden="1">
      <c r="A4" s="10" t="s">
        <v>1741</v>
      </c>
      <c r="B4" s="10" t="s">
        <v>76</v>
      </c>
      <c r="C4" s="10" t="s">
        <v>1739</v>
      </c>
      <c r="D4" s="10">
        <v>200</v>
      </c>
    </row>
    <row r="5" spans="1:4" ht="12.75" hidden="1">
      <c r="A5" s="10" t="s">
        <v>1742</v>
      </c>
      <c r="B5" s="10" t="s">
        <v>337</v>
      </c>
      <c r="C5" s="10" t="s">
        <v>1739</v>
      </c>
      <c r="D5" s="10">
        <v>200</v>
      </c>
    </row>
    <row r="6" spans="1:4" ht="12.75" hidden="1">
      <c r="A6" s="10" t="s">
        <v>1743</v>
      </c>
      <c r="B6" s="10" t="s">
        <v>726</v>
      </c>
      <c r="C6" s="10" t="s">
        <v>1739</v>
      </c>
      <c r="D6" s="10">
        <v>200</v>
      </c>
    </row>
    <row r="7" spans="1:4" ht="12.75" hidden="1">
      <c r="A7" s="10" t="s">
        <v>1560</v>
      </c>
      <c r="B7" s="10" t="s">
        <v>540</v>
      </c>
      <c r="C7" s="10" t="s">
        <v>1744</v>
      </c>
      <c r="D7" s="10">
        <v>160</v>
      </c>
    </row>
    <row r="8" spans="1:4" ht="12.75" hidden="1">
      <c r="A8" s="10" t="s">
        <v>1564</v>
      </c>
      <c r="B8" s="10" t="s">
        <v>726</v>
      </c>
      <c r="C8" s="10" t="s">
        <v>1744</v>
      </c>
      <c r="D8" s="10">
        <v>160</v>
      </c>
    </row>
    <row r="9" spans="1:4" ht="12.75" hidden="1">
      <c r="A9" s="10" t="s">
        <v>1549</v>
      </c>
      <c r="B9" s="10" t="s">
        <v>76</v>
      </c>
      <c r="C9" s="10" t="s">
        <v>1744</v>
      </c>
      <c r="D9" s="10">
        <v>160</v>
      </c>
    </row>
    <row r="10" spans="1:4" ht="12.75" hidden="1">
      <c r="A10" s="10" t="s">
        <v>1561</v>
      </c>
      <c r="B10" s="10" t="s">
        <v>154</v>
      </c>
      <c r="C10" s="10" t="s">
        <v>1744</v>
      </c>
      <c r="D10" s="10">
        <v>160</v>
      </c>
    </row>
    <row r="11" spans="1:4" ht="12.75" hidden="1">
      <c r="A11" s="10" t="s">
        <v>1550</v>
      </c>
      <c r="B11" s="10" t="s">
        <v>129</v>
      </c>
      <c r="C11" s="10" t="s">
        <v>1744</v>
      </c>
      <c r="D11" s="10">
        <v>160</v>
      </c>
    </row>
    <row r="12" spans="1:4" ht="12.75" hidden="1">
      <c r="A12" s="10" t="s">
        <v>1551</v>
      </c>
      <c r="B12" s="10" t="s">
        <v>337</v>
      </c>
      <c r="C12" s="10" t="s">
        <v>1744</v>
      </c>
      <c r="D12" s="10">
        <v>140</v>
      </c>
    </row>
    <row r="13" spans="1:4" ht="12.75">
      <c r="A13" s="10" t="s">
        <v>1670</v>
      </c>
      <c r="B13" s="10" t="s">
        <v>76</v>
      </c>
      <c r="C13" s="10" t="s">
        <v>327</v>
      </c>
      <c r="D13" s="10">
        <v>130</v>
      </c>
    </row>
    <row r="14" spans="1:4" ht="12.75">
      <c r="A14" s="10" t="s">
        <v>1081</v>
      </c>
      <c r="B14" s="10" t="s">
        <v>82</v>
      </c>
      <c r="C14" s="10" t="s">
        <v>327</v>
      </c>
      <c r="D14" s="10">
        <v>130</v>
      </c>
    </row>
    <row r="15" spans="1:4" ht="12.75" hidden="1">
      <c r="A15" s="10" t="s">
        <v>1669</v>
      </c>
      <c r="B15" s="10" t="s">
        <v>337</v>
      </c>
      <c r="C15" s="10" t="s">
        <v>404</v>
      </c>
      <c r="D15" s="10">
        <v>130</v>
      </c>
    </row>
    <row r="16" spans="1:4" ht="12.75" hidden="1">
      <c r="A16" s="10" t="s">
        <v>1054</v>
      </c>
      <c r="B16" s="10" t="s">
        <v>129</v>
      </c>
      <c r="C16" s="10" t="s">
        <v>404</v>
      </c>
      <c r="D16" s="10">
        <v>130</v>
      </c>
    </row>
    <row r="17" spans="1:4" ht="12.75" hidden="1">
      <c r="A17" s="10" t="s">
        <v>883</v>
      </c>
      <c r="B17" s="10" t="s">
        <v>59</v>
      </c>
      <c r="C17" s="10" t="s">
        <v>404</v>
      </c>
      <c r="D17" s="10">
        <v>120</v>
      </c>
    </row>
    <row r="18" spans="1:4" ht="12.75" hidden="1">
      <c r="A18" s="10" t="s">
        <v>984</v>
      </c>
      <c r="B18" s="10" t="s">
        <v>337</v>
      </c>
      <c r="C18" s="10" t="s">
        <v>404</v>
      </c>
      <c r="D18" s="10">
        <v>120</v>
      </c>
    </row>
    <row r="19" spans="1:4" ht="12.75">
      <c r="A19" s="10" t="s">
        <v>1049</v>
      </c>
      <c r="B19" s="10" t="s">
        <v>337</v>
      </c>
      <c r="C19" s="10" t="s">
        <v>327</v>
      </c>
      <c r="D19" s="10">
        <v>120</v>
      </c>
    </row>
    <row r="20" spans="1:4" ht="12.75">
      <c r="A20" s="10" t="s">
        <v>492</v>
      </c>
      <c r="B20" s="10" t="s">
        <v>54</v>
      </c>
      <c r="C20" s="10" t="s">
        <v>327</v>
      </c>
      <c r="D20" s="10">
        <v>110</v>
      </c>
    </row>
    <row r="21" spans="1:4" ht="12.75">
      <c r="A21" s="10" t="s">
        <v>496</v>
      </c>
      <c r="B21" s="10" t="s">
        <v>64</v>
      </c>
      <c r="C21" s="10" t="s">
        <v>327</v>
      </c>
      <c r="D21" s="10">
        <v>110</v>
      </c>
    </row>
    <row r="22" spans="1:4" ht="12.75">
      <c r="A22" s="10" t="s">
        <v>1245</v>
      </c>
      <c r="B22" s="10" t="s">
        <v>431</v>
      </c>
      <c r="C22" s="10" t="s">
        <v>327</v>
      </c>
      <c r="D22" s="10">
        <v>110</v>
      </c>
    </row>
    <row r="23" spans="1:4" ht="12.75">
      <c r="A23" s="10" t="s">
        <v>600</v>
      </c>
      <c r="B23" s="10" t="s">
        <v>59</v>
      </c>
      <c r="C23" s="10" t="s">
        <v>327</v>
      </c>
      <c r="D23" s="10">
        <v>110</v>
      </c>
    </row>
    <row r="24" spans="1:4" ht="12.75">
      <c r="A24" s="10" t="s">
        <v>538</v>
      </c>
      <c r="B24" s="10" t="s">
        <v>76</v>
      </c>
      <c r="C24" s="10" t="s">
        <v>327</v>
      </c>
      <c r="D24" s="10">
        <v>110</v>
      </c>
    </row>
    <row r="25" spans="1:4" ht="12.75">
      <c r="A25" s="10" t="s">
        <v>1365</v>
      </c>
      <c r="B25" s="10" t="s">
        <v>54</v>
      </c>
      <c r="C25" s="10" t="s">
        <v>327</v>
      </c>
      <c r="D25" s="10">
        <v>110</v>
      </c>
    </row>
    <row r="26" spans="1:4" ht="12.75" hidden="1">
      <c r="A26" s="10" t="s">
        <v>1366</v>
      </c>
      <c r="B26" s="10" t="s">
        <v>154</v>
      </c>
      <c r="C26" s="10" t="s">
        <v>404</v>
      </c>
      <c r="D26" s="10">
        <v>110</v>
      </c>
    </row>
    <row r="27" spans="1:4" ht="12.75">
      <c r="A27" s="10" t="s">
        <v>1243</v>
      </c>
      <c r="B27" s="10" t="s">
        <v>32</v>
      </c>
      <c r="C27" s="10" t="s">
        <v>327</v>
      </c>
      <c r="D27" s="10">
        <v>100</v>
      </c>
    </row>
    <row r="28" spans="1:4" ht="12.75" hidden="1">
      <c r="A28" s="10" t="s">
        <v>1571</v>
      </c>
      <c r="B28" s="10" t="s">
        <v>726</v>
      </c>
      <c r="C28" s="10" t="s">
        <v>404</v>
      </c>
      <c r="D28" s="10">
        <v>100</v>
      </c>
    </row>
    <row r="29" spans="1:4" ht="12.75" hidden="1">
      <c r="A29" s="10" t="s">
        <v>1572</v>
      </c>
      <c r="B29" s="10" t="s">
        <v>726</v>
      </c>
      <c r="C29" s="10" t="s">
        <v>404</v>
      </c>
      <c r="D29" s="10">
        <v>100</v>
      </c>
    </row>
    <row r="30" spans="1:4" ht="12.75" hidden="1">
      <c r="A30" s="10" t="s">
        <v>1088</v>
      </c>
      <c r="B30" s="10" t="s">
        <v>540</v>
      </c>
      <c r="C30" s="10" t="s">
        <v>404</v>
      </c>
      <c r="D30" s="10">
        <v>100</v>
      </c>
    </row>
    <row r="31" spans="1:4" ht="12.75" hidden="1">
      <c r="A31" s="10" t="s">
        <v>541</v>
      </c>
      <c r="B31" s="10" t="s">
        <v>154</v>
      </c>
      <c r="C31" s="10" t="s">
        <v>404</v>
      </c>
      <c r="D31" s="10">
        <v>100</v>
      </c>
    </row>
    <row r="32" spans="1:4" ht="12.75">
      <c r="A32" s="10" t="s">
        <v>1265</v>
      </c>
      <c r="B32" s="10" t="s">
        <v>59</v>
      </c>
      <c r="C32" s="10" t="s">
        <v>327</v>
      </c>
      <c r="D32" s="10">
        <v>100</v>
      </c>
    </row>
    <row r="33" spans="1:4" ht="12.75" hidden="1">
      <c r="A33" s="10" t="s">
        <v>1267</v>
      </c>
      <c r="B33" s="10" t="s">
        <v>76</v>
      </c>
      <c r="C33" s="10" t="s">
        <v>404</v>
      </c>
      <c r="D33" s="10">
        <v>100</v>
      </c>
    </row>
    <row r="34" spans="1:4" ht="12.75" hidden="1">
      <c r="A34" s="10" t="s">
        <v>1420</v>
      </c>
      <c r="B34" s="10" t="s">
        <v>154</v>
      </c>
      <c r="C34" s="10" t="s">
        <v>404</v>
      </c>
      <c r="D34" s="10">
        <v>95</v>
      </c>
    </row>
    <row r="35" spans="1:4" ht="12.75">
      <c r="A35" s="10" t="s">
        <v>1315</v>
      </c>
      <c r="B35" s="10" t="s">
        <v>138</v>
      </c>
      <c r="C35" s="10" t="s">
        <v>327</v>
      </c>
      <c r="D35" s="10">
        <v>95</v>
      </c>
    </row>
    <row r="36" spans="1:4" ht="12.75">
      <c r="A36" s="10" t="s">
        <v>32</v>
      </c>
      <c r="B36" s="10" t="s">
        <v>32</v>
      </c>
      <c r="C36" s="10" t="s">
        <v>327</v>
      </c>
      <c r="D36" s="10">
        <v>90</v>
      </c>
    </row>
    <row r="37" spans="1:4" ht="12.75" hidden="1">
      <c r="A37" s="10" t="s">
        <v>896</v>
      </c>
      <c r="B37" s="10" t="s">
        <v>726</v>
      </c>
      <c r="C37" s="10" t="s">
        <v>404</v>
      </c>
      <c r="D37" s="10">
        <v>90</v>
      </c>
    </row>
    <row r="38" spans="1:4" ht="12.75">
      <c r="A38" s="10" t="s">
        <v>488</v>
      </c>
      <c r="B38" s="10" t="s">
        <v>59</v>
      </c>
      <c r="C38" s="10" t="s">
        <v>327</v>
      </c>
      <c r="D38" s="10">
        <v>90</v>
      </c>
    </row>
    <row r="39" spans="1:4" ht="12.75">
      <c r="A39" s="10" t="s">
        <v>536</v>
      </c>
      <c r="B39" s="10" t="s">
        <v>76</v>
      </c>
      <c r="C39" s="10" t="s">
        <v>327</v>
      </c>
      <c r="D39" s="10">
        <v>90</v>
      </c>
    </row>
    <row r="40" spans="1:4" ht="12.75" hidden="1">
      <c r="A40" s="10" t="s">
        <v>947</v>
      </c>
      <c r="B40" s="10" t="s">
        <v>82</v>
      </c>
      <c r="C40" s="10" t="s">
        <v>404</v>
      </c>
      <c r="D40" s="10">
        <v>90</v>
      </c>
    </row>
    <row r="41" spans="1:4" ht="12.75">
      <c r="A41" s="10" t="s">
        <v>493</v>
      </c>
      <c r="B41" s="10" t="s">
        <v>54</v>
      </c>
      <c r="C41" s="10" t="s">
        <v>327</v>
      </c>
      <c r="D41" s="10">
        <v>90</v>
      </c>
    </row>
    <row r="42" spans="1:4" ht="12.75">
      <c r="A42" s="10" t="s">
        <v>501</v>
      </c>
      <c r="B42" s="10" t="s">
        <v>64</v>
      </c>
      <c r="C42" s="10" t="s">
        <v>327</v>
      </c>
      <c r="D42" s="10">
        <v>90</v>
      </c>
    </row>
    <row r="43" spans="1:4" ht="12.75" hidden="1">
      <c r="A43" s="10" t="s">
        <v>1570</v>
      </c>
      <c r="B43" s="10" t="s">
        <v>59</v>
      </c>
      <c r="C43" s="10" t="s">
        <v>404</v>
      </c>
      <c r="D43" s="10">
        <v>85</v>
      </c>
    </row>
    <row r="44" spans="1:4" ht="12.75">
      <c r="A44" s="10" t="s">
        <v>1252</v>
      </c>
      <c r="B44" s="10" t="s">
        <v>337</v>
      </c>
      <c r="C44" s="10" t="s">
        <v>327</v>
      </c>
      <c r="D44" s="10">
        <v>85</v>
      </c>
    </row>
    <row r="45" spans="1:4" ht="12.75" hidden="1">
      <c r="A45" s="10" t="s">
        <v>1487</v>
      </c>
      <c r="B45" s="10" t="s">
        <v>54</v>
      </c>
      <c r="C45" s="10" t="s">
        <v>404</v>
      </c>
      <c r="D45" s="10">
        <v>85</v>
      </c>
    </row>
    <row r="46" spans="1:4" ht="12.75" hidden="1">
      <c r="A46" s="10" t="s">
        <v>1262</v>
      </c>
      <c r="B46" s="10" t="s">
        <v>64</v>
      </c>
      <c r="C46" s="10" t="s">
        <v>404</v>
      </c>
      <c r="D46" s="10">
        <v>85</v>
      </c>
    </row>
    <row r="47" spans="1:4" ht="12.75">
      <c r="A47" s="10" t="s">
        <v>1044</v>
      </c>
      <c r="B47" s="10" t="s">
        <v>336</v>
      </c>
      <c r="C47" s="10" t="s">
        <v>327</v>
      </c>
      <c r="D47" s="10">
        <v>85</v>
      </c>
    </row>
    <row r="48" spans="1:4" ht="12.75">
      <c r="A48" s="10" t="s">
        <v>1037</v>
      </c>
      <c r="B48" s="10" t="s">
        <v>62</v>
      </c>
      <c r="C48" s="10" t="s">
        <v>327</v>
      </c>
      <c r="D48" s="10">
        <v>80</v>
      </c>
    </row>
    <row r="49" spans="1:4" ht="12.75">
      <c r="A49" s="10" t="s">
        <v>786</v>
      </c>
      <c r="B49" s="10" t="s">
        <v>363</v>
      </c>
      <c r="C49" s="10" t="s">
        <v>327</v>
      </c>
      <c r="D49" s="10">
        <v>80</v>
      </c>
    </row>
    <row r="50" spans="1:4" ht="12.75" hidden="1">
      <c r="A50" s="10" t="s">
        <v>1745</v>
      </c>
      <c r="B50" s="10" t="s">
        <v>336</v>
      </c>
      <c r="C50" s="10" t="s">
        <v>404</v>
      </c>
      <c r="D50" s="10">
        <v>80</v>
      </c>
    </row>
    <row r="51" spans="1:4" ht="12.75" hidden="1">
      <c r="A51" s="10" t="s">
        <v>1568</v>
      </c>
      <c r="B51" s="10" t="s">
        <v>82</v>
      </c>
      <c r="C51" s="10" t="s">
        <v>404</v>
      </c>
      <c r="D51" s="10">
        <v>80</v>
      </c>
    </row>
    <row r="52" spans="1:4" ht="12.75">
      <c r="A52" s="10" t="s">
        <v>1530</v>
      </c>
      <c r="B52" s="10" t="s">
        <v>54</v>
      </c>
      <c r="C52" s="10" t="s">
        <v>327</v>
      </c>
      <c r="D52" s="10">
        <v>80</v>
      </c>
    </row>
    <row r="53" spans="1:4" ht="12.75" hidden="1">
      <c r="A53" s="10" t="s">
        <v>1433</v>
      </c>
      <c r="B53" s="10" t="s">
        <v>62</v>
      </c>
      <c r="C53" s="10" t="s">
        <v>404</v>
      </c>
      <c r="D53" s="10">
        <v>80</v>
      </c>
    </row>
    <row r="54" spans="1:4" ht="12.75">
      <c r="A54" s="10" t="s">
        <v>1034</v>
      </c>
      <c r="B54" s="10" t="s">
        <v>337</v>
      </c>
      <c r="C54" s="10" t="s">
        <v>327</v>
      </c>
      <c r="D54" s="10">
        <v>80</v>
      </c>
    </row>
    <row r="55" spans="1:4" ht="12.75">
      <c r="A55" s="10" t="s">
        <v>1072</v>
      </c>
      <c r="B55" s="10" t="s">
        <v>726</v>
      </c>
      <c r="C55" s="10" t="s">
        <v>327</v>
      </c>
      <c r="D55" s="10">
        <v>80</v>
      </c>
    </row>
    <row r="56" spans="1:4" ht="12.75" hidden="1">
      <c r="A56" s="10" t="s">
        <v>1578</v>
      </c>
      <c r="B56" s="10" t="s">
        <v>82</v>
      </c>
      <c r="C56" s="10" t="s">
        <v>404</v>
      </c>
      <c r="D56" s="10">
        <v>80</v>
      </c>
    </row>
    <row r="57" spans="1:4" ht="12.75">
      <c r="A57" s="10" t="s">
        <v>1577</v>
      </c>
      <c r="B57" s="10" t="s">
        <v>82</v>
      </c>
      <c r="C57" s="10" t="s">
        <v>327</v>
      </c>
      <c r="D57" s="10">
        <v>80</v>
      </c>
    </row>
    <row r="58" spans="1:4" ht="12.75">
      <c r="A58" s="10" t="s">
        <v>1350</v>
      </c>
      <c r="B58" s="10" t="s">
        <v>138</v>
      </c>
      <c r="C58" s="10" t="s">
        <v>327</v>
      </c>
      <c r="D58" s="10">
        <v>80</v>
      </c>
    </row>
    <row r="59" spans="1:4" ht="12.75" hidden="1">
      <c r="A59" s="10" t="s">
        <v>964</v>
      </c>
      <c r="B59" s="10" t="s">
        <v>726</v>
      </c>
      <c r="C59" s="10" t="s">
        <v>404</v>
      </c>
      <c r="D59" s="10">
        <v>80</v>
      </c>
    </row>
    <row r="60" spans="1:4" ht="12.75" hidden="1">
      <c r="A60" s="10" t="s">
        <v>1495</v>
      </c>
      <c r="B60" s="10" t="s">
        <v>76</v>
      </c>
      <c r="C60" s="10" t="s">
        <v>404</v>
      </c>
      <c r="D60" s="10">
        <v>80</v>
      </c>
    </row>
    <row r="61" spans="1:4" ht="12.75">
      <c r="A61" s="10" t="s">
        <v>1746</v>
      </c>
      <c r="B61" s="10" t="s">
        <v>54</v>
      </c>
      <c r="C61" s="10" t="s">
        <v>327</v>
      </c>
      <c r="D61" s="10">
        <v>80</v>
      </c>
    </row>
    <row r="62" spans="1:4" ht="12.75" hidden="1">
      <c r="A62" s="10" t="s">
        <v>1747</v>
      </c>
      <c r="B62" s="10" t="s">
        <v>54</v>
      </c>
      <c r="C62" s="10" t="s">
        <v>404</v>
      </c>
      <c r="D62" s="10">
        <v>80</v>
      </c>
    </row>
    <row r="63" spans="1:4" ht="12.75" hidden="1">
      <c r="A63" s="1" t="s">
        <v>506</v>
      </c>
      <c r="B63" s="1" t="s">
        <v>431</v>
      </c>
      <c r="C63" s="1" t="s">
        <v>404</v>
      </c>
      <c r="D63" s="1">
        <v>80</v>
      </c>
    </row>
    <row r="64" spans="1:4" ht="12.75">
      <c r="A64" s="1" t="s">
        <v>1188</v>
      </c>
      <c r="B64" s="1" t="s">
        <v>54</v>
      </c>
      <c r="C64" s="1" t="s">
        <v>327</v>
      </c>
      <c r="D64" s="1">
        <v>80</v>
      </c>
    </row>
    <row r="65" spans="1:4" ht="12.75" hidden="1">
      <c r="A65" s="10" t="s">
        <v>416</v>
      </c>
      <c r="B65" s="10" t="s">
        <v>64</v>
      </c>
      <c r="C65" s="10" t="s">
        <v>404</v>
      </c>
      <c r="D65" s="10">
        <v>75</v>
      </c>
    </row>
    <row r="66" spans="1:4" ht="12.75" hidden="1">
      <c r="A66" s="10" t="s">
        <v>1038</v>
      </c>
      <c r="B66" s="10" t="s">
        <v>62</v>
      </c>
      <c r="C66" s="10" t="s">
        <v>404</v>
      </c>
      <c r="D66" s="10">
        <v>70</v>
      </c>
    </row>
    <row r="67" spans="1:4" ht="12.75" hidden="1">
      <c r="A67" s="10" t="s">
        <v>452</v>
      </c>
      <c r="B67" s="10" t="s">
        <v>129</v>
      </c>
      <c r="C67" s="10" t="s">
        <v>404</v>
      </c>
      <c r="D67" s="10">
        <v>70</v>
      </c>
    </row>
    <row r="68" spans="1:4" ht="12.75" hidden="1">
      <c r="A68" s="1" t="s">
        <v>722</v>
      </c>
      <c r="B68" s="1" t="s">
        <v>76</v>
      </c>
      <c r="C68" s="1" t="s">
        <v>404</v>
      </c>
      <c r="D68" s="1">
        <v>65</v>
      </c>
    </row>
    <row r="69" spans="1:4" ht="12.75">
      <c r="A69" s="1" t="s">
        <v>1238</v>
      </c>
      <c r="B69" s="1" t="s">
        <v>82</v>
      </c>
      <c r="C69" s="1" t="s">
        <v>327</v>
      </c>
      <c r="D69" s="1">
        <v>65</v>
      </c>
    </row>
    <row r="70" spans="1:4" ht="12.75">
      <c r="A70" s="1" t="s">
        <v>499</v>
      </c>
      <c r="B70" s="1" t="s">
        <v>54</v>
      </c>
      <c r="C70" s="1" t="s">
        <v>327</v>
      </c>
      <c r="D70" s="1">
        <v>65</v>
      </c>
    </row>
    <row r="71" spans="1:4" ht="12.75">
      <c r="A71" s="1" t="s">
        <v>497</v>
      </c>
      <c r="B71" s="1" t="s">
        <v>32</v>
      </c>
      <c r="C71" s="1" t="s">
        <v>327</v>
      </c>
      <c r="D71" s="1">
        <v>65</v>
      </c>
    </row>
    <row r="72" spans="1:4" ht="12.75">
      <c r="A72" s="10" t="s">
        <v>942</v>
      </c>
      <c r="B72" s="10" t="s">
        <v>82</v>
      </c>
      <c r="C72" s="10" t="s">
        <v>327</v>
      </c>
      <c r="D72" s="10">
        <v>60</v>
      </c>
    </row>
    <row r="73" spans="1:4" ht="12.75">
      <c r="A73" s="10" t="s">
        <v>952</v>
      </c>
      <c r="B73" s="10" t="s">
        <v>54</v>
      </c>
      <c r="C73" s="10" t="s">
        <v>327</v>
      </c>
      <c r="D73" s="10">
        <v>60</v>
      </c>
    </row>
    <row r="74" spans="1:4" ht="12.75">
      <c r="A74" s="10" t="s">
        <v>603</v>
      </c>
      <c r="B74" s="10" t="s">
        <v>129</v>
      </c>
      <c r="C74" s="10" t="s">
        <v>327</v>
      </c>
      <c r="D74" s="10">
        <v>60</v>
      </c>
    </row>
    <row r="75" spans="1:4" ht="12.75" hidden="1">
      <c r="A75" s="10" t="s">
        <v>1098</v>
      </c>
      <c r="B75" s="10" t="s">
        <v>164</v>
      </c>
      <c r="C75" s="10" t="s">
        <v>404</v>
      </c>
      <c r="D75" s="10">
        <v>60</v>
      </c>
    </row>
    <row r="76" spans="1:4" ht="12.75" hidden="1">
      <c r="A76" s="10" t="s">
        <v>907</v>
      </c>
      <c r="B76" s="10" t="s">
        <v>540</v>
      </c>
      <c r="C76" s="10" t="s">
        <v>404</v>
      </c>
      <c r="D76" s="10">
        <v>60</v>
      </c>
    </row>
    <row r="77" spans="1:4" ht="12.75" hidden="1">
      <c r="A77" s="10" t="s">
        <v>433</v>
      </c>
      <c r="B77" s="10" t="s">
        <v>431</v>
      </c>
      <c r="C77" s="10" t="s">
        <v>404</v>
      </c>
      <c r="D77" s="10">
        <v>60</v>
      </c>
    </row>
    <row r="78" spans="1:4" ht="12.75">
      <c r="A78" s="10" t="s">
        <v>750</v>
      </c>
      <c r="B78" s="10" t="s">
        <v>336</v>
      </c>
      <c r="C78" s="10" t="s">
        <v>327</v>
      </c>
      <c r="D78" s="10">
        <v>60</v>
      </c>
    </row>
    <row r="79" spans="1:4" ht="12.75" hidden="1">
      <c r="A79" s="10" t="s">
        <v>522</v>
      </c>
      <c r="B79" s="10" t="s">
        <v>82</v>
      </c>
      <c r="C79" s="10" t="s">
        <v>404</v>
      </c>
      <c r="D79" s="10">
        <v>55</v>
      </c>
    </row>
    <row r="80" spans="1:4" ht="12.75">
      <c r="A80" s="10" t="s">
        <v>1261</v>
      </c>
      <c r="B80" s="10" t="s">
        <v>62</v>
      </c>
      <c r="C80" s="10" t="s">
        <v>327</v>
      </c>
      <c r="D80" s="10">
        <v>55</v>
      </c>
    </row>
    <row r="81" spans="1:4" ht="12.75">
      <c r="A81" s="10" t="s">
        <v>703</v>
      </c>
      <c r="B81" s="10" t="s">
        <v>64</v>
      </c>
      <c r="C81" s="10" t="s">
        <v>327</v>
      </c>
      <c r="D81" s="10">
        <v>55</v>
      </c>
    </row>
    <row r="82" spans="1:4" ht="12.75">
      <c r="A82" s="10" t="s">
        <v>548</v>
      </c>
      <c r="B82" s="10" t="s">
        <v>32</v>
      </c>
      <c r="C82" s="10" t="s">
        <v>327</v>
      </c>
      <c r="D82" s="10">
        <v>50</v>
      </c>
    </row>
    <row r="83" spans="1:4" ht="12.75" hidden="1">
      <c r="A83" s="10" t="s">
        <v>1159</v>
      </c>
      <c r="B83" s="10" t="s">
        <v>59</v>
      </c>
      <c r="C83" s="10" t="s">
        <v>404</v>
      </c>
      <c r="D83" s="10">
        <v>50</v>
      </c>
    </row>
    <row r="84" spans="1:4" ht="12.75" hidden="1">
      <c r="A84" s="10" t="s">
        <v>986</v>
      </c>
      <c r="B84" s="10" t="s">
        <v>726</v>
      </c>
      <c r="C84" s="10" t="s">
        <v>404</v>
      </c>
      <c r="D84" s="10">
        <v>50</v>
      </c>
    </row>
    <row r="85" spans="1:4" ht="12.75">
      <c r="A85" s="10" t="s">
        <v>1301</v>
      </c>
      <c r="B85" s="10" t="s">
        <v>138</v>
      </c>
      <c r="C85" s="10" t="s">
        <v>327</v>
      </c>
      <c r="D85" s="10">
        <v>50</v>
      </c>
    </row>
    <row r="86" spans="1:4" ht="12.75" hidden="1">
      <c r="A86" s="10" t="s">
        <v>1424</v>
      </c>
      <c r="B86" s="10" t="s">
        <v>82</v>
      </c>
      <c r="C86" s="10" t="s">
        <v>404</v>
      </c>
      <c r="D86" s="10">
        <v>40</v>
      </c>
    </row>
    <row r="87" spans="1:4" ht="12.75">
      <c r="A87" s="10" t="s">
        <v>487</v>
      </c>
      <c r="B87" s="10" t="s">
        <v>59</v>
      </c>
      <c r="C87" s="10" t="s">
        <v>327</v>
      </c>
      <c r="D87" s="10">
        <v>40</v>
      </c>
    </row>
    <row r="88" spans="1:4" ht="12.75" hidden="1">
      <c r="A88" s="10" t="s">
        <v>1575</v>
      </c>
      <c r="B88" s="10" t="s">
        <v>82</v>
      </c>
      <c r="C88" s="10" t="s">
        <v>404</v>
      </c>
      <c r="D88" s="10">
        <v>40</v>
      </c>
    </row>
    <row r="89" spans="1:4" ht="12.75" hidden="1">
      <c r="A89" s="10" t="s">
        <v>456</v>
      </c>
      <c r="B89" s="10" t="s">
        <v>129</v>
      </c>
      <c r="C89" s="10" t="s">
        <v>404</v>
      </c>
      <c r="D89" s="10">
        <v>40</v>
      </c>
    </row>
    <row r="90" spans="1:4" ht="12.75" hidden="1">
      <c r="A90" s="10" t="s">
        <v>505</v>
      </c>
      <c r="B90" s="10" t="s">
        <v>129</v>
      </c>
      <c r="C90" s="10" t="s">
        <v>404</v>
      </c>
      <c r="D90" s="10">
        <v>40</v>
      </c>
    </row>
    <row r="91" spans="1:4" ht="12.75">
      <c r="A91" s="10" t="s">
        <v>681</v>
      </c>
      <c r="B91" s="10" t="s">
        <v>64</v>
      </c>
      <c r="C91" s="10" t="s">
        <v>327</v>
      </c>
      <c r="D91" s="10">
        <v>40</v>
      </c>
    </row>
    <row r="92" spans="1:4" ht="12.75" hidden="1">
      <c r="A92" s="10" t="s">
        <v>1748</v>
      </c>
      <c r="B92" s="10" t="s">
        <v>337</v>
      </c>
      <c r="C92" s="10" t="s">
        <v>404</v>
      </c>
      <c r="D92" s="10">
        <v>40</v>
      </c>
    </row>
    <row r="93" spans="1:4" ht="12.75">
      <c r="A93" s="10" t="s">
        <v>491</v>
      </c>
      <c r="B93" s="10" t="s">
        <v>54</v>
      </c>
      <c r="C93" s="10" t="s">
        <v>327</v>
      </c>
      <c r="D93" s="10">
        <v>40</v>
      </c>
    </row>
    <row r="94" spans="1:4" ht="12.75">
      <c r="A94" s="10" t="s">
        <v>430</v>
      </c>
      <c r="B94" s="10" t="s">
        <v>431</v>
      </c>
      <c r="C94" s="10" t="s">
        <v>327</v>
      </c>
      <c r="D94" s="10">
        <v>40</v>
      </c>
    </row>
    <row r="95" spans="1:4" ht="12.75" hidden="1">
      <c r="A95" s="10" t="s">
        <v>1059</v>
      </c>
      <c r="B95" s="10" t="s">
        <v>64</v>
      </c>
      <c r="C95" s="10" t="s">
        <v>404</v>
      </c>
      <c r="D95" s="10">
        <v>40</v>
      </c>
    </row>
    <row r="96" spans="1:4" ht="12.75" hidden="1">
      <c r="A96" s="10" t="s">
        <v>420</v>
      </c>
      <c r="B96" s="10" t="s">
        <v>129</v>
      </c>
      <c r="C96" s="10" t="s">
        <v>404</v>
      </c>
      <c r="D96" s="10">
        <v>40</v>
      </c>
    </row>
    <row r="97" spans="1:4" ht="12.75">
      <c r="A97" s="10" t="s">
        <v>1296</v>
      </c>
      <c r="B97" s="10" t="s">
        <v>138</v>
      </c>
      <c r="C97" s="10" t="s">
        <v>327</v>
      </c>
      <c r="D97" s="10">
        <v>40</v>
      </c>
    </row>
    <row r="98" spans="1:4" ht="12.75">
      <c r="A98" s="10" t="s">
        <v>534</v>
      </c>
      <c r="B98" s="10" t="s">
        <v>59</v>
      </c>
      <c r="C98" s="10" t="s">
        <v>327</v>
      </c>
      <c r="D98" s="10">
        <v>35</v>
      </c>
    </row>
    <row r="99" spans="1:4" ht="12.75">
      <c r="A99" s="10" t="s">
        <v>1749</v>
      </c>
      <c r="B99" s="10" t="s">
        <v>154</v>
      </c>
      <c r="C99" s="10" t="s">
        <v>327</v>
      </c>
      <c r="D99" s="10">
        <v>30</v>
      </c>
    </row>
    <row r="100" spans="1:4" ht="12.75" hidden="1">
      <c r="A100" s="10" t="s">
        <v>897</v>
      </c>
      <c r="B100" s="10" t="s">
        <v>363</v>
      </c>
      <c r="C100" s="10" t="s">
        <v>404</v>
      </c>
      <c r="D100" s="10">
        <v>30</v>
      </c>
    </row>
    <row r="101" spans="1:4" ht="12.75" hidden="1">
      <c r="A101" s="1" t="s">
        <v>467</v>
      </c>
      <c r="B101" s="1" t="s">
        <v>341</v>
      </c>
      <c r="C101" s="1" t="s">
        <v>404</v>
      </c>
      <c r="D101" s="1">
        <v>30</v>
      </c>
    </row>
    <row r="102" spans="1:4" ht="12.75" hidden="1">
      <c r="A102" s="1" t="s">
        <v>1354</v>
      </c>
      <c r="B102" s="1" t="s">
        <v>76</v>
      </c>
      <c r="C102" s="1" t="s">
        <v>404</v>
      </c>
      <c r="D102" s="1">
        <v>20</v>
      </c>
    </row>
    <row r="103" spans="1:4" ht="12.75" hidden="1">
      <c r="A103" s="1" t="s">
        <v>557</v>
      </c>
      <c r="B103" s="1" t="s">
        <v>32</v>
      </c>
      <c r="C103" s="1" t="s">
        <v>427</v>
      </c>
      <c r="D103" s="1">
        <v>0</v>
      </c>
    </row>
    <row r="104" spans="1:4" ht="12.75" hidden="1">
      <c r="A104" s="1" t="s">
        <v>557</v>
      </c>
      <c r="B104" s="1" t="s">
        <v>32</v>
      </c>
      <c r="C104" s="1" t="s">
        <v>427</v>
      </c>
      <c r="D104" s="1">
        <v>0</v>
      </c>
    </row>
  </sheetData>
  <autoFilter ref="A1:D104" xr:uid="{00000000-0009-0000-0000-000006000000}">
    <filterColumn colId="2">
      <filters>
        <filter val="Special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O1019"/>
  <sheetViews>
    <sheetView tabSelected="1" workbookViewId="0">
      <pane xSplit="13" ySplit="1" topLeftCell="N2" activePane="bottomRight" state="frozen"/>
      <selection pane="topRight" activeCell="N1" sqref="N1"/>
      <selection pane="bottomLeft" activeCell="A2" sqref="A2"/>
      <selection pane="bottomRight" activeCell="O8" sqref="O8"/>
    </sheetView>
  </sheetViews>
  <sheetFormatPr defaultColWidth="12.5703125" defaultRowHeight="15.75" customHeight="1"/>
  <cols>
    <col min="1" max="1" width="12" bestFit="1" customWidth="1"/>
    <col min="2" max="3" width="15.5703125" customWidth="1"/>
    <col min="4" max="4" width="20" customWidth="1"/>
    <col min="5" max="5" width="17.85546875" customWidth="1"/>
    <col min="6" max="6" width="13.42578125" customWidth="1"/>
    <col min="7" max="7" width="7.42578125" customWidth="1"/>
    <col min="8" max="8" width="7.5703125" customWidth="1"/>
    <col min="9" max="13" width="9.28515625" customWidth="1"/>
    <col min="14" max="14" width="12.85546875" customWidth="1"/>
    <col min="15" max="15" width="15.7109375" customWidth="1"/>
    <col min="16" max="18" width="17.42578125" customWidth="1"/>
  </cols>
  <sheetData>
    <row r="1" spans="1:41" ht="27" customHeight="1">
      <c r="A1" s="11" t="s">
        <v>25</v>
      </c>
      <c r="B1" s="11" t="s">
        <v>1750</v>
      </c>
      <c r="C1" s="11" t="s">
        <v>1751</v>
      </c>
      <c r="D1" s="11" t="s">
        <v>1752</v>
      </c>
      <c r="E1" s="11" t="s">
        <v>1753</v>
      </c>
      <c r="F1" s="11" t="s">
        <v>1754</v>
      </c>
      <c r="G1" s="12" t="s">
        <v>1</v>
      </c>
      <c r="H1" s="12" t="s">
        <v>1755</v>
      </c>
      <c r="I1" s="12" t="s">
        <v>1756</v>
      </c>
      <c r="J1" s="12" t="s">
        <v>1757</v>
      </c>
      <c r="K1" s="12" t="s">
        <v>1758</v>
      </c>
      <c r="L1" s="12" t="s">
        <v>1759</v>
      </c>
      <c r="M1" s="12" t="s">
        <v>1760</v>
      </c>
      <c r="N1" s="12" t="s">
        <v>1761</v>
      </c>
      <c r="O1" s="12" t="s">
        <v>1762</v>
      </c>
      <c r="P1" s="12" t="s">
        <v>1763</v>
      </c>
      <c r="Q1" s="12" t="s">
        <v>1764</v>
      </c>
      <c r="R1" s="13" t="s">
        <v>1765</v>
      </c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</row>
    <row r="2" spans="1:41" ht="12.75">
      <c r="A2" s="6" t="s">
        <v>197</v>
      </c>
      <c r="B2" s="5" t="s">
        <v>198</v>
      </c>
      <c r="C2" s="5" t="str">
        <f>_xlfn.XLOOKUP(A2,Stars!A:A,Stars!C:C)</f>
        <v>6-star</v>
      </c>
      <c r="D2" s="19" t="s">
        <v>1054</v>
      </c>
      <c r="E2" s="19" t="s">
        <v>1550</v>
      </c>
      <c r="F2" s="20">
        <v>1</v>
      </c>
      <c r="G2" s="5">
        <v>144</v>
      </c>
      <c r="H2" s="16">
        <v>39</v>
      </c>
      <c r="I2" s="16">
        <v>80</v>
      </c>
      <c r="J2" s="16">
        <v>132</v>
      </c>
      <c r="K2" s="16">
        <v>132</v>
      </c>
      <c r="L2" s="16">
        <v>80</v>
      </c>
      <c r="M2" s="16">
        <v>253</v>
      </c>
      <c r="N2" s="16" cm="1">
        <f t="array" ref="N2">IFERROR(_xlfn.XLOOKUP(D2, Move_List!$A:$A, Move_List!$D:$D) * _xlfn.IFS(UPPER(TRIM(_xlfn.XLOOKUP(D2, Move_List!$A:$A, Move_List!$C:$C)))="PHYSICAL", K2, UPPER(TRIM(_xlfn.XLOOKUP(D2, Move_List!$A:$A, Move_List!$C:$C)))="SPECIAL", I2, TRUE, 0), 0)</f>
        <v>19800</v>
      </c>
      <c r="O2" s="16" cm="1">
        <f t="array" ref="O2">IFERROR(
  _xlfn.XLOOKUP(D2, Move_List!$A:$A, Move_List!$D:$D) * _xlfn.IFS(
    ISNUMBER(SEARCH("Max", E2)),
      LOOKUP(_xlfn.XLOOKUP(D2, Move_List!$A:$A, Move_List!$D:$D), {0,60,80,110,150}, {2.5,1.83,1.63,1.27,1}),
    E2&lt;&gt;"",
      LOOKUP(_xlfn.XLOOKUP(D2, Move_List!$A:$A, Move_List!$D:$D), {0,60,80,90,100,110,120,150}, {2.5,2,2,1.94,1.8,1.68,1.58,1.33}),
    TRUE, 0
  ) * IF(_xlfn.XLOOKUP(D2, Move_List!$A:$A, Move_List!$C:$C)="Physical", K2, I2),
0)</f>
        <v>19800</v>
      </c>
      <c r="P2" s="16">
        <f t="shared" ref="P2:P33" si="0">(J2 + L2 + M2) / 3</f>
        <v>155</v>
      </c>
      <c r="Q2" s="16">
        <f t="shared" ref="Q2:Q33" si="1">IF(O2&gt;0, (N2+O2)/2, N2) * (P2 / 100)</f>
        <v>30690</v>
      </c>
      <c r="R2" s="17" cm="1">
        <f t="array" ref="R2">IFERROR(Q2 / IF(OR(_xlfn.IFNA(_xlfn.XLOOKUP(E2, Move_List!$A:$A, Move_List!$C:$C), "")={"Dynamax","Mega"}), G2*1.2, G2), 0)</f>
        <v>213.125</v>
      </c>
    </row>
    <row r="3" spans="1:41" ht="12.75">
      <c r="A3" s="4" t="s">
        <v>42</v>
      </c>
      <c r="B3" s="5" t="s">
        <v>19</v>
      </c>
      <c r="C3" s="5" t="str">
        <f>_xlfn.XLOOKUP(A3,Stars!A:A,Stars!C:C)</f>
        <v>6-star</v>
      </c>
      <c r="D3" s="5" t="s">
        <v>1088</v>
      </c>
      <c r="E3" s="5" t="s">
        <v>1560</v>
      </c>
      <c r="F3" s="15">
        <v>1</v>
      </c>
      <c r="G3" s="16">
        <v>144</v>
      </c>
      <c r="H3" s="16">
        <v>69</v>
      </c>
      <c r="I3" s="16">
        <v>105</v>
      </c>
      <c r="J3" s="16">
        <v>111</v>
      </c>
      <c r="K3" s="16">
        <v>147</v>
      </c>
      <c r="L3" s="16">
        <v>121</v>
      </c>
      <c r="M3" s="16">
        <v>169</v>
      </c>
      <c r="N3" s="16" cm="1">
        <f t="array" ref="N3">IFERROR(_xlfn.XLOOKUP(D3, Move_List!$A:$A, Move_List!$D:$D) * _xlfn.IFS(UPPER(TRIM(_xlfn.XLOOKUP(D3, Move_List!$A:$A, Move_List!$C:$C)))="PHYSICAL", K3, UPPER(TRIM(_xlfn.XLOOKUP(D3, Move_List!$A:$A, Move_List!$C:$C)))="SPECIAL", I3, TRUE, 0), 0)</f>
        <v>14700</v>
      </c>
      <c r="O3" s="16" cm="1">
        <f t="array" ref="O3">IFERROR(
  _xlfn.XLOOKUP(D3, Move_List!$A:$A, Move_List!$D:$D) * _xlfn.IFS(
    ISNUMBER(SEARCH("Max", E3)),
      LOOKUP(_xlfn.XLOOKUP(D3, Move_List!$A:$A, Move_List!$D:$D), {0,60,80,110,150}, {2.5,1.83,1.63,1.27,1}),
    E3&lt;&gt;"",
      LOOKUP(_xlfn.XLOOKUP(D3, Move_List!$A:$A, Move_List!$D:$D), {0,60,80,90,100,110,120,150}, {2.5,2,2,1.94,1.8,1.68,1.58,1.33}),
    TRUE, 0
  ) * IF(_xlfn.XLOOKUP(D3, Move_List!$A:$A, Move_List!$C:$C)="Physical", K3, I3),
0)</f>
        <v>23961</v>
      </c>
      <c r="P3" s="16">
        <f t="shared" si="0"/>
        <v>133.66666666666666</v>
      </c>
      <c r="Q3" s="16">
        <f t="shared" si="1"/>
        <v>25838.435000000001</v>
      </c>
      <c r="R3" s="17" cm="1">
        <f t="array" ref="R3">IFERROR(Q3 / IF(OR(_xlfn.IFNA(_xlfn.XLOOKUP(E3, Move_List!$A:$A, Move_List!$C:$C), "")={"Dynamax","Mega"}), G3*1.2, G3), 0)</f>
        <v>179.43357638888889</v>
      </c>
    </row>
    <row r="4" spans="1:41" ht="12.75">
      <c r="A4" s="6" t="s">
        <v>191</v>
      </c>
      <c r="B4" s="5" t="s">
        <v>192</v>
      </c>
      <c r="C4" s="5" t="str">
        <f>_xlfn.XLOOKUP(A4,Stars!A:A,Stars!C:C)</f>
        <v>6-star</v>
      </c>
      <c r="D4" s="19" t="s">
        <v>1366</v>
      </c>
      <c r="E4" s="19"/>
      <c r="F4" s="20">
        <v>0.85</v>
      </c>
      <c r="G4" s="5">
        <v>152</v>
      </c>
      <c r="H4" s="16">
        <v>95</v>
      </c>
      <c r="I4" s="16">
        <v>105</v>
      </c>
      <c r="J4" s="16">
        <v>95</v>
      </c>
      <c r="K4" s="16">
        <v>155</v>
      </c>
      <c r="L4" s="16">
        <v>145</v>
      </c>
      <c r="M4" s="16">
        <v>160</v>
      </c>
      <c r="N4" s="16" cm="1">
        <f t="array" ref="N4">IFERROR(_xlfn.XLOOKUP(D4, Move_List!$A:$A, Move_List!$D:$D) * _xlfn.IFS(UPPER(TRIM(_xlfn.XLOOKUP(D4, Move_List!$A:$A, Move_List!$C:$C)))="PHYSICAL", K4, UPPER(TRIM(_xlfn.XLOOKUP(D4, Move_List!$A:$A, Move_List!$C:$C)))="SPECIAL", I4, TRUE, 0), 0)</f>
        <v>18600</v>
      </c>
      <c r="O4" s="16" cm="1">
        <f t="array" ref="O4">IFERROR(
  _xlfn.XLOOKUP(D4, Move_List!$A:$A, Move_List!$D:$D) * _xlfn.IFS(
    ISNUMBER(SEARCH("Max", E4)),
      LOOKUP(_xlfn.XLOOKUP(D4, Move_List!$A:$A, Move_List!$D:$D), {0,60,80,110,150}, {2.5,1.83,1.63,1.27,1}),
    E4&lt;&gt;"",
      LOOKUP(_xlfn.XLOOKUP(D4, Move_List!$A:$A, Move_List!$D:$D), {0,60,80,90,100,110,120,150}, {2.5,2,2,1.94,1.8,1.68,1.58,1.33}),
    TRUE, 0
  ) * IF(_xlfn.XLOOKUP(D4, Move_List!$A:$A, Move_List!$C:$C)="Physical", K4, I4),
0)</f>
        <v>0</v>
      </c>
      <c r="P4" s="16">
        <f t="shared" si="0"/>
        <v>133.33333333333334</v>
      </c>
      <c r="Q4" s="16">
        <f t="shared" si="1"/>
        <v>24800.000000000004</v>
      </c>
      <c r="R4" s="17" cm="1">
        <f t="array" ref="R4">IFERROR(Q4 / IF(OR(_xlfn.IFNA(_xlfn.XLOOKUP(E4, Move_List!$A:$A, Move_List!$C:$C), "")={"Dynamax","Mega"}), G4*1.2, G4), 0)</f>
        <v>163.15789473684214</v>
      </c>
    </row>
    <row r="5" spans="1:41" ht="12.75">
      <c r="A5" s="4" t="s">
        <v>44</v>
      </c>
      <c r="B5" s="5" t="s">
        <v>3</v>
      </c>
      <c r="C5" s="5" t="str">
        <f>_xlfn.XLOOKUP(A5,Stars!A:A,Stars!C:C)</f>
        <v>6-star</v>
      </c>
      <c r="D5" s="5" t="s">
        <v>896</v>
      </c>
      <c r="E5" s="5" t="s">
        <v>1564</v>
      </c>
      <c r="F5" s="15">
        <v>1</v>
      </c>
      <c r="G5" s="16">
        <v>144</v>
      </c>
      <c r="H5" s="16">
        <v>79</v>
      </c>
      <c r="I5" s="16">
        <v>105</v>
      </c>
      <c r="J5" s="16">
        <v>100</v>
      </c>
      <c r="K5" s="16">
        <v>148</v>
      </c>
      <c r="L5" s="16">
        <v>142</v>
      </c>
      <c r="M5" s="16">
        <v>147</v>
      </c>
      <c r="N5" s="16" cm="1">
        <f t="array" ref="N5">IFERROR(_xlfn.XLOOKUP(D5, Move_List!$A:$A, Move_List!$D:$D) * _xlfn.IFS(UPPER(TRIM(_xlfn.XLOOKUP(D5, Move_List!$A:$A, Move_List!$C:$C)))="PHYSICAL", K5, UPPER(TRIM(_xlfn.XLOOKUP(D5, Move_List!$A:$A, Move_List!$C:$C)))="SPECIAL", I5, TRUE, 0), 0)</f>
        <v>13320</v>
      </c>
      <c r="O5" s="16" cm="1">
        <f t="array" ref="O5">IFERROR(
  _xlfn.XLOOKUP(D5, Move_List!$A:$A, Move_List!$D:$D) * _xlfn.IFS(
    ISNUMBER(SEARCH("Max", E5)),
      LOOKUP(_xlfn.XLOOKUP(D5, Move_List!$A:$A, Move_List!$D:$D), {0,60,80,110,150}, {2.5,1.83,1.63,1.27,1}),
    E5&lt;&gt;"",
      LOOKUP(_xlfn.XLOOKUP(D5, Move_List!$A:$A, Move_List!$D:$D), {0,60,80,90,100,110,120,150}, {2.5,2,2,1.94,1.8,1.68,1.58,1.33}),
    TRUE, 0
  ) * IF(_xlfn.XLOOKUP(D5, Move_List!$A:$A, Move_List!$C:$C)="Physical", K5, I5),
0)</f>
        <v>21711.599999999999</v>
      </c>
      <c r="P5" s="16">
        <f t="shared" si="0"/>
        <v>129.66666666666666</v>
      </c>
      <c r="Q5" s="16">
        <f t="shared" si="1"/>
        <v>22712.153999999999</v>
      </c>
      <c r="R5" s="17" cm="1">
        <f t="array" ref="R5">IFERROR(Q5 / IF(OR(_xlfn.IFNA(_xlfn.XLOOKUP(E5, Move_List!$A:$A, Move_List!$C:$C), "")={"Dynamax","Mega"}), G5*1.2, G5), 0)</f>
        <v>157.72329166666665</v>
      </c>
    </row>
    <row r="6" spans="1:41" ht="12.75">
      <c r="A6" s="6" t="s">
        <v>199</v>
      </c>
      <c r="B6" s="5" t="s">
        <v>200</v>
      </c>
      <c r="C6" s="5" t="str">
        <f>_xlfn.XLOOKUP(A6,Stars!A:A,Stars!C:C)</f>
        <v>6-star</v>
      </c>
      <c r="D6" s="19" t="s">
        <v>1049</v>
      </c>
      <c r="E6" s="19" t="s">
        <v>1551</v>
      </c>
      <c r="F6" s="20">
        <v>1</v>
      </c>
      <c r="G6" s="5">
        <v>158</v>
      </c>
      <c r="H6" s="16">
        <v>103</v>
      </c>
      <c r="I6" s="16">
        <v>121</v>
      </c>
      <c r="J6" s="16">
        <v>126</v>
      </c>
      <c r="K6" s="16">
        <v>132</v>
      </c>
      <c r="L6" s="16">
        <v>150</v>
      </c>
      <c r="M6" s="16">
        <v>155</v>
      </c>
      <c r="N6" s="16" cm="1">
        <f t="array" ref="N6">IFERROR(_xlfn.XLOOKUP(D6, Move_List!$A:$A, Move_List!$D:$D) * _xlfn.IFS(UPPER(TRIM(_xlfn.XLOOKUP(D6, Move_List!$A:$A, Move_List!$C:$C)))="PHYSICAL", K6, UPPER(TRIM(_xlfn.XLOOKUP(D6, Move_List!$A:$A, Move_List!$C:$C)))="SPECIAL", I6, TRUE, 0), 0)</f>
        <v>14520</v>
      </c>
      <c r="O6" s="16" cm="1">
        <f t="array" ref="O6">IFERROR(
  _xlfn.XLOOKUP(D6, Move_List!$A:$A, Move_List!$D:$D) * _xlfn.IFS(
    ISNUMBER(SEARCH("Max", E6)),
      LOOKUP(_xlfn.XLOOKUP(D6, Move_List!$A:$A, Move_List!$D:$D), {0,60,80,110,150}, {2.5,1.83,1.63,1.27,1}),
    E6&lt;&gt;"",
      LOOKUP(_xlfn.XLOOKUP(D6, Move_List!$A:$A, Move_List!$D:$D), {0,60,80,90,100,110,120,150}, {2.5,2,2,1.94,1.8,1.68,1.58,1.33}),
    TRUE, 0
  ) * IF(_xlfn.XLOOKUP(D6, Move_List!$A:$A, Move_List!$C:$C)="Physical", K6, I6),
0)</f>
        <v>18440.400000000001</v>
      </c>
      <c r="P6" s="16">
        <f t="shared" si="0"/>
        <v>143.66666666666666</v>
      </c>
      <c r="Q6" s="16">
        <f t="shared" si="1"/>
        <v>23676.554</v>
      </c>
      <c r="R6" s="17" cm="1">
        <f t="array" ref="R6">IFERROR(Q6 / IF(OR(_xlfn.IFNA(_xlfn.XLOOKUP(E6, Move_List!$A:$A, Move_List!$C:$C), "")={"Dynamax","Mega"}), G6*1.2, G6), 0)</f>
        <v>149.85160759493672</v>
      </c>
    </row>
    <row r="7" spans="1:41" ht="12.75">
      <c r="A7" s="4" t="s">
        <v>329</v>
      </c>
      <c r="B7" s="5" t="s">
        <v>198</v>
      </c>
      <c r="C7" s="5" t="str">
        <f>_xlfn.XLOOKUP(A7,Stars!A:A,Stars!C:C)</f>
        <v>Special</v>
      </c>
      <c r="D7" s="1" t="s">
        <v>1054</v>
      </c>
      <c r="E7" s="1" t="s">
        <v>1550</v>
      </c>
      <c r="F7" s="15">
        <v>1</v>
      </c>
      <c r="G7" s="21">
        <v>104</v>
      </c>
      <c r="H7" s="21">
        <v>29</v>
      </c>
      <c r="I7" s="21">
        <v>58</v>
      </c>
      <c r="J7" s="21">
        <v>95</v>
      </c>
      <c r="K7" s="21">
        <v>95</v>
      </c>
      <c r="L7" s="21">
        <v>58</v>
      </c>
      <c r="M7" s="21">
        <v>182</v>
      </c>
      <c r="N7" s="16" cm="1">
        <f t="array" ref="N7">IFERROR(_xlfn.XLOOKUP(D7, Move_List!$A:$A, Move_List!$D:$D) * _xlfn.IFS(UPPER(TRIM(_xlfn.XLOOKUP(D7, Move_List!$A:$A, Move_List!$C:$C)))="PHYSICAL", K7, UPPER(TRIM(_xlfn.XLOOKUP(D7, Move_List!$A:$A, Move_List!$C:$C)))="SPECIAL", I7, TRUE, 0), 0)</f>
        <v>14250</v>
      </c>
      <c r="O7" s="16" cm="1">
        <f t="array" ref="O7">IFERROR(
  _xlfn.XLOOKUP(D7, Move_List!$A:$A, Move_List!$D:$D) * _xlfn.IFS(
    ISNUMBER(SEARCH("Max", E7)),
      LOOKUP(_xlfn.XLOOKUP(D7, Move_List!$A:$A, Move_List!$D:$D), {0,60,80,110,150}, {2.5,1.83,1.63,1.27,1}),
    E7&lt;&gt;"",
      LOOKUP(_xlfn.XLOOKUP(D7, Move_List!$A:$A, Move_List!$D:$D), {0,60,80,90,100,110,120,150}, {2.5,2,2,1.94,1.8,1.68,1.58,1.33}),
    TRUE, 0
  ) * IF(_xlfn.XLOOKUP(D7, Move_List!$A:$A, Move_List!$C:$C)="Physical", K7, I7),
0)</f>
        <v>14250</v>
      </c>
      <c r="P7" s="16">
        <f t="shared" si="0"/>
        <v>111.66666666666667</v>
      </c>
      <c r="Q7" s="16">
        <f t="shared" si="1"/>
        <v>15912.5</v>
      </c>
      <c r="R7" s="17" cm="1">
        <f t="array" ref="R7">IFERROR(Q7 / IF(OR(_xlfn.IFNA(_xlfn.XLOOKUP(E7, Move_List!$A:$A, Move_List!$C:$C), "")={"Dynamax","Mega"}), G7*1.2, G7), 0)</f>
        <v>153.00480769230768</v>
      </c>
    </row>
    <row r="8" spans="1:41" ht="12.75">
      <c r="A8" s="6" t="s">
        <v>188</v>
      </c>
      <c r="B8" s="5" t="s">
        <v>189</v>
      </c>
      <c r="C8" s="5" t="str">
        <f>_xlfn.XLOOKUP(A8,Stars!A:A,Stars!C:C)</f>
        <v>6-star</v>
      </c>
      <c r="D8" s="19" t="s">
        <v>1365</v>
      </c>
      <c r="E8" s="19"/>
      <c r="F8" s="20">
        <v>0.85</v>
      </c>
      <c r="G8" s="5">
        <v>152</v>
      </c>
      <c r="H8" s="16">
        <v>95</v>
      </c>
      <c r="I8" s="16">
        <v>155</v>
      </c>
      <c r="J8" s="16">
        <v>145</v>
      </c>
      <c r="K8" s="16">
        <v>105</v>
      </c>
      <c r="L8" s="16">
        <v>95</v>
      </c>
      <c r="M8" s="16">
        <v>160</v>
      </c>
      <c r="N8" s="16" cm="1">
        <f t="array" ref="N8">IFERROR(_xlfn.XLOOKUP(D8, Move_List!$A:$A, Move_List!$D:$D) * _xlfn.IFS(UPPER(TRIM(_xlfn.XLOOKUP(D8, Move_List!$A:$A, Move_List!$C:$C)))="PHYSICAL", K8, UPPER(TRIM(_xlfn.XLOOKUP(D8, Move_List!$A:$A, Move_List!$C:$C)))="SPECIAL", I8, TRUE, 0), 0)</f>
        <v>17050</v>
      </c>
      <c r="O8" s="16" cm="1">
        <f t="array" ref="O8">IFERROR(
  _xlfn.XLOOKUP(D8, Move_List!$A:$A, Move_List!$D:$D) * _xlfn.IFS(
    ISNUMBER(SEARCH("Max", E8)),
      LOOKUP(_xlfn.XLOOKUP(D8, Move_List!$A:$A, Move_List!$D:$D), {0,60,80,110,150}, {2.5,1.83,1.63,1.27,1}),
    E8&lt;&gt;"",
      LOOKUP(_xlfn.XLOOKUP(D8, Move_List!$A:$A, Move_List!$D:$D), {0,60,80,90,100,110,120,150}, {2.5,2,2,1.94,1.8,1.68,1.58,1.33}),
    TRUE, 0
  ) * IF(_xlfn.XLOOKUP(D8, Move_List!$A:$A, Move_List!$C:$C)="Physical", K8, I8),
0)</f>
        <v>0</v>
      </c>
      <c r="P8" s="16">
        <f t="shared" si="0"/>
        <v>133.33333333333334</v>
      </c>
      <c r="Q8" s="16">
        <f t="shared" si="1"/>
        <v>22733.333333333336</v>
      </c>
      <c r="R8" s="17" cm="1">
        <f t="array" ref="R8">IFERROR(Q8 / IF(OR(_xlfn.IFNA(_xlfn.XLOOKUP(E8, Move_List!$A:$A, Move_List!$C:$C), "")={"Dynamax","Mega"}), G8*1.2, G8), 0)</f>
        <v>149.56140350877195</v>
      </c>
    </row>
    <row r="9" spans="1:41" ht="12.75">
      <c r="A9" s="6" t="s">
        <v>230</v>
      </c>
      <c r="B9" s="18" t="s">
        <v>3</v>
      </c>
      <c r="C9" s="5" t="str">
        <f>_xlfn.XLOOKUP(A9,Stars!A:A,Stars!C:C)</f>
        <v>5-star</v>
      </c>
      <c r="D9" s="19" t="s">
        <v>896</v>
      </c>
      <c r="E9" s="5" t="s">
        <v>1564</v>
      </c>
      <c r="F9" s="20">
        <v>1</v>
      </c>
      <c r="G9" s="5">
        <v>132</v>
      </c>
      <c r="H9" s="16">
        <v>72</v>
      </c>
      <c r="I9" s="16">
        <v>96</v>
      </c>
      <c r="J9" s="16">
        <v>91</v>
      </c>
      <c r="K9" s="16">
        <v>134</v>
      </c>
      <c r="L9" s="16">
        <v>129</v>
      </c>
      <c r="M9" s="16">
        <v>134</v>
      </c>
      <c r="N9" s="16" cm="1">
        <f t="array" ref="N9">IFERROR(_xlfn.XLOOKUP(D9, Move_List!$A:$A, Move_List!$D:$D) * _xlfn.IFS(UPPER(TRIM(_xlfn.XLOOKUP(D9, Move_List!$A:$A, Move_List!$C:$C)))="PHYSICAL", K9, UPPER(TRIM(_xlfn.XLOOKUP(D9, Move_List!$A:$A, Move_List!$C:$C)))="SPECIAL", I9, TRUE, 0), 0)</f>
        <v>12060</v>
      </c>
      <c r="O9" s="16" cm="1">
        <f t="array" ref="O9">IFERROR(
  _xlfn.XLOOKUP(D9, Move_List!$A:$A, Move_List!$D:$D) * _xlfn.IFS(
    ISNUMBER(SEARCH("Max", E9)),
      LOOKUP(_xlfn.XLOOKUP(D9, Move_List!$A:$A, Move_List!$D:$D), {0,60,80,110,150}, {2.5,1.83,1.63,1.27,1}),
    E9&lt;&gt;"",
      LOOKUP(_xlfn.XLOOKUP(D9, Move_List!$A:$A, Move_List!$D:$D), {0,60,80,90,100,110,120,150}, {2.5,2,2,1.94,1.8,1.68,1.58,1.33}),
    TRUE, 0
  ) * IF(_xlfn.XLOOKUP(D9, Move_List!$A:$A, Move_List!$C:$C)="Physical", K9, I9),
0)</f>
        <v>19657.8</v>
      </c>
      <c r="P9" s="16">
        <f t="shared" si="0"/>
        <v>118</v>
      </c>
      <c r="Q9" s="16">
        <f t="shared" si="1"/>
        <v>18713.501999999997</v>
      </c>
      <c r="R9" s="17" cm="1">
        <f t="array" ref="R9">IFERROR(Q9 / IF(OR(_xlfn.IFNA(_xlfn.XLOOKUP(E9, Move_List!$A:$A, Move_List!$C:$C), "")={"Dynamax","Mega"}), G9*1.2, G9), 0)</f>
        <v>141.76895454545453</v>
      </c>
    </row>
    <row r="10" spans="1:41" ht="12.75">
      <c r="A10" s="6" t="s">
        <v>207</v>
      </c>
      <c r="B10" s="5" t="s">
        <v>208</v>
      </c>
      <c r="C10" s="5" t="str">
        <f>_xlfn.XLOOKUP(A10,Stars!A:A,Stars!C:C)</f>
        <v>6-star</v>
      </c>
      <c r="D10" s="19" t="s">
        <v>1267</v>
      </c>
      <c r="E10" s="19"/>
      <c r="F10" s="20">
        <v>1</v>
      </c>
      <c r="G10" s="5">
        <v>162</v>
      </c>
      <c r="H10" s="16">
        <v>100</v>
      </c>
      <c r="I10" s="16">
        <v>132</v>
      </c>
      <c r="J10" s="16">
        <v>111</v>
      </c>
      <c r="K10" s="16">
        <v>164</v>
      </c>
      <c r="L10" s="16">
        <v>132</v>
      </c>
      <c r="M10" s="16">
        <v>169</v>
      </c>
      <c r="N10" s="16" cm="1">
        <f t="array" ref="N10">IFERROR(_xlfn.XLOOKUP(D10, Move_List!$A:$A, Move_List!$D:$D) * _xlfn.IFS(UPPER(TRIM(_xlfn.XLOOKUP(D10, Move_List!$A:$A, Move_List!$C:$C)))="PHYSICAL", K10, UPPER(TRIM(_xlfn.XLOOKUP(D10, Move_List!$A:$A, Move_List!$C:$C)))="SPECIAL", I10, TRUE, 0), 0)</f>
        <v>16400</v>
      </c>
      <c r="O10" s="16" cm="1">
        <f t="array" ref="O10">IFERROR(
  _xlfn.XLOOKUP(D10, Move_List!$A:$A, Move_List!$D:$D) * _xlfn.IFS(
    ISNUMBER(SEARCH("Max", E10)),
      LOOKUP(_xlfn.XLOOKUP(D10, Move_List!$A:$A, Move_List!$D:$D), {0,60,80,110,150}, {2.5,1.83,1.63,1.27,1}),
    E10&lt;&gt;"",
      LOOKUP(_xlfn.XLOOKUP(D10, Move_List!$A:$A, Move_List!$D:$D), {0,60,80,90,100,110,120,150}, {2.5,2,2,1.94,1.8,1.68,1.58,1.33}),
    TRUE, 0
  ) * IF(_xlfn.XLOOKUP(D10, Move_List!$A:$A, Move_List!$C:$C)="Physical", K10, I10),
0)</f>
        <v>0</v>
      </c>
      <c r="P10" s="16">
        <f t="shared" si="0"/>
        <v>137.33333333333334</v>
      </c>
      <c r="Q10" s="16">
        <f t="shared" si="1"/>
        <v>22522.666666666668</v>
      </c>
      <c r="R10" s="17" cm="1">
        <f t="array" ref="R10">IFERROR(Q10 / IF(OR(_xlfn.IFNA(_xlfn.XLOOKUP(E10, Move_List!$A:$A, Move_List!$C:$C), "")={"Dynamax","Mega"}), G10*1.2, G10), 0)</f>
        <v>139.02880658436214</v>
      </c>
    </row>
    <row r="11" spans="1:41" ht="12.75">
      <c r="A11" s="4" t="s">
        <v>36</v>
      </c>
      <c r="B11" s="5" t="s">
        <v>37</v>
      </c>
      <c r="C11" s="5" t="str">
        <f>_xlfn.XLOOKUP(A11,Stars!A:A,Stars!C:C)</f>
        <v>6-star</v>
      </c>
      <c r="D11" s="5" t="s">
        <v>1571</v>
      </c>
      <c r="E11" s="5"/>
      <c r="F11" s="15">
        <v>1</v>
      </c>
      <c r="G11" s="16">
        <v>162</v>
      </c>
      <c r="H11" s="16">
        <v>153</v>
      </c>
      <c r="I11" s="16">
        <v>85</v>
      </c>
      <c r="J11" s="16">
        <v>120</v>
      </c>
      <c r="K11" s="16">
        <v>172</v>
      </c>
      <c r="L11" s="16">
        <v>120</v>
      </c>
      <c r="M11" s="16">
        <v>152</v>
      </c>
      <c r="N11" s="16" cm="1">
        <f t="array" ref="N11">IFERROR(_xlfn.XLOOKUP(D11, Move_List!$A:$A, Move_List!$D:$D) * _xlfn.IFS(UPPER(TRIM(_xlfn.XLOOKUP(D11, Move_List!$A:$A, Move_List!$C:$C)))="PHYSICAL", K11, UPPER(TRIM(_xlfn.XLOOKUP(D11, Move_List!$A:$A, Move_List!$C:$C)))="SPECIAL", I11, TRUE, 0), 0)</f>
        <v>17200</v>
      </c>
      <c r="O11" s="16" cm="1">
        <f t="array" ref="O11">IFERROR(
  _xlfn.XLOOKUP(D11, Move_List!$A:$A, Move_List!$D:$D) * _xlfn.IFS(
    ISNUMBER(SEARCH("Max", E11)),
      LOOKUP(_xlfn.XLOOKUP(D11, Move_List!$A:$A, Move_List!$D:$D), {0,60,80,110,150}, {2.5,1.83,1.63,1.27,1}),
    E11&lt;&gt;"",
      LOOKUP(_xlfn.XLOOKUP(D11, Move_List!$A:$A, Move_List!$D:$D), {0,60,80,90,100,110,120,150}, {2.5,2,2,1.94,1.8,1.68,1.58,1.33}),
    TRUE, 0
  ) * IF(_xlfn.XLOOKUP(D11, Move_List!$A:$A, Move_List!$C:$C)="Physical", K11, I11),
0)</f>
        <v>0</v>
      </c>
      <c r="P11" s="16">
        <f t="shared" si="0"/>
        <v>130.66666666666666</v>
      </c>
      <c r="Q11" s="16">
        <f t="shared" si="1"/>
        <v>22474.666666666668</v>
      </c>
      <c r="R11" s="17" cm="1">
        <f t="array" ref="R11">IFERROR(Q11 / IF(OR(_xlfn.IFNA(_xlfn.XLOOKUP(E11, Move_List!$A:$A, Move_List!$C:$C), "")={"Dynamax","Mega"}), G11*1.2, G11), 0)</f>
        <v>138.73251028806584</v>
      </c>
    </row>
    <row r="12" spans="1:41" ht="12.75">
      <c r="A12" s="6" t="s">
        <v>229</v>
      </c>
      <c r="B12" s="18" t="s">
        <v>19</v>
      </c>
      <c r="C12" s="5" t="str">
        <f>_xlfn.XLOOKUP(A12,Stars!A:A,Stars!C:C)</f>
        <v>5-star</v>
      </c>
      <c r="D12" s="19" t="s">
        <v>1088</v>
      </c>
      <c r="E12" s="19" t="s">
        <v>1560</v>
      </c>
      <c r="F12" s="20">
        <v>1</v>
      </c>
      <c r="G12" s="5">
        <v>132</v>
      </c>
      <c r="H12" s="16">
        <v>63</v>
      </c>
      <c r="I12" s="16">
        <v>96</v>
      </c>
      <c r="J12" s="16">
        <v>101</v>
      </c>
      <c r="K12" s="16">
        <v>113</v>
      </c>
      <c r="L12" s="16">
        <v>110</v>
      </c>
      <c r="M12" s="16">
        <v>154</v>
      </c>
      <c r="N12" s="16" cm="1">
        <f t="array" ref="N12">IFERROR(_xlfn.XLOOKUP(D12, Move_List!$A:$A, Move_List!$D:$D) * _xlfn.IFS(UPPER(TRIM(_xlfn.XLOOKUP(D12, Move_List!$A:$A, Move_List!$C:$C)))="PHYSICAL", K12, UPPER(TRIM(_xlfn.XLOOKUP(D12, Move_List!$A:$A, Move_List!$C:$C)))="SPECIAL", I12, TRUE, 0), 0)</f>
        <v>11300</v>
      </c>
      <c r="O12" s="16" cm="1">
        <f t="array" ref="O12">IFERROR(
  _xlfn.XLOOKUP(D12, Move_List!$A:$A, Move_List!$D:$D) * _xlfn.IFS(
    ISNUMBER(SEARCH("Max", E12)),
      LOOKUP(_xlfn.XLOOKUP(D12, Move_List!$A:$A, Move_List!$D:$D), {0,60,80,110,150}, {2.5,1.83,1.63,1.27,1}),
    E12&lt;&gt;"",
      LOOKUP(_xlfn.XLOOKUP(D12, Move_List!$A:$A, Move_List!$D:$D), {0,60,80,90,100,110,120,150}, {2.5,2,2,1.94,1.8,1.68,1.58,1.33}),
    TRUE, 0
  ) * IF(_xlfn.XLOOKUP(D12, Move_List!$A:$A, Move_List!$C:$C)="Physical", K12, I12),
0)</f>
        <v>18419</v>
      </c>
      <c r="P12" s="16">
        <f t="shared" si="0"/>
        <v>121.66666666666667</v>
      </c>
      <c r="Q12" s="16">
        <f t="shared" si="1"/>
        <v>18079.058333333334</v>
      </c>
      <c r="R12" s="17" cm="1">
        <f t="array" ref="R12">IFERROR(Q12 / IF(OR(_xlfn.IFNA(_xlfn.XLOOKUP(E12, Move_List!$A:$A, Move_List!$C:$C), "")={"Dynamax","Mega"}), G12*1.2, G12), 0)</f>
        <v>136.96256313131315</v>
      </c>
    </row>
    <row r="13" spans="1:41" ht="12.75">
      <c r="A13" s="6" t="s">
        <v>210</v>
      </c>
      <c r="B13" s="5" t="s">
        <v>211</v>
      </c>
      <c r="C13" s="5" t="str">
        <f>_xlfn.XLOOKUP(A13,Stars!A:A,Stars!C:C)</f>
        <v>6-star</v>
      </c>
      <c r="D13" s="19" t="s">
        <v>496</v>
      </c>
      <c r="E13" s="19"/>
      <c r="F13" s="20">
        <v>0.7</v>
      </c>
      <c r="G13" s="5">
        <v>156</v>
      </c>
      <c r="H13" s="16">
        <v>105</v>
      </c>
      <c r="I13" s="16">
        <v>142</v>
      </c>
      <c r="J13" s="16">
        <v>100</v>
      </c>
      <c r="K13" s="16">
        <v>142</v>
      </c>
      <c r="L13" s="16">
        <v>100</v>
      </c>
      <c r="M13" s="16">
        <v>195</v>
      </c>
      <c r="N13" s="16" cm="1">
        <f t="array" ref="N13">IFERROR(_xlfn.XLOOKUP(D13, Move_List!$A:$A, Move_List!$D:$D) * _xlfn.IFS(UPPER(TRIM(_xlfn.XLOOKUP(D13, Move_List!$A:$A, Move_List!$C:$C)))="PHYSICAL", K13, UPPER(TRIM(_xlfn.XLOOKUP(D13, Move_List!$A:$A, Move_List!$C:$C)))="SPECIAL", I13, TRUE, 0), 0)</f>
        <v>15620</v>
      </c>
      <c r="O13" s="16" cm="1">
        <f t="array" ref="O13">IFERROR(
  _xlfn.XLOOKUP(D13, Move_List!$A:$A, Move_List!$D:$D) * _xlfn.IFS(
    ISNUMBER(SEARCH("Max", E13)),
      LOOKUP(_xlfn.XLOOKUP(D13, Move_List!$A:$A, Move_List!$D:$D), {0,60,80,110,150}, {2.5,1.83,1.63,1.27,1}),
    E13&lt;&gt;"",
      LOOKUP(_xlfn.XLOOKUP(D13, Move_List!$A:$A, Move_List!$D:$D), {0,60,80,90,100,110,120,150}, {2.5,2,2,1.94,1.8,1.68,1.58,1.33}),
    TRUE, 0
  ) * IF(_xlfn.XLOOKUP(D13, Move_List!$A:$A, Move_List!$C:$C)="Physical", K13, I13),
0)</f>
        <v>0</v>
      </c>
      <c r="P13" s="16">
        <f t="shared" si="0"/>
        <v>131.66666666666666</v>
      </c>
      <c r="Q13" s="16">
        <f t="shared" si="1"/>
        <v>20566.333333333332</v>
      </c>
      <c r="R13" s="17" cm="1">
        <f t="array" ref="R13">IFERROR(Q13 / IF(OR(_xlfn.IFNA(_xlfn.XLOOKUP(E13, Move_List!$A:$A, Move_List!$C:$C), "")={"Dynamax","Mega"}), G13*1.2, G13), 0)</f>
        <v>131.83547008547006</v>
      </c>
    </row>
    <row r="14" spans="1:41" ht="12.75">
      <c r="A14" s="4" t="s">
        <v>63</v>
      </c>
      <c r="B14" s="5" t="s">
        <v>17</v>
      </c>
      <c r="C14" s="5" t="str">
        <f>_xlfn.XLOOKUP(A14,Stars!A:A,Stars!C:C)</f>
        <v>5-star</v>
      </c>
      <c r="D14" s="5" t="s">
        <v>496</v>
      </c>
      <c r="E14" s="5"/>
      <c r="F14" s="15">
        <v>1</v>
      </c>
      <c r="G14" s="16">
        <v>114</v>
      </c>
      <c r="H14" s="16">
        <v>66</v>
      </c>
      <c r="I14" s="16">
        <v>127</v>
      </c>
      <c r="J14" s="16">
        <v>94</v>
      </c>
      <c r="K14" s="16">
        <v>61</v>
      </c>
      <c r="L14" s="16">
        <v>108</v>
      </c>
      <c r="M14" s="16">
        <v>118</v>
      </c>
      <c r="N14" s="16" cm="1">
        <f t="array" ref="N14">IFERROR(_xlfn.XLOOKUP(D14, Move_List!$A:$A, Move_List!$D:$D) * _xlfn.IFS(UPPER(TRIM(_xlfn.XLOOKUP(D14, Move_List!$A:$A, Move_List!$C:$C)))="PHYSICAL", K14, UPPER(TRIM(_xlfn.XLOOKUP(D14, Move_List!$A:$A, Move_List!$C:$C)))="SPECIAL", I14, TRUE, 0), 0)</f>
        <v>13970</v>
      </c>
      <c r="O14" s="16" cm="1">
        <f t="array" ref="O14">IFERROR(
  _xlfn.XLOOKUP(D14, Move_List!$A:$A, Move_List!$D:$D) * _xlfn.IFS(
    ISNUMBER(SEARCH("Max", E14)),
      LOOKUP(_xlfn.XLOOKUP(D14, Move_List!$A:$A, Move_List!$D:$D), {0,60,80,110,150}, {2.5,1.83,1.63,1.27,1}),
    E14&lt;&gt;"",
      LOOKUP(_xlfn.XLOOKUP(D14, Move_List!$A:$A, Move_List!$D:$D), {0,60,80,90,100,110,120,150}, {2.5,2,2,1.94,1.8,1.68,1.58,1.33}),
    TRUE, 0
  ) * IF(_xlfn.XLOOKUP(D14, Move_List!$A:$A, Move_List!$C:$C)="Physical", K14, I14),
0)</f>
        <v>0</v>
      </c>
      <c r="P14" s="16">
        <f t="shared" si="0"/>
        <v>106.66666666666667</v>
      </c>
      <c r="Q14" s="16">
        <f t="shared" si="1"/>
        <v>14901.333333333334</v>
      </c>
      <c r="R14" s="17" cm="1">
        <f t="array" ref="R14">IFERROR(Q14 / IF(OR(_xlfn.IFNA(_xlfn.XLOOKUP(E14, Move_List!$A:$A, Move_List!$C:$C), "")={"Dynamax","Mega"}), G14*1.2, G14), 0)</f>
        <v>130.71345029239765</v>
      </c>
    </row>
    <row r="15" spans="1:41" ht="12.75">
      <c r="A15" s="4" t="s">
        <v>29</v>
      </c>
      <c r="B15" s="5" t="s">
        <v>31</v>
      </c>
      <c r="C15" s="5" t="str">
        <f>_xlfn.XLOOKUP(A15,Stars!A:A,Stars!C:C)</f>
        <v>6-star</v>
      </c>
      <c r="D15" s="5" t="s">
        <v>1243</v>
      </c>
      <c r="E15" s="5"/>
      <c r="F15" s="15">
        <v>1</v>
      </c>
      <c r="G15" s="16">
        <v>158</v>
      </c>
      <c r="H15" s="16">
        <v>140</v>
      </c>
      <c r="I15" s="16">
        <v>165</v>
      </c>
      <c r="J15" s="16">
        <v>98</v>
      </c>
      <c r="K15" s="16">
        <v>119</v>
      </c>
      <c r="L15" s="16">
        <v>98</v>
      </c>
      <c r="M15" s="16">
        <v>172</v>
      </c>
      <c r="N15" s="16" cm="1">
        <f t="array" ref="N15">IFERROR(_xlfn.XLOOKUP(D15, Move_List!$A:$A, Move_List!$D:$D) * _xlfn.IFS(UPPER(TRIM(_xlfn.XLOOKUP(D15, Move_List!$A:$A, Move_List!$C:$C)))="PHYSICAL", K15, UPPER(TRIM(_xlfn.XLOOKUP(D15, Move_List!$A:$A, Move_List!$C:$C)))="SPECIAL", I15, TRUE, 0), 0)</f>
        <v>16500</v>
      </c>
      <c r="O15" s="16" cm="1">
        <f t="array" ref="O15">IFERROR(
  _xlfn.XLOOKUP(D15, Move_List!$A:$A, Move_List!$D:$D) * _xlfn.IFS(
    ISNUMBER(SEARCH("Max", E15)),
      LOOKUP(_xlfn.XLOOKUP(D15, Move_List!$A:$A, Move_List!$D:$D), {0,60,80,110,150}, {2.5,1.83,1.63,1.27,1}),
    E15&lt;&gt;"",
      LOOKUP(_xlfn.XLOOKUP(D15, Move_List!$A:$A, Move_List!$D:$D), {0,60,80,90,100,110,120,150}, {2.5,2,2,1.94,1.8,1.68,1.58,1.33}),
    TRUE, 0
  ) * IF(_xlfn.XLOOKUP(D15, Move_List!$A:$A, Move_List!$C:$C)="Physical", K15, I15),
0)</f>
        <v>0</v>
      </c>
      <c r="P15" s="16">
        <f t="shared" si="0"/>
        <v>122.66666666666667</v>
      </c>
      <c r="Q15" s="16">
        <f t="shared" si="1"/>
        <v>20240.000000000004</v>
      </c>
      <c r="R15" s="17" cm="1">
        <f t="array" ref="R15">IFERROR(Q15 / IF(OR(_xlfn.IFNA(_xlfn.XLOOKUP(E15, Move_List!$A:$A, Move_List!$C:$C), "")={"Dynamax","Mega"}), G15*1.2, G15), 0)</f>
        <v>128.10126582278482</v>
      </c>
    </row>
    <row r="16" spans="1:41" ht="12.75">
      <c r="A16" s="4" t="s">
        <v>46</v>
      </c>
      <c r="B16" s="5" t="s">
        <v>47</v>
      </c>
      <c r="C16" s="5" t="str">
        <f>_xlfn.XLOOKUP(A16,Stars!A:A,Stars!C:C)</f>
        <v>6-star</v>
      </c>
      <c r="D16" s="5" t="s">
        <v>1670</v>
      </c>
      <c r="E16" s="5"/>
      <c r="F16" s="15">
        <v>1</v>
      </c>
      <c r="G16" s="16">
        <v>162</v>
      </c>
      <c r="H16" s="16">
        <v>150</v>
      </c>
      <c r="I16" s="16">
        <v>150</v>
      </c>
      <c r="J16" s="16">
        <v>129</v>
      </c>
      <c r="K16" s="16">
        <v>96</v>
      </c>
      <c r="L16" s="16">
        <v>113</v>
      </c>
      <c r="M16" s="16">
        <v>172</v>
      </c>
      <c r="N16" s="16" cm="1">
        <f t="array" ref="N16">IFERROR(_xlfn.XLOOKUP(D16, Move_List!$A:$A, Move_List!$D:$D) * _xlfn.IFS(UPPER(TRIM(_xlfn.XLOOKUP(D16, Move_List!$A:$A, Move_List!$C:$C)))="PHYSICAL", K16, UPPER(TRIM(_xlfn.XLOOKUP(D16, Move_List!$A:$A, Move_List!$C:$C)))="SPECIAL", I16, TRUE, 0), 0)</f>
        <v>15000</v>
      </c>
      <c r="O16" s="16" cm="1">
        <f t="array" ref="O16">IFERROR(
  _xlfn.XLOOKUP(D16, Move_List!$A:$A, Move_List!$D:$D) * _xlfn.IFS(
    ISNUMBER(SEARCH("Max", E16)),
      LOOKUP(_xlfn.XLOOKUP(D16, Move_List!$A:$A, Move_List!$D:$D), {0,60,80,110,150}, {2.5,1.83,1.63,1.27,1}),
    E16&lt;&gt;"",
      LOOKUP(_xlfn.XLOOKUP(D16, Move_List!$A:$A, Move_List!$D:$D), {0,60,80,90,100,110,120,150}, {2.5,2,2,1.94,1.8,1.68,1.58,1.33}),
    TRUE, 0
  ) * IF(_xlfn.XLOOKUP(D16, Move_List!$A:$A, Move_List!$C:$C)="Physical", K16, I16),
0)</f>
        <v>0</v>
      </c>
      <c r="P16" s="16">
        <f t="shared" si="0"/>
        <v>138</v>
      </c>
      <c r="Q16" s="16">
        <f t="shared" si="1"/>
        <v>20700</v>
      </c>
      <c r="R16" s="17" cm="1">
        <f t="array" ref="R16">IFERROR(Q16 / IF(OR(_xlfn.IFNA(_xlfn.XLOOKUP(E16, Move_List!$A:$A, Move_List!$C:$C), "")={"Dynamax","Mega"}), G16*1.2, G16), 0)</f>
        <v>127.77777777777777</v>
      </c>
    </row>
    <row r="17" spans="1:18" ht="12.75">
      <c r="A17" s="6" t="s">
        <v>193</v>
      </c>
      <c r="B17" s="5" t="s">
        <v>194</v>
      </c>
      <c r="C17" s="5" t="str">
        <f>_xlfn.XLOOKUP(A17,Stars!A:A,Stars!C:C)</f>
        <v>6-star</v>
      </c>
      <c r="D17" s="19" t="s">
        <v>1669</v>
      </c>
      <c r="E17" s="19"/>
      <c r="F17" s="20">
        <v>1</v>
      </c>
      <c r="G17" s="5">
        <v>162</v>
      </c>
      <c r="H17" s="16">
        <v>150</v>
      </c>
      <c r="I17" s="16">
        <v>96</v>
      </c>
      <c r="J17" s="16">
        <v>113</v>
      </c>
      <c r="K17" s="16">
        <v>150</v>
      </c>
      <c r="L17" s="16">
        <v>129</v>
      </c>
      <c r="M17" s="16">
        <v>172</v>
      </c>
      <c r="N17" s="16" cm="1">
        <f t="array" ref="N17">IFERROR(_xlfn.XLOOKUP(D17, Move_List!$A:$A, Move_List!$D:$D) * _xlfn.IFS(UPPER(TRIM(_xlfn.XLOOKUP(D17, Move_List!$A:$A, Move_List!$C:$C)))="PHYSICAL", K17, UPPER(TRIM(_xlfn.XLOOKUP(D17, Move_List!$A:$A, Move_List!$C:$C)))="SPECIAL", I17, TRUE, 0), 0)</f>
        <v>15000</v>
      </c>
      <c r="O17" s="16" cm="1">
        <f t="array" ref="O17">IFERROR(
  _xlfn.XLOOKUP(D17, Move_List!$A:$A, Move_List!$D:$D) * _xlfn.IFS(
    ISNUMBER(SEARCH("Max", E17)),
      LOOKUP(_xlfn.XLOOKUP(D17, Move_List!$A:$A, Move_List!$D:$D), {0,60,80,110,150}, {2.5,1.83,1.63,1.27,1}),
    E17&lt;&gt;"",
      LOOKUP(_xlfn.XLOOKUP(D17, Move_List!$A:$A, Move_List!$D:$D), {0,60,80,90,100,110,120,150}, {2.5,2,2,1.94,1.8,1.68,1.58,1.33}),
    TRUE, 0
  ) * IF(_xlfn.XLOOKUP(D17, Move_List!$A:$A, Move_List!$C:$C)="Physical", K17, I17),
0)</f>
        <v>0</v>
      </c>
      <c r="P17" s="16">
        <f t="shared" si="0"/>
        <v>138</v>
      </c>
      <c r="Q17" s="16">
        <f t="shared" si="1"/>
        <v>20700</v>
      </c>
      <c r="R17" s="17" cm="1">
        <f t="array" ref="R17">IFERROR(Q17 / IF(OR(_xlfn.IFNA(_xlfn.XLOOKUP(E17, Move_List!$A:$A, Move_List!$C:$C), "")={"Dynamax","Mega"}), G17*1.2, G17), 0)</f>
        <v>127.77777777777777</v>
      </c>
    </row>
    <row r="18" spans="1:18" ht="12.75">
      <c r="A18" s="4" t="s">
        <v>72</v>
      </c>
      <c r="B18" s="5" t="s">
        <v>73</v>
      </c>
      <c r="C18" s="5" t="str">
        <f>_xlfn.XLOOKUP(A18,Stars!A:A,Stars!C:C)</f>
        <v>5-star</v>
      </c>
      <c r="D18" s="5" t="s">
        <v>541</v>
      </c>
      <c r="E18" s="5" t="s">
        <v>1740</v>
      </c>
      <c r="F18" s="15">
        <v>1</v>
      </c>
      <c r="G18" s="16">
        <v>110</v>
      </c>
      <c r="H18" s="16">
        <v>39</v>
      </c>
      <c r="I18" s="16">
        <v>53</v>
      </c>
      <c r="J18" s="16">
        <v>53</v>
      </c>
      <c r="K18" s="16">
        <v>128</v>
      </c>
      <c r="L18" s="16">
        <v>119</v>
      </c>
      <c r="M18" s="16">
        <v>155</v>
      </c>
      <c r="N18" s="16" cm="1">
        <f t="array" ref="N18">IFERROR(_xlfn.XLOOKUP(D18, Move_List!$A:$A, Move_List!$D:$D) * _xlfn.IFS(UPPER(TRIM(_xlfn.XLOOKUP(D18, Move_List!$A:$A, Move_List!$C:$C)))="PHYSICAL", K18, UPPER(TRIM(_xlfn.XLOOKUP(D18, Move_List!$A:$A, Move_List!$C:$C)))="SPECIAL", I18, TRUE, 0), 0)</f>
        <v>12800</v>
      </c>
      <c r="O18" s="16" cm="1">
        <f t="array" ref="O18">IFERROR(
  _xlfn.XLOOKUP(D18, Move_List!$A:$A, Move_List!$D:$D) * _xlfn.IFS(
    ISNUMBER(SEARCH("Max", E18)),
      LOOKUP(_xlfn.XLOOKUP(D18, Move_List!$A:$A, Move_List!$D:$D), {0,60,80,110,150}, {2.5,1.83,1.63,1.27,1}),
    E18&lt;&gt;"",
      LOOKUP(_xlfn.XLOOKUP(D18, Move_List!$A:$A, Move_List!$D:$D), {0,60,80,90,100,110,120,150}, {2.5,2,2,1.94,1.8,1.68,1.58,1.33}),
    TRUE, 0
  ) * IF(_xlfn.XLOOKUP(D18, Move_List!$A:$A, Move_List!$C:$C)="Physical", K18, I18),
0)</f>
        <v>23040</v>
      </c>
      <c r="P18" s="16">
        <f t="shared" si="0"/>
        <v>109</v>
      </c>
      <c r="Q18" s="16">
        <f t="shared" si="1"/>
        <v>19532.800000000003</v>
      </c>
      <c r="R18" s="17" cm="1">
        <f t="array" ref="R18">IFERROR(Q18 / IF(OR(_xlfn.IFNA(_xlfn.XLOOKUP(E18, Move_List!$A:$A, Move_List!$C:$C), "")={"Dynamax","Mega"}), G18*1.2, G18), 0)</f>
        <v>177.57090909090911</v>
      </c>
    </row>
    <row r="19" spans="1:18" ht="12.75">
      <c r="A19" s="4" t="s">
        <v>39</v>
      </c>
      <c r="B19" s="5" t="s">
        <v>40</v>
      </c>
      <c r="C19" s="5" t="str">
        <f>_xlfn.XLOOKUP(A19,Stars!A:A,Stars!C:C)</f>
        <v>6-star</v>
      </c>
      <c r="D19" s="5" t="s">
        <v>1572</v>
      </c>
      <c r="E19" s="5"/>
      <c r="F19" s="15">
        <v>1</v>
      </c>
      <c r="G19" s="16">
        <v>162</v>
      </c>
      <c r="H19" s="16">
        <v>133</v>
      </c>
      <c r="I19" s="16">
        <v>85</v>
      </c>
      <c r="J19" s="16">
        <v>150</v>
      </c>
      <c r="K19" s="16">
        <v>135</v>
      </c>
      <c r="L19" s="16">
        <v>150</v>
      </c>
      <c r="M19" s="16">
        <v>152</v>
      </c>
      <c r="N19" s="16" cm="1">
        <f t="array" ref="N19">IFERROR(_xlfn.XLOOKUP(D19, Move_List!$A:$A, Move_List!$D:$D) * _xlfn.IFS(UPPER(TRIM(_xlfn.XLOOKUP(D19, Move_List!$A:$A, Move_List!$C:$C)))="PHYSICAL", K19, UPPER(TRIM(_xlfn.XLOOKUP(D19, Move_List!$A:$A, Move_List!$C:$C)))="SPECIAL", I19, TRUE, 0), 0)</f>
        <v>13500</v>
      </c>
      <c r="O19" s="16" cm="1">
        <f t="array" ref="O19">IFERROR(
  _xlfn.XLOOKUP(D19, Move_List!$A:$A, Move_List!$D:$D) * _xlfn.IFS(
    ISNUMBER(SEARCH("Max", E19)),
      LOOKUP(_xlfn.XLOOKUP(D19, Move_List!$A:$A, Move_List!$D:$D), {0,60,80,110,150}, {2.5,1.83,1.63,1.27,1}),
    E19&lt;&gt;"",
      LOOKUP(_xlfn.XLOOKUP(D19, Move_List!$A:$A, Move_List!$D:$D), {0,60,80,90,100,110,120,150}, {2.5,2,2,1.94,1.8,1.68,1.58,1.33}),
    TRUE, 0
  ) * IF(_xlfn.XLOOKUP(D19, Move_List!$A:$A, Move_List!$C:$C)="Physical", K19, I19),
0)</f>
        <v>0</v>
      </c>
      <c r="P19" s="16">
        <f t="shared" si="0"/>
        <v>150.66666666666666</v>
      </c>
      <c r="Q19" s="16">
        <f t="shared" si="1"/>
        <v>20340</v>
      </c>
      <c r="R19" s="17" cm="1">
        <f t="array" ref="R19">IFERROR(Q19 / IF(OR(_xlfn.IFNA(_xlfn.XLOOKUP(E19, Move_List!$A:$A, Move_List!$C:$C), "")={"Dynamax","Mega"}), G19*1.2, G19), 0)</f>
        <v>125.55555555555556</v>
      </c>
    </row>
    <row r="20" spans="1:18" ht="12.75">
      <c r="A20" s="4" t="s">
        <v>49</v>
      </c>
      <c r="B20" s="5" t="s">
        <v>21</v>
      </c>
      <c r="C20" s="5" t="str">
        <f>_xlfn.XLOOKUP(A20,Stars!A:A,Stars!C:C)</f>
        <v>6-star</v>
      </c>
      <c r="D20" s="5" t="s">
        <v>1081</v>
      </c>
      <c r="E20" s="5"/>
      <c r="F20" s="15">
        <v>0.9</v>
      </c>
      <c r="G20" s="16">
        <v>122</v>
      </c>
      <c r="H20" s="16">
        <v>85</v>
      </c>
      <c r="I20" s="16">
        <v>105</v>
      </c>
      <c r="J20" s="16">
        <v>105</v>
      </c>
      <c r="K20" s="16">
        <v>87</v>
      </c>
      <c r="L20" s="16">
        <v>88</v>
      </c>
      <c r="M20" s="16">
        <v>140</v>
      </c>
      <c r="N20" s="16" cm="1">
        <f t="array" ref="N20">IFERROR(_xlfn.XLOOKUP(D20, Move_List!$A:$A, Move_List!$D:$D) * _xlfn.IFS(UPPER(TRIM(_xlfn.XLOOKUP(D20, Move_List!$A:$A, Move_List!$C:$C)))="PHYSICAL", K20, UPPER(TRIM(_xlfn.XLOOKUP(D20, Move_List!$A:$A, Move_List!$C:$C)))="SPECIAL", I20, TRUE, 0), 0)</f>
        <v>13650</v>
      </c>
      <c r="O20" s="16" cm="1">
        <f t="array" ref="O20">IFERROR(
  _xlfn.XLOOKUP(D20, Move_List!$A:$A, Move_List!$D:$D) * _xlfn.IFS(
    ISNUMBER(SEARCH("Max", E20)),
      LOOKUP(_xlfn.XLOOKUP(D20, Move_List!$A:$A, Move_List!$D:$D), {0,60,80,110,150}, {2.5,1.83,1.63,1.27,1}),
    E20&lt;&gt;"",
      LOOKUP(_xlfn.XLOOKUP(D20, Move_List!$A:$A, Move_List!$D:$D), {0,60,80,90,100,110,120,150}, {2.5,2,2,1.94,1.8,1.68,1.58,1.33}),
    TRUE, 0
  ) * IF(_xlfn.XLOOKUP(D20, Move_List!$A:$A, Move_List!$C:$C)="Physical", K20, I20),
0)</f>
        <v>0</v>
      </c>
      <c r="P20" s="16">
        <f t="shared" si="0"/>
        <v>111</v>
      </c>
      <c r="Q20" s="16">
        <f t="shared" si="1"/>
        <v>15151.500000000002</v>
      </c>
      <c r="R20" s="17" cm="1">
        <f t="array" ref="R20">IFERROR(Q20 / IF(OR(_xlfn.IFNA(_xlfn.XLOOKUP(E20, Move_List!$A:$A, Move_List!$C:$C), "")={"Dynamax","Mega"}), G20*1.2, G20), 0)</f>
        <v>124.19262295081968</v>
      </c>
    </row>
    <row r="21" spans="1:18" ht="12.75">
      <c r="A21" s="4" t="s">
        <v>77</v>
      </c>
      <c r="B21" s="18" t="s">
        <v>78</v>
      </c>
      <c r="C21" s="5" t="str">
        <f>_xlfn.XLOOKUP(A21,Stars!A:A,Stars!C:C)</f>
        <v>5-star</v>
      </c>
      <c r="D21" s="5" t="s">
        <v>541</v>
      </c>
      <c r="E21" s="5" t="s">
        <v>1561</v>
      </c>
      <c r="F21" s="15">
        <v>1</v>
      </c>
      <c r="G21" s="16">
        <v>114</v>
      </c>
      <c r="H21" s="16">
        <v>99</v>
      </c>
      <c r="I21" s="16">
        <v>80</v>
      </c>
      <c r="J21" s="16">
        <v>80</v>
      </c>
      <c r="K21" s="16">
        <v>99</v>
      </c>
      <c r="L21" s="16">
        <v>80</v>
      </c>
      <c r="M21" s="16">
        <v>132</v>
      </c>
      <c r="N21" s="16" cm="1">
        <f t="array" ref="N21">IFERROR(_xlfn.XLOOKUP(D21, Move_List!$A:$A, Move_List!$D:$D) * _xlfn.IFS(UPPER(TRIM(_xlfn.XLOOKUP(D21, Move_List!$A:$A, Move_List!$C:$C)))="PHYSICAL", K21, UPPER(TRIM(_xlfn.XLOOKUP(D21, Move_List!$A:$A, Move_List!$C:$C)))="SPECIAL", I21, TRUE, 0), 0)</f>
        <v>9900</v>
      </c>
      <c r="O21" s="16" cm="1">
        <f t="array" ref="O21">IFERROR(
  _xlfn.XLOOKUP(D21, Move_List!$A:$A, Move_List!$D:$D) * _xlfn.IFS(
    ISNUMBER(SEARCH("Max", E21)),
      LOOKUP(_xlfn.XLOOKUP(D21, Move_List!$A:$A, Move_List!$D:$D), {0,60,80,110,150}, {2.5,1.83,1.63,1.27,1}),
    E21&lt;&gt;"",
      LOOKUP(_xlfn.XLOOKUP(D21, Move_List!$A:$A, Move_List!$D:$D), {0,60,80,90,100,110,120,150}, {2.5,2,2,1.94,1.8,1.68,1.58,1.33}),
    TRUE, 0
  ) * IF(_xlfn.XLOOKUP(D21, Move_List!$A:$A, Move_List!$C:$C)="Physical", K21, I21),
0)</f>
        <v>16137</v>
      </c>
      <c r="P21" s="16">
        <f t="shared" si="0"/>
        <v>97.333333333333329</v>
      </c>
      <c r="Q21" s="16">
        <f t="shared" si="1"/>
        <v>12671.339999999998</v>
      </c>
      <c r="R21" s="17" cm="1">
        <f t="array" ref="R21">IFERROR(Q21 / IF(OR(_xlfn.IFNA(_xlfn.XLOOKUP(E21, Move_List!$A:$A, Move_List!$C:$C), "")={"Dynamax","Mega"}), G21*1.2, G21), 0)</f>
        <v>111.15210526315788</v>
      </c>
    </row>
    <row r="22" spans="1:18" ht="12.75">
      <c r="A22" s="4" t="s">
        <v>55</v>
      </c>
      <c r="B22" s="5" t="s">
        <v>9</v>
      </c>
      <c r="C22" s="5" t="str">
        <f>_xlfn.XLOOKUP(A22,Stars!A:A,Stars!C:C)</f>
        <v>5-star</v>
      </c>
      <c r="D22" s="5" t="s">
        <v>492</v>
      </c>
      <c r="E22" s="5"/>
      <c r="F22" s="15">
        <v>1</v>
      </c>
      <c r="G22" s="16">
        <v>108</v>
      </c>
      <c r="H22" s="16">
        <v>62</v>
      </c>
      <c r="I22" s="16">
        <v>101</v>
      </c>
      <c r="J22" s="16">
        <v>88</v>
      </c>
      <c r="K22" s="16">
        <v>62</v>
      </c>
      <c r="L22" s="16">
        <v>57</v>
      </c>
      <c r="M22" s="16">
        <v>168</v>
      </c>
      <c r="N22" s="16" cm="1">
        <f t="array" ref="N22">IFERROR(_xlfn.XLOOKUP(D22, Move_List!$A:$A, Move_List!$D:$D) * _xlfn.IFS(UPPER(TRIM(_xlfn.XLOOKUP(D22, Move_List!$A:$A, Move_List!$C:$C)))="PHYSICAL", K22, UPPER(TRIM(_xlfn.XLOOKUP(D22, Move_List!$A:$A, Move_List!$C:$C)))="SPECIAL", I22, TRUE, 0), 0)</f>
        <v>11110</v>
      </c>
      <c r="O22" s="16" cm="1">
        <f t="array" ref="O22">IFERROR(
  _xlfn.XLOOKUP(D22, Move_List!$A:$A, Move_List!$D:$D) * _xlfn.IFS(
    ISNUMBER(SEARCH("Max", E22)),
      LOOKUP(_xlfn.XLOOKUP(D22, Move_List!$A:$A, Move_List!$D:$D), {0,60,80,110,150}, {2.5,1.83,1.63,1.27,1}),
    E22&lt;&gt;"",
      LOOKUP(_xlfn.XLOOKUP(D22, Move_List!$A:$A, Move_List!$D:$D), {0,60,80,90,100,110,120,150}, {2.5,2,2,1.94,1.8,1.68,1.58,1.33}),
    TRUE, 0
  ) * IF(_xlfn.XLOOKUP(D22, Move_List!$A:$A, Move_List!$C:$C)="Physical", K22, I22),
0)</f>
        <v>0</v>
      </c>
      <c r="P22" s="16">
        <f t="shared" si="0"/>
        <v>104.33333333333333</v>
      </c>
      <c r="Q22" s="16">
        <f t="shared" si="1"/>
        <v>11591.433333333332</v>
      </c>
      <c r="R22" s="17" cm="1">
        <f t="array" ref="R22">IFERROR(Q22 / IF(OR(_xlfn.IFNA(_xlfn.XLOOKUP(E22, Move_List!$A:$A, Move_List!$C:$C), "")={"Dynamax","Mega"}), G22*1.2, G22), 0)</f>
        <v>107.32808641975308</v>
      </c>
    </row>
    <row r="23" spans="1:18" ht="12.75">
      <c r="A23" s="6" t="s">
        <v>202</v>
      </c>
      <c r="B23" s="5" t="s">
        <v>10</v>
      </c>
      <c r="C23" s="5" t="str">
        <f>_xlfn.XLOOKUP(A23,Stars!A:A,Stars!C:C)</f>
        <v>6-star</v>
      </c>
      <c r="D23" s="19" t="s">
        <v>32</v>
      </c>
      <c r="E23" s="19"/>
      <c r="F23" s="20">
        <v>0.95</v>
      </c>
      <c r="G23" s="5">
        <v>124</v>
      </c>
      <c r="H23" s="16">
        <v>88</v>
      </c>
      <c r="I23" s="16">
        <v>135</v>
      </c>
      <c r="J23" s="16">
        <v>124</v>
      </c>
      <c r="K23" s="16">
        <v>72</v>
      </c>
      <c r="L23" s="16">
        <v>72</v>
      </c>
      <c r="M23" s="16">
        <v>132</v>
      </c>
      <c r="N23" s="16" cm="1">
        <f t="array" ref="N23">IFERROR(_xlfn.XLOOKUP(D23, Move_List!$A:$A, Move_List!$D:$D) * _xlfn.IFS(UPPER(TRIM(_xlfn.XLOOKUP(D23, Move_List!$A:$A, Move_List!$C:$C)))="PHYSICAL", K23, UPPER(TRIM(_xlfn.XLOOKUP(D23, Move_List!$A:$A, Move_List!$C:$C)))="SPECIAL", I23, TRUE, 0), 0)</f>
        <v>12150</v>
      </c>
      <c r="O23" s="16" cm="1">
        <f t="array" ref="O23">IFERROR(
  _xlfn.XLOOKUP(D23, Move_List!$A:$A, Move_List!$D:$D) * _xlfn.IFS(
    ISNUMBER(SEARCH("Max", E23)),
      LOOKUP(_xlfn.XLOOKUP(D23, Move_List!$A:$A, Move_List!$D:$D), {0,60,80,110,150}, {2.5,1.83,1.63,1.27,1}),
    E23&lt;&gt;"",
      LOOKUP(_xlfn.XLOOKUP(D23, Move_List!$A:$A, Move_List!$D:$D), {0,60,80,90,100,110,120,150}, {2.5,2,2,1.94,1.8,1.68,1.58,1.33}),
    TRUE, 0
  ) * IF(_xlfn.XLOOKUP(D23, Move_List!$A:$A, Move_List!$C:$C)="Physical", K23, I23),
0)</f>
        <v>0</v>
      </c>
      <c r="P23" s="16">
        <f t="shared" si="0"/>
        <v>109.33333333333333</v>
      </c>
      <c r="Q23" s="16">
        <f t="shared" si="1"/>
        <v>13284</v>
      </c>
      <c r="R23" s="17" cm="1">
        <f t="array" ref="R23">IFERROR(Q23 / IF(OR(_xlfn.IFNA(_xlfn.XLOOKUP(E23, Move_List!$A:$A, Move_List!$C:$C), "")={"Dynamax","Mega"}), G23*1.2, G23), 0)</f>
        <v>107.12903225806451</v>
      </c>
    </row>
    <row r="24" spans="1:18" ht="12.75">
      <c r="A24" s="4" t="s">
        <v>83</v>
      </c>
      <c r="B24" s="18" t="s">
        <v>84</v>
      </c>
      <c r="C24" s="5" t="str">
        <f>_xlfn.XLOOKUP(A24,Stars!A:A,Stars!C:C)</f>
        <v>5-star</v>
      </c>
      <c r="D24" s="5" t="s">
        <v>1570</v>
      </c>
      <c r="E24" s="5"/>
      <c r="F24" s="15">
        <v>1</v>
      </c>
      <c r="G24" s="16">
        <v>108</v>
      </c>
      <c r="H24" s="16">
        <v>109</v>
      </c>
      <c r="I24" s="16">
        <v>62</v>
      </c>
      <c r="J24" s="16">
        <v>71</v>
      </c>
      <c r="K24" s="16">
        <v>107</v>
      </c>
      <c r="L24" s="16">
        <v>71</v>
      </c>
      <c r="M24" s="16">
        <v>124</v>
      </c>
      <c r="N24" s="16" cm="1">
        <f t="array" ref="N24">IFERROR(_xlfn.XLOOKUP(D24, Move_List!$A:$A, Move_List!$D:$D) * _xlfn.IFS(UPPER(TRIM(_xlfn.XLOOKUP(D24, Move_List!$A:$A, Move_List!$C:$C)))="PHYSICAL", K24, UPPER(TRIM(_xlfn.XLOOKUP(D24, Move_List!$A:$A, Move_List!$C:$C)))="SPECIAL", I24, TRUE, 0), 0)</f>
        <v>12840</v>
      </c>
      <c r="O24" s="16" cm="1">
        <f t="array" ref="O24">IFERROR(
  _xlfn.XLOOKUP(D24, Move_List!$A:$A, Move_List!$D:$D) * _xlfn.IFS(
    ISNUMBER(SEARCH("Max", E24)),
      LOOKUP(_xlfn.XLOOKUP(D24, Move_List!$A:$A, Move_List!$D:$D), {0,60,80,110,150}, {2.5,1.83,1.63,1.27,1}),
    E24&lt;&gt;"",
      LOOKUP(_xlfn.XLOOKUP(D24, Move_List!$A:$A, Move_List!$D:$D), {0,60,80,90,100,110,120,150}, {2.5,2,2,1.94,1.8,1.68,1.58,1.33}),
    TRUE, 0
  ) * IF(_xlfn.XLOOKUP(D24, Move_List!$A:$A, Move_List!$C:$C)="Physical", K24, I24),
0)</f>
        <v>0</v>
      </c>
      <c r="P24" s="16">
        <f t="shared" si="0"/>
        <v>88.666666666666671</v>
      </c>
      <c r="Q24" s="16">
        <f t="shared" si="1"/>
        <v>11384.800000000001</v>
      </c>
      <c r="R24" s="17" cm="1">
        <f t="array" ref="R24">IFERROR(Q24 / IF(OR(_xlfn.IFNA(_xlfn.XLOOKUP(E24, Move_List!$A:$A, Move_List!$C:$C), "")={"Dynamax","Mega"}), G24*1.2, G24), 0)</f>
        <v>105.41481481481482</v>
      </c>
    </row>
    <row r="25" spans="1:18" ht="12.75">
      <c r="A25" s="4" t="s">
        <v>328</v>
      </c>
      <c r="B25" s="5" t="s">
        <v>2</v>
      </c>
      <c r="C25" s="5" t="str">
        <f>_xlfn.XLOOKUP(A25,Stars!A:A,Stars!C:C)</f>
        <v>Special</v>
      </c>
      <c r="D25" s="1" t="s">
        <v>1049</v>
      </c>
      <c r="E25" s="19" t="s">
        <v>1551</v>
      </c>
      <c r="F25" s="15">
        <v>1</v>
      </c>
      <c r="G25" s="21">
        <v>102</v>
      </c>
      <c r="H25" s="21">
        <v>80</v>
      </c>
      <c r="I25" s="21">
        <v>101</v>
      </c>
      <c r="J25" s="21">
        <v>63</v>
      </c>
      <c r="K25" s="21">
        <v>97</v>
      </c>
      <c r="L25" s="21">
        <v>63</v>
      </c>
      <c r="M25" s="21">
        <v>110</v>
      </c>
      <c r="N25" s="16" cm="1">
        <f t="array" ref="N25">IFERROR(_xlfn.XLOOKUP(D25, Move_List!$A:$A, Move_List!$D:$D) * _xlfn.IFS(UPPER(TRIM(_xlfn.XLOOKUP(D25, Move_List!$A:$A, Move_List!$C:$C)))="PHYSICAL", K25, UPPER(TRIM(_xlfn.XLOOKUP(D25, Move_List!$A:$A, Move_List!$C:$C)))="SPECIAL", I25, TRUE, 0), 0)</f>
        <v>12120</v>
      </c>
      <c r="O25" s="16" cm="1">
        <f t="array" ref="O25">IFERROR(
  _xlfn.XLOOKUP(D25, Move_List!$A:$A, Move_List!$D:$D) * _xlfn.IFS(
    ISNUMBER(SEARCH("Max", E25)),
      LOOKUP(_xlfn.XLOOKUP(D25, Move_List!$A:$A, Move_List!$D:$D), {0,60,80,110,150}, {2.5,1.83,1.63,1.27,1}),
    E25&lt;&gt;"",
      LOOKUP(_xlfn.XLOOKUP(D25, Move_List!$A:$A, Move_List!$D:$D), {0,60,80,90,100,110,120,150}, {2.5,2,2,1.94,1.8,1.68,1.58,1.33}),
    TRUE, 0
  ) * IF(_xlfn.XLOOKUP(D25, Move_List!$A:$A, Move_List!$C:$C)="Physical", K25, I25),
0)</f>
        <v>15392.400000000001</v>
      </c>
      <c r="P25" s="16">
        <f t="shared" si="0"/>
        <v>78.666666666666671</v>
      </c>
      <c r="Q25" s="16">
        <f t="shared" si="1"/>
        <v>10821.544000000002</v>
      </c>
      <c r="R25" s="17" cm="1">
        <f t="array" ref="R25">IFERROR(Q25 / IF(OR(_xlfn.IFNA(_xlfn.XLOOKUP(E25, Move_List!$A:$A, Move_List!$C:$C), "")={"Dynamax","Mega"}), G25*1.2, G25), 0)</f>
        <v>106.09356862745099</v>
      </c>
    </row>
    <row r="26" spans="1:18" ht="12.75">
      <c r="A26" s="6" t="s">
        <v>216</v>
      </c>
      <c r="B26" s="5" t="s">
        <v>137</v>
      </c>
      <c r="C26" s="5" t="str">
        <f>_xlfn.XLOOKUP(A26,Stars!A:A,Stars!C:C)</f>
        <v>5-star</v>
      </c>
      <c r="D26" s="19" t="s">
        <v>1315</v>
      </c>
      <c r="E26" s="19"/>
      <c r="F26" s="20">
        <v>0.95</v>
      </c>
      <c r="G26" s="5">
        <v>116</v>
      </c>
      <c r="H26" s="16">
        <v>62</v>
      </c>
      <c r="I26" s="16">
        <v>110</v>
      </c>
      <c r="J26" s="16">
        <v>129</v>
      </c>
      <c r="K26" s="16">
        <v>67</v>
      </c>
      <c r="L26" s="16">
        <v>67</v>
      </c>
      <c r="M26" s="16">
        <v>149</v>
      </c>
      <c r="N26" s="16" cm="1">
        <f t="array" ref="N26">IFERROR(_xlfn.XLOOKUP(D26, Move_List!$A:$A, Move_List!$D:$D) * _xlfn.IFS(UPPER(TRIM(_xlfn.XLOOKUP(D26, Move_List!$A:$A, Move_List!$C:$C)))="PHYSICAL", K26, UPPER(TRIM(_xlfn.XLOOKUP(D26, Move_List!$A:$A, Move_List!$C:$C)))="SPECIAL", I26, TRUE, 0), 0)</f>
        <v>10450</v>
      </c>
      <c r="O26" s="16" cm="1">
        <f t="array" ref="O26">IFERROR(
  _xlfn.XLOOKUP(D26, Move_List!$A:$A, Move_List!$D:$D) * _xlfn.IFS(
    ISNUMBER(SEARCH("Max", E26)),
      LOOKUP(_xlfn.XLOOKUP(D26, Move_List!$A:$A, Move_List!$D:$D), {0,60,80,110,150}, {2.5,1.83,1.63,1.27,1}),
    E26&lt;&gt;"",
      LOOKUP(_xlfn.XLOOKUP(D26, Move_List!$A:$A, Move_List!$D:$D), {0,60,80,90,100,110,120,150}, {2.5,2,2,1.94,1.8,1.68,1.58,1.33}),
    TRUE, 0
  ) * IF(_xlfn.XLOOKUP(D26, Move_List!$A:$A, Move_List!$C:$C)="Physical", K26, I26),
0)</f>
        <v>0</v>
      </c>
      <c r="P26" s="16">
        <f t="shared" si="0"/>
        <v>115</v>
      </c>
      <c r="Q26" s="16">
        <f t="shared" si="1"/>
        <v>12017.499999999998</v>
      </c>
      <c r="R26" s="17" cm="1">
        <f t="array" ref="R26">IFERROR(Q26 / IF(OR(_xlfn.IFNA(_xlfn.XLOOKUP(E26, Move_List!$A:$A, Move_List!$C:$C), "")={"Dynamax","Mega"}), G26*1.2, G26), 0)</f>
        <v>103.59913793103446</v>
      </c>
    </row>
    <row r="27" spans="1:18" ht="12.75">
      <c r="A27" s="6" t="s">
        <v>219</v>
      </c>
      <c r="B27" s="5" t="s">
        <v>220</v>
      </c>
      <c r="C27" s="5" t="str">
        <f>_xlfn.XLOOKUP(A27,Stars!A:A,Stars!C:C)</f>
        <v>5-star</v>
      </c>
      <c r="D27" s="1" t="s">
        <v>541</v>
      </c>
      <c r="E27" s="19" t="s">
        <v>1740</v>
      </c>
      <c r="F27" s="20">
        <v>1</v>
      </c>
      <c r="G27" s="5">
        <v>112</v>
      </c>
      <c r="H27" s="16">
        <v>56</v>
      </c>
      <c r="I27" s="16">
        <v>74</v>
      </c>
      <c r="J27" s="16">
        <v>83</v>
      </c>
      <c r="K27" s="16">
        <v>105</v>
      </c>
      <c r="L27" s="16">
        <v>101</v>
      </c>
      <c r="M27" s="16">
        <v>143</v>
      </c>
      <c r="N27" s="16" cm="1">
        <f t="array" ref="N27">IFERROR(_xlfn.XLOOKUP(D27, Move_List!$A:$A, Move_List!$D:$D) * _xlfn.IFS(UPPER(TRIM(_xlfn.XLOOKUP(D27, Move_List!$A:$A, Move_List!$C:$C)))="PHYSICAL", K27, UPPER(TRIM(_xlfn.XLOOKUP(D27, Move_List!$A:$A, Move_List!$C:$C)))="SPECIAL", I27, TRUE, 0), 0)</f>
        <v>10500</v>
      </c>
      <c r="O27" s="16" cm="1">
        <f t="array" ref="O27">IFERROR(
  _xlfn.XLOOKUP(D27, Move_List!$A:$A, Move_List!$D:$D) * _xlfn.IFS(
    ISNUMBER(SEARCH("Max", E27)),
      LOOKUP(_xlfn.XLOOKUP(D27, Move_List!$A:$A, Move_List!$D:$D), {0,60,80,110,150}, {2.5,1.83,1.63,1.27,1}),
    E27&lt;&gt;"",
      LOOKUP(_xlfn.XLOOKUP(D27, Move_List!$A:$A, Move_List!$D:$D), {0,60,80,90,100,110,120,150}, {2.5,2,2,1.94,1.8,1.68,1.58,1.33}),
    TRUE, 0
  ) * IF(_xlfn.XLOOKUP(D27, Move_List!$A:$A, Move_List!$C:$C)="Physical", K27, I27),
0)</f>
        <v>18900</v>
      </c>
      <c r="P27" s="16">
        <f t="shared" si="0"/>
        <v>109</v>
      </c>
      <c r="Q27" s="16">
        <f t="shared" si="1"/>
        <v>16023.000000000002</v>
      </c>
      <c r="R27" s="17" cm="1">
        <f t="array" ref="R27">IFERROR(Q27 / IF(OR(_xlfn.IFNA(_xlfn.XLOOKUP(E27, Move_List!$A:$A, Move_List!$C:$C), "")={"Dynamax","Mega"}), G27*1.2, G27), 0)</f>
        <v>143.06250000000003</v>
      </c>
    </row>
    <row r="28" spans="1:18" ht="12.75">
      <c r="A28" s="4" t="s">
        <v>155</v>
      </c>
      <c r="B28" s="5" t="s">
        <v>156</v>
      </c>
      <c r="C28" s="5" t="str">
        <f>_xlfn.XLOOKUP(A28,Stars!A:A,Stars!C:C)</f>
        <v>4-star</v>
      </c>
      <c r="D28" s="5" t="s">
        <v>1420</v>
      </c>
      <c r="E28" s="5"/>
      <c r="F28" s="15">
        <v>1</v>
      </c>
      <c r="G28" s="16">
        <v>90</v>
      </c>
      <c r="H28" s="16">
        <v>31</v>
      </c>
      <c r="I28" s="16">
        <v>46</v>
      </c>
      <c r="J28" s="16">
        <v>69</v>
      </c>
      <c r="K28" s="16">
        <v>100</v>
      </c>
      <c r="L28" s="16">
        <v>81</v>
      </c>
      <c r="M28" s="16">
        <v>124</v>
      </c>
      <c r="N28" s="16" cm="1">
        <f t="array" ref="N28">IFERROR(_xlfn.XLOOKUP(D28, Move_List!$A:$A, Move_List!$D:$D) * _xlfn.IFS(UPPER(TRIM(_xlfn.XLOOKUP(D28, Move_List!$A:$A, Move_List!$C:$C)))="PHYSICAL", K28, UPPER(TRIM(_xlfn.XLOOKUP(D28, Move_List!$A:$A, Move_List!$C:$C)))="SPECIAL", I28, TRUE, 0), 0)</f>
        <v>9500</v>
      </c>
      <c r="O28" s="16" cm="1">
        <f t="array" ref="O28">IFERROR(
  _xlfn.XLOOKUP(D28, Move_List!$A:$A, Move_List!$D:$D) * _xlfn.IFS(
    ISNUMBER(SEARCH("Max", E28)),
      LOOKUP(_xlfn.XLOOKUP(D28, Move_List!$A:$A, Move_List!$D:$D), {0,60,80,110,150}, {2.5,1.83,1.63,1.27,1}),
    E28&lt;&gt;"",
      LOOKUP(_xlfn.XLOOKUP(D28, Move_List!$A:$A, Move_List!$D:$D), {0,60,80,90,100,110,120,150}, {2.5,2,2,1.94,1.8,1.68,1.58,1.33}),
    TRUE, 0
  ) * IF(_xlfn.XLOOKUP(D28, Move_List!$A:$A, Move_List!$C:$C)="Physical", K28, I28),
0)</f>
        <v>0</v>
      </c>
      <c r="P28" s="16">
        <f t="shared" si="0"/>
        <v>91.333333333333329</v>
      </c>
      <c r="Q28" s="16">
        <f t="shared" si="1"/>
        <v>8676.6666666666661</v>
      </c>
      <c r="R28" s="17" cm="1">
        <f t="array" ref="R28">IFERROR(Q28 / IF(OR(_xlfn.IFNA(_xlfn.XLOOKUP(E28, Move_List!$A:$A, Move_List!$C:$C), "")={"Dynamax","Mega"}), G28*1.2, G28), 0)</f>
        <v>96.407407407407405</v>
      </c>
    </row>
    <row r="29" spans="1:18" ht="12.75">
      <c r="A29" s="4" t="s">
        <v>53</v>
      </c>
      <c r="B29" s="5" t="s">
        <v>7</v>
      </c>
      <c r="C29" s="5" t="str">
        <f>_xlfn.XLOOKUP(A29,Stars!A:A,Stars!C:C)</f>
        <v>6-star</v>
      </c>
      <c r="D29" s="5" t="s">
        <v>492</v>
      </c>
      <c r="E29" s="5"/>
      <c r="F29" s="15">
        <v>1</v>
      </c>
      <c r="G29" s="16">
        <v>124</v>
      </c>
      <c r="H29" s="16">
        <v>83</v>
      </c>
      <c r="I29" s="16">
        <v>90</v>
      </c>
      <c r="J29" s="16">
        <v>110</v>
      </c>
      <c r="K29" s="16">
        <v>88</v>
      </c>
      <c r="L29" s="16">
        <v>105</v>
      </c>
      <c r="M29" s="16">
        <v>139</v>
      </c>
      <c r="N29" s="16" cm="1">
        <f t="array" ref="N29">IFERROR(_xlfn.XLOOKUP(D29, Move_List!$A:$A, Move_List!$D:$D) * _xlfn.IFS(UPPER(TRIM(_xlfn.XLOOKUP(D29, Move_List!$A:$A, Move_List!$C:$C)))="PHYSICAL", K29, UPPER(TRIM(_xlfn.XLOOKUP(D29, Move_List!$A:$A, Move_List!$C:$C)))="SPECIAL", I29, TRUE, 0), 0)</f>
        <v>9900</v>
      </c>
      <c r="O29" s="16" cm="1">
        <f t="array" ref="O29">IFERROR(
  _xlfn.XLOOKUP(D29, Move_List!$A:$A, Move_List!$D:$D) * _xlfn.IFS(
    ISNUMBER(SEARCH("Max", E29)),
      LOOKUP(_xlfn.XLOOKUP(D29, Move_List!$A:$A, Move_List!$D:$D), {0,60,80,110,150}, {2.5,1.83,1.63,1.27,1}),
    E29&lt;&gt;"",
      LOOKUP(_xlfn.XLOOKUP(D29, Move_List!$A:$A, Move_List!$D:$D), {0,60,80,90,100,110,120,150}, {2.5,2,2,1.94,1.8,1.68,1.58,1.33}),
    TRUE, 0
  ) * IF(_xlfn.XLOOKUP(D29, Move_List!$A:$A, Move_List!$C:$C)="Physical", K29, I29),
0)</f>
        <v>0</v>
      </c>
      <c r="P29" s="16">
        <f t="shared" si="0"/>
        <v>118</v>
      </c>
      <c r="Q29" s="16">
        <f t="shared" si="1"/>
        <v>11682</v>
      </c>
      <c r="R29" s="17" cm="1">
        <f t="array" ref="R29">IFERROR(Q29 / IF(OR(_xlfn.IFNA(_xlfn.XLOOKUP(E29, Move_List!$A:$A, Move_List!$C:$C), "")={"Dynamax","Mega"}), G29*1.2, G29), 0)</f>
        <v>94.209677419354833</v>
      </c>
    </row>
    <row r="30" spans="1:18" ht="12.75">
      <c r="A30" s="6" t="s">
        <v>222</v>
      </c>
      <c r="B30" s="5" t="s">
        <v>20</v>
      </c>
      <c r="C30" s="5" t="str">
        <f>_xlfn.XLOOKUP(A30,Stars!A:A,Stars!C:C)</f>
        <v>5-star</v>
      </c>
      <c r="D30" s="1" t="s">
        <v>984</v>
      </c>
      <c r="E30" s="19" t="s">
        <v>1742</v>
      </c>
      <c r="F30" s="20">
        <v>1</v>
      </c>
      <c r="G30" s="5">
        <v>114</v>
      </c>
      <c r="H30" s="16">
        <v>104</v>
      </c>
      <c r="I30" s="16">
        <v>100</v>
      </c>
      <c r="J30" s="16">
        <v>70</v>
      </c>
      <c r="K30" s="16">
        <v>100</v>
      </c>
      <c r="L30" s="16">
        <v>70</v>
      </c>
      <c r="M30" s="16">
        <v>125</v>
      </c>
      <c r="N30" s="16" cm="1">
        <f t="array" ref="N30">IFERROR(_xlfn.XLOOKUP(D30, Move_List!$A:$A, Move_List!$D:$D) * _xlfn.IFS(UPPER(TRIM(_xlfn.XLOOKUP(D30, Move_List!$A:$A, Move_List!$C:$C)))="PHYSICAL", K30, UPPER(TRIM(_xlfn.XLOOKUP(D30, Move_List!$A:$A, Move_List!$C:$C)))="SPECIAL", I30, TRUE, 0), 0)</f>
        <v>12000</v>
      </c>
      <c r="O30" s="16" cm="1">
        <f t="array" ref="O30">IFERROR(
  _xlfn.XLOOKUP(D30, Move_List!$A:$A, Move_List!$D:$D) * _xlfn.IFS(
    ISNUMBER(SEARCH("Max", E30)),
      LOOKUP(_xlfn.XLOOKUP(D30, Move_List!$A:$A, Move_List!$D:$D), {0,60,80,110,150}, {2.5,1.83,1.63,1.27,1}),
    E30&lt;&gt;"",
      LOOKUP(_xlfn.XLOOKUP(D30, Move_List!$A:$A, Move_List!$D:$D), {0,60,80,90,100,110,120,150}, {2.5,2,2,1.94,1.8,1.68,1.58,1.33}),
    TRUE, 0
  ) * IF(_xlfn.XLOOKUP(D30, Move_List!$A:$A, Move_List!$C:$C)="Physical", K30, I30),
0)</f>
        <v>18960.000000000004</v>
      </c>
      <c r="P30" s="16">
        <f t="shared" si="0"/>
        <v>88.333333333333329</v>
      </c>
      <c r="Q30" s="16">
        <f t="shared" si="1"/>
        <v>13674.000000000002</v>
      </c>
      <c r="R30" s="17" cm="1">
        <f t="array" ref="R30">IFERROR(Q30 / IF(OR(_xlfn.IFNA(_xlfn.XLOOKUP(E30, Move_List!$A:$A, Move_List!$C:$C), "")={"Dynamax","Mega"}), G30*1.2, G30), 0)</f>
        <v>119.94736842105264</v>
      </c>
    </row>
    <row r="31" spans="1:18" ht="12.75">
      <c r="A31" s="6" t="s">
        <v>204</v>
      </c>
      <c r="B31" s="5" t="s">
        <v>205</v>
      </c>
      <c r="C31" s="5" t="str">
        <f>_xlfn.XLOOKUP(A31,Stars!A:A,Stars!C:C)</f>
        <v>6-star</v>
      </c>
      <c r="D31" s="19" t="s">
        <v>1265</v>
      </c>
      <c r="E31" s="19"/>
      <c r="F31" s="20">
        <v>1</v>
      </c>
      <c r="G31" s="5">
        <v>162</v>
      </c>
      <c r="H31" s="16">
        <v>84</v>
      </c>
      <c r="I31" s="16">
        <v>137</v>
      </c>
      <c r="J31" s="16">
        <v>124</v>
      </c>
      <c r="K31" s="16">
        <v>72</v>
      </c>
      <c r="L31" s="16">
        <v>72</v>
      </c>
      <c r="M31" s="16">
        <v>132</v>
      </c>
      <c r="N31" s="16" cm="1">
        <f t="array" ref="N31">IFERROR(_xlfn.XLOOKUP(D31, Move_List!$A:$A, Move_List!$D:$D) * _xlfn.IFS(UPPER(TRIM(_xlfn.XLOOKUP(D31, Move_List!$A:$A, Move_List!$C:$C)))="PHYSICAL", K31, UPPER(TRIM(_xlfn.XLOOKUP(D31, Move_List!$A:$A, Move_List!$C:$C)))="SPECIAL", I31, TRUE, 0), 0)</f>
        <v>13700</v>
      </c>
      <c r="O31" s="16" cm="1">
        <f t="array" ref="O31">IFERROR(
  _xlfn.XLOOKUP(D31, Move_List!$A:$A, Move_List!$D:$D) * _xlfn.IFS(
    ISNUMBER(SEARCH("Max", E31)),
      LOOKUP(_xlfn.XLOOKUP(D31, Move_List!$A:$A, Move_List!$D:$D), {0,60,80,110,150}, {2.5,1.83,1.63,1.27,1}),
    E31&lt;&gt;"",
      LOOKUP(_xlfn.XLOOKUP(D31, Move_List!$A:$A, Move_List!$D:$D), {0,60,80,90,100,110,120,150}, {2.5,2,2,1.94,1.8,1.68,1.58,1.33}),
    TRUE, 0
  ) * IF(_xlfn.XLOOKUP(D31, Move_List!$A:$A, Move_List!$C:$C)="Physical", K31, I31),
0)</f>
        <v>0</v>
      </c>
      <c r="P31" s="16">
        <f t="shared" si="0"/>
        <v>109.33333333333333</v>
      </c>
      <c r="Q31" s="16">
        <f t="shared" si="1"/>
        <v>14978.666666666666</v>
      </c>
      <c r="R31" s="17" cm="1">
        <f t="array" ref="R31">IFERROR(Q31 / IF(OR(_xlfn.IFNA(_xlfn.XLOOKUP(E31, Move_List!$A:$A, Move_List!$C:$C), "")={"Dynamax","Mega"}), G31*1.2, G31), 0)</f>
        <v>92.460905349794231</v>
      </c>
    </row>
    <row r="32" spans="1:18" ht="12.75">
      <c r="A32" s="4" t="s">
        <v>168</v>
      </c>
      <c r="B32" s="5" t="s">
        <v>169</v>
      </c>
      <c r="C32" s="5" t="str">
        <f>_xlfn.XLOOKUP(A32,Stars!A:A,Stars!C:C)</f>
        <v>4-star</v>
      </c>
      <c r="D32" s="5" t="s">
        <v>536</v>
      </c>
      <c r="E32" s="5"/>
      <c r="F32" s="15">
        <v>1</v>
      </c>
      <c r="G32" s="16">
        <v>88</v>
      </c>
      <c r="H32" s="16">
        <v>35</v>
      </c>
      <c r="I32" s="16">
        <v>113</v>
      </c>
      <c r="J32" s="16">
        <v>60</v>
      </c>
      <c r="K32" s="16">
        <v>56</v>
      </c>
      <c r="L32" s="16">
        <v>71</v>
      </c>
      <c r="M32" s="16">
        <v>103</v>
      </c>
      <c r="N32" s="16" cm="1">
        <f t="array" ref="N32">IFERROR(_xlfn.XLOOKUP(D32, Move_List!$A:$A, Move_List!$D:$D) * _xlfn.IFS(UPPER(TRIM(_xlfn.XLOOKUP(D32, Move_List!$A:$A, Move_List!$C:$C)))="PHYSICAL", K32, UPPER(TRIM(_xlfn.XLOOKUP(D32, Move_List!$A:$A, Move_List!$C:$C)))="SPECIAL", I32, TRUE, 0), 0)</f>
        <v>10170</v>
      </c>
      <c r="O32" s="16" cm="1">
        <f t="array" ref="O32">IFERROR(
  _xlfn.XLOOKUP(D32, Move_List!$A:$A, Move_List!$D:$D) * _xlfn.IFS(
    ISNUMBER(SEARCH("Max", E32)),
      LOOKUP(_xlfn.XLOOKUP(D32, Move_List!$A:$A, Move_List!$D:$D), {0,60,80,110,150}, {2.5,1.83,1.63,1.27,1}),
    E32&lt;&gt;"",
      LOOKUP(_xlfn.XLOOKUP(D32, Move_List!$A:$A, Move_List!$D:$D), {0,60,80,90,100,110,120,150}, {2.5,2,2,1.94,1.8,1.68,1.58,1.33}),
    TRUE, 0
  ) * IF(_xlfn.XLOOKUP(D32, Move_List!$A:$A, Move_List!$C:$C)="Physical", K32, I32),
0)</f>
        <v>0</v>
      </c>
      <c r="P32" s="16">
        <f t="shared" si="0"/>
        <v>78</v>
      </c>
      <c r="Q32" s="16">
        <f t="shared" si="1"/>
        <v>7932.6</v>
      </c>
      <c r="R32" s="17" cm="1">
        <f t="array" ref="R32">IFERROR(Q32 / IF(OR(_xlfn.IFNA(_xlfn.XLOOKUP(E32, Move_List!$A:$A, Move_List!$C:$C), "")={"Dynamax","Mega"}), G32*1.2, G32), 0)</f>
        <v>90.143181818181816</v>
      </c>
    </row>
    <row r="33" spans="1:18" ht="12.75">
      <c r="A33" s="4" t="s">
        <v>89</v>
      </c>
      <c r="B33" s="18" t="s">
        <v>90</v>
      </c>
      <c r="C33" s="5" t="str">
        <f>_xlfn.XLOOKUP(A33,Stars!A:A,Stars!C:C)</f>
        <v>5-star</v>
      </c>
      <c r="D33" s="5" t="s">
        <v>1252</v>
      </c>
      <c r="E33" s="5"/>
      <c r="F33" s="15">
        <v>1</v>
      </c>
      <c r="G33" s="16">
        <v>122</v>
      </c>
      <c r="H33" s="16">
        <v>104</v>
      </c>
      <c r="I33" s="16">
        <v>123</v>
      </c>
      <c r="J33" s="16">
        <v>87</v>
      </c>
      <c r="K33" s="16">
        <v>71</v>
      </c>
      <c r="L33" s="16">
        <v>87</v>
      </c>
      <c r="M33" s="16">
        <v>139</v>
      </c>
      <c r="N33" s="16" cm="1">
        <f t="array" ref="N33">IFERROR(_xlfn.XLOOKUP(D33, Move_List!$A:$A, Move_List!$D:$D) * _xlfn.IFS(UPPER(TRIM(_xlfn.XLOOKUP(D33, Move_List!$A:$A, Move_List!$C:$C)))="PHYSICAL", K33, UPPER(TRIM(_xlfn.XLOOKUP(D33, Move_List!$A:$A, Move_List!$C:$C)))="SPECIAL", I33, TRUE, 0), 0)</f>
        <v>10455</v>
      </c>
      <c r="O33" s="16" cm="1">
        <f t="array" ref="O33">IFERROR(
  _xlfn.XLOOKUP(D33, Move_List!$A:$A, Move_List!$D:$D) * _xlfn.IFS(
    ISNUMBER(SEARCH("Max", E33)),
      LOOKUP(_xlfn.XLOOKUP(D33, Move_List!$A:$A, Move_List!$D:$D), {0,60,80,110,150}, {2.5,1.83,1.63,1.27,1}),
    E33&lt;&gt;"",
      LOOKUP(_xlfn.XLOOKUP(D33, Move_List!$A:$A, Move_List!$D:$D), {0,60,80,90,100,110,120,150}, {2.5,2,2,1.94,1.8,1.68,1.58,1.33}),
    TRUE, 0
  ) * IF(_xlfn.XLOOKUP(D33, Move_List!$A:$A, Move_List!$C:$C)="Physical", K33, I33),
0)</f>
        <v>0</v>
      </c>
      <c r="P33" s="16">
        <f t="shared" si="0"/>
        <v>104.33333333333333</v>
      </c>
      <c r="Q33" s="16">
        <f t="shared" si="1"/>
        <v>10908.05</v>
      </c>
      <c r="R33" s="17" cm="1">
        <f t="array" ref="R33">IFERROR(Q33 / IF(OR(_xlfn.IFNA(_xlfn.XLOOKUP(E33, Move_List!$A:$A, Move_List!$C:$C), "")={"Dynamax","Mega"}), G33*1.2, G33), 0)</f>
        <v>89.410245901639342</v>
      </c>
    </row>
    <row r="34" spans="1:18" ht="12.75">
      <c r="A34" s="6" t="s">
        <v>214</v>
      </c>
      <c r="B34" s="5" t="s">
        <v>133</v>
      </c>
      <c r="C34" s="5" t="str">
        <f>_xlfn.XLOOKUP(A34,Stars!A:A,Stars!C:C)</f>
        <v>5-star</v>
      </c>
      <c r="D34" s="19" t="s">
        <v>32</v>
      </c>
      <c r="E34" s="19"/>
      <c r="F34" s="20">
        <v>1</v>
      </c>
      <c r="G34" s="5">
        <v>112</v>
      </c>
      <c r="H34" s="16">
        <v>106</v>
      </c>
      <c r="I34" s="16">
        <v>124</v>
      </c>
      <c r="J34" s="16">
        <v>92</v>
      </c>
      <c r="K34" s="16">
        <v>64</v>
      </c>
      <c r="L34" s="16">
        <v>60</v>
      </c>
      <c r="M34" s="16">
        <v>115</v>
      </c>
      <c r="N34" s="16" cm="1">
        <f t="array" ref="N34">IFERROR(_xlfn.XLOOKUP(D34, Move_List!$A:$A, Move_List!$D:$D) * _xlfn.IFS(UPPER(TRIM(_xlfn.XLOOKUP(D34, Move_List!$A:$A, Move_List!$C:$C)))="PHYSICAL", K34, UPPER(TRIM(_xlfn.XLOOKUP(D34, Move_List!$A:$A, Move_List!$C:$C)))="SPECIAL", I34, TRUE, 0), 0)</f>
        <v>11160</v>
      </c>
      <c r="O34" s="16" cm="1">
        <f t="array" ref="O34">IFERROR(
  _xlfn.XLOOKUP(D34, Move_List!$A:$A, Move_List!$D:$D) * _xlfn.IFS(
    ISNUMBER(SEARCH("Max", E34)),
      LOOKUP(_xlfn.XLOOKUP(D34, Move_List!$A:$A, Move_List!$D:$D), {0,60,80,110,150}, {2.5,1.83,1.63,1.27,1}),
    E34&lt;&gt;"",
      LOOKUP(_xlfn.XLOOKUP(D34, Move_List!$A:$A, Move_List!$D:$D), {0,60,80,90,100,110,120,150}, {2.5,2,2,1.94,1.8,1.68,1.58,1.33}),
    TRUE, 0
  ) * IF(_xlfn.XLOOKUP(D34, Move_List!$A:$A, Move_List!$C:$C)="Physical", K34, I34),
0)</f>
        <v>0</v>
      </c>
      <c r="P34" s="16">
        <f t="shared" ref="P34:P65" si="2">(J34 + L34 + M34) / 3</f>
        <v>89</v>
      </c>
      <c r="Q34" s="16">
        <f t="shared" ref="Q34:Q65" si="3">IF(O34&gt;0, (N34+O34)/2, N34) * (P34 / 100)</f>
        <v>9932.4</v>
      </c>
      <c r="R34" s="17" cm="1">
        <f t="array" ref="R34">IFERROR(Q34 / IF(OR(_xlfn.IFNA(_xlfn.XLOOKUP(E34, Move_List!$A:$A, Move_List!$C:$C), "")={"Dynamax","Mega"}), G34*1.2, G34), 0)</f>
        <v>88.68214285714285</v>
      </c>
    </row>
    <row r="35" spans="1:18" ht="12.75">
      <c r="A35" s="4" t="s">
        <v>34</v>
      </c>
      <c r="B35" s="5" t="s">
        <v>35</v>
      </c>
      <c r="C35" s="5" t="str">
        <f>_xlfn.XLOOKUP(A35,Stars!A:A,Stars!C:C)</f>
        <v>6-star</v>
      </c>
      <c r="D35" s="5" t="s">
        <v>32</v>
      </c>
      <c r="E35" s="5"/>
      <c r="F35" s="15">
        <v>1</v>
      </c>
      <c r="G35" s="16">
        <v>142</v>
      </c>
      <c r="H35" s="16">
        <v>109</v>
      </c>
      <c r="I35" s="16">
        <v>109</v>
      </c>
      <c r="J35" s="16">
        <v>109</v>
      </c>
      <c r="K35" s="16">
        <v>109</v>
      </c>
      <c r="L35" s="16">
        <v>109</v>
      </c>
      <c r="M35" s="16">
        <v>166</v>
      </c>
      <c r="N35" s="16" cm="1">
        <f t="array" ref="N35">IFERROR(_xlfn.XLOOKUP(D35, Move_List!$A:$A, Move_List!$D:$D) * _xlfn.IFS(UPPER(TRIM(_xlfn.XLOOKUP(D35, Move_List!$A:$A, Move_List!$C:$C)))="PHYSICAL", K35, UPPER(TRIM(_xlfn.XLOOKUP(D35, Move_List!$A:$A, Move_List!$C:$C)))="SPECIAL", I35, TRUE, 0), 0)</f>
        <v>9810</v>
      </c>
      <c r="O35" s="16" cm="1">
        <f t="array" ref="O35">IFERROR(
  _xlfn.XLOOKUP(D35, Move_List!$A:$A, Move_List!$D:$D) * _xlfn.IFS(
    ISNUMBER(SEARCH("Max", E35)),
      LOOKUP(_xlfn.XLOOKUP(D35, Move_List!$A:$A, Move_List!$D:$D), {0,60,80,110,150}, {2.5,1.83,1.63,1.27,1}),
    E35&lt;&gt;"",
      LOOKUP(_xlfn.XLOOKUP(D35, Move_List!$A:$A, Move_List!$D:$D), {0,60,80,90,100,110,120,150}, {2.5,2,2,1.94,1.8,1.68,1.58,1.33}),
    TRUE, 0
  ) * IF(_xlfn.XLOOKUP(D35, Move_List!$A:$A, Move_List!$C:$C)="Physical", K35, I35),
0)</f>
        <v>0</v>
      </c>
      <c r="P35" s="16">
        <f t="shared" si="2"/>
        <v>128</v>
      </c>
      <c r="Q35" s="16">
        <f t="shared" si="3"/>
        <v>12556.800000000001</v>
      </c>
      <c r="R35" s="17" cm="1">
        <f t="array" ref="R35">IFERROR(Q35 / IF(OR(_xlfn.IFNA(_xlfn.XLOOKUP(E35, Move_List!$A:$A, Move_List!$C:$C), "")={"Dynamax","Mega"}), G35*1.2, G35), 0)</f>
        <v>88.428169014084517</v>
      </c>
    </row>
    <row r="36" spans="1:18" ht="12.75">
      <c r="A36" s="6" t="s">
        <v>215</v>
      </c>
      <c r="B36" s="5" t="s">
        <v>135</v>
      </c>
      <c r="C36" s="5" t="str">
        <f>_xlfn.XLOOKUP(A36,Stars!A:A,Stars!C:C)</f>
        <v>5-star</v>
      </c>
      <c r="D36" s="19" t="s">
        <v>947</v>
      </c>
      <c r="E36" s="19"/>
      <c r="F36" s="20">
        <v>1</v>
      </c>
      <c r="G36" s="5">
        <v>114</v>
      </c>
      <c r="H36" s="16">
        <v>94</v>
      </c>
      <c r="I36" s="16">
        <v>61</v>
      </c>
      <c r="J36" s="16">
        <v>66</v>
      </c>
      <c r="K36" s="16">
        <v>108</v>
      </c>
      <c r="L36" s="16">
        <v>127</v>
      </c>
      <c r="M36" s="16">
        <v>118</v>
      </c>
      <c r="N36" s="16" cm="1">
        <f t="array" ref="N36">IFERROR(_xlfn.XLOOKUP(D36, Move_List!$A:$A, Move_List!$D:$D) * _xlfn.IFS(UPPER(TRIM(_xlfn.XLOOKUP(D36, Move_List!$A:$A, Move_List!$C:$C)))="PHYSICAL", K36, UPPER(TRIM(_xlfn.XLOOKUP(D36, Move_List!$A:$A, Move_List!$C:$C)))="SPECIAL", I36, TRUE, 0), 0)</f>
        <v>9720</v>
      </c>
      <c r="O36" s="16" cm="1">
        <f t="array" ref="O36">IFERROR(
  _xlfn.XLOOKUP(D36, Move_List!$A:$A, Move_List!$D:$D) * _xlfn.IFS(
    ISNUMBER(SEARCH("Max", E36)),
      LOOKUP(_xlfn.XLOOKUP(D36, Move_List!$A:$A, Move_List!$D:$D), {0,60,80,110,150}, {2.5,1.83,1.63,1.27,1}),
    E36&lt;&gt;"",
      LOOKUP(_xlfn.XLOOKUP(D36, Move_List!$A:$A, Move_List!$D:$D), {0,60,80,90,100,110,120,150}, {2.5,2,2,1.94,1.8,1.68,1.58,1.33}),
    TRUE, 0
  ) * IF(_xlfn.XLOOKUP(D36, Move_List!$A:$A, Move_List!$C:$C)="Physical", K36, I36),
0)</f>
        <v>0</v>
      </c>
      <c r="P36" s="16">
        <f t="shared" si="2"/>
        <v>103.66666666666667</v>
      </c>
      <c r="Q36" s="16">
        <f t="shared" si="3"/>
        <v>10076.4</v>
      </c>
      <c r="R36" s="17" cm="1">
        <f t="array" ref="R36">IFERROR(Q36 / IF(OR(_xlfn.IFNA(_xlfn.XLOOKUP(E36, Move_List!$A:$A, Move_List!$C:$C), "")={"Dynamax","Mega"}), G36*1.2, G36), 0)</f>
        <v>88.389473684210529</v>
      </c>
    </row>
    <row r="37" spans="1:18" ht="12.75">
      <c r="A37" s="6" t="s">
        <v>226</v>
      </c>
      <c r="B37" s="5" t="s">
        <v>227</v>
      </c>
      <c r="C37" s="5" t="str">
        <f>_xlfn.XLOOKUP(A37,Stars!A:A,Stars!C:C)</f>
        <v>5-star</v>
      </c>
      <c r="D37" s="19" t="s">
        <v>496</v>
      </c>
      <c r="E37" s="19"/>
      <c r="F37" s="20">
        <v>0.7</v>
      </c>
      <c r="G37" s="5">
        <v>122</v>
      </c>
      <c r="H37" s="16">
        <v>118</v>
      </c>
      <c r="I37" s="16">
        <v>89</v>
      </c>
      <c r="J37" s="16">
        <v>109</v>
      </c>
      <c r="K37" s="16">
        <v>74</v>
      </c>
      <c r="L37" s="16">
        <v>83</v>
      </c>
      <c r="M37" s="16">
        <v>137</v>
      </c>
      <c r="N37" s="16" cm="1">
        <f t="array" ref="N37">IFERROR(_xlfn.XLOOKUP(D37, Move_List!$A:$A, Move_List!$D:$D) * _xlfn.IFS(UPPER(TRIM(_xlfn.XLOOKUP(D37, Move_List!$A:$A, Move_List!$C:$C)))="PHYSICAL", K37, UPPER(TRIM(_xlfn.XLOOKUP(D37, Move_List!$A:$A, Move_List!$C:$C)))="SPECIAL", I37, TRUE, 0), 0)</f>
        <v>9790</v>
      </c>
      <c r="O37" s="16" cm="1">
        <f t="array" ref="O37">IFERROR(
  _xlfn.XLOOKUP(D37, Move_List!$A:$A, Move_List!$D:$D) * _xlfn.IFS(
    ISNUMBER(SEARCH("Max", E37)),
      LOOKUP(_xlfn.XLOOKUP(D37, Move_List!$A:$A, Move_List!$D:$D), {0,60,80,110,150}, {2.5,1.83,1.63,1.27,1}),
    E37&lt;&gt;"",
      LOOKUP(_xlfn.XLOOKUP(D37, Move_List!$A:$A, Move_List!$D:$D), {0,60,80,90,100,110,120,150}, {2.5,2,2,1.94,1.8,1.68,1.58,1.33}),
    TRUE, 0
  ) * IF(_xlfn.XLOOKUP(D37, Move_List!$A:$A, Move_List!$C:$C)="Physical", K37, I37),
0)</f>
        <v>0</v>
      </c>
      <c r="P37" s="16">
        <f t="shared" si="2"/>
        <v>109.66666666666667</v>
      </c>
      <c r="Q37" s="16">
        <f t="shared" si="3"/>
        <v>10736.366666666667</v>
      </c>
      <c r="R37" s="17" cm="1">
        <f t="array" ref="R37">IFERROR(Q37 / IF(OR(_xlfn.IFNA(_xlfn.XLOOKUP(E37, Move_List!$A:$A, Move_List!$C:$C), "")={"Dynamax","Mega"}), G37*1.2, G37), 0)</f>
        <v>88.003005464480879</v>
      </c>
    </row>
    <row r="38" spans="1:18" ht="12.75">
      <c r="A38" s="6" t="s">
        <v>213</v>
      </c>
      <c r="B38" s="5" t="s">
        <v>131</v>
      </c>
      <c r="C38" s="5" t="str">
        <f>_xlfn.XLOOKUP(A38,Stars!A:A,Stars!C:C)</f>
        <v>5-star</v>
      </c>
      <c r="D38" s="19" t="s">
        <v>538</v>
      </c>
      <c r="E38" s="19"/>
      <c r="F38" s="20">
        <v>0.7</v>
      </c>
      <c r="G38" s="5">
        <v>108</v>
      </c>
      <c r="H38" s="16">
        <v>119</v>
      </c>
      <c r="I38" s="16">
        <v>101</v>
      </c>
      <c r="J38" s="16">
        <v>88</v>
      </c>
      <c r="K38" s="16">
        <v>62</v>
      </c>
      <c r="L38" s="16">
        <v>57</v>
      </c>
      <c r="M38" s="16">
        <v>111</v>
      </c>
      <c r="N38" s="16" cm="1">
        <f t="array" ref="N38">IFERROR(_xlfn.XLOOKUP(D38, Move_List!$A:$A, Move_List!$D:$D) * _xlfn.IFS(UPPER(TRIM(_xlfn.XLOOKUP(D38, Move_List!$A:$A, Move_List!$C:$C)))="PHYSICAL", K38, UPPER(TRIM(_xlfn.XLOOKUP(D38, Move_List!$A:$A, Move_List!$C:$C)))="SPECIAL", I38, TRUE, 0), 0)</f>
        <v>11110</v>
      </c>
      <c r="O38" s="16" cm="1">
        <f t="array" ref="O38">IFERROR(
  _xlfn.XLOOKUP(D38, Move_List!$A:$A, Move_List!$D:$D) * _xlfn.IFS(
    ISNUMBER(SEARCH("Max", E38)),
      LOOKUP(_xlfn.XLOOKUP(D38, Move_List!$A:$A, Move_List!$D:$D), {0,60,80,110,150}, {2.5,1.83,1.63,1.27,1}),
    E38&lt;&gt;"",
      LOOKUP(_xlfn.XLOOKUP(D38, Move_List!$A:$A, Move_List!$D:$D), {0,60,80,90,100,110,120,150}, {2.5,2,2,1.94,1.8,1.68,1.58,1.33}),
    TRUE, 0
  ) * IF(_xlfn.XLOOKUP(D38, Move_List!$A:$A, Move_List!$C:$C)="Physical", K38, I38),
0)</f>
        <v>0</v>
      </c>
      <c r="P38" s="16">
        <f t="shared" si="2"/>
        <v>85.333333333333329</v>
      </c>
      <c r="Q38" s="16">
        <f t="shared" si="3"/>
        <v>9480.5333333333328</v>
      </c>
      <c r="R38" s="17" cm="1">
        <f t="array" ref="R38">IFERROR(Q38 / IF(OR(_xlfn.IFNA(_xlfn.XLOOKUP(E38, Move_List!$A:$A, Move_List!$C:$C), "")={"Dynamax","Mega"}), G38*1.2, G38), 0)</f>
        <v>87.782716049382714</v>
      </c>
    </row>
    <row r="39" spans="1:18" ht="12.75">
      <c r="A39" s="6" t="s">
        <v>238</v>
      </c>
      <c r="B39" s="18" t="s">
        <v>239</v>
      </c>
      <c r="C39" s="5" t="str">
        <f>_xlfn.XLOOKUP(A39,Stars!A:A,Stars!C:C)</f>
        <v>5-star</v>
      </c>
      <c r="D39" s="19" t="s">
        <v>1487</v>
      </c>
      <c r="E39" s="19"/>
      <c r="F39" s="20">
        <v>1</v>
      </c>
      <c r="G39" s="5">
        <v>104</v>
      </c>
      <c r="H39" s="16">
        <v>73</v>
      </c>
      <c r="I39" s="16">
        <v>48</v>
      </c>
      <c r="J39" s="16">
        <v>67</v>
      </c>
      <c r="K39" s="16">
        <v>110</v>
      </c>
      <c r="L39" s="16">
        <v>87</v>
      </c>
      <c r="M39" s="16">
        <v>138</v>
      </c>
      <c r="N39" s="16" cm="1">
        <f t="array" ref="N39">IFERROR(_xlfn.XLOOKUP(D39, Move_List!$A:$A, Move_List!$D:$D) * _xlfn.IFS(UPPER(TRIM(_xlfn.XLOOKUP(D39, Move_List!$A:$A, Move_List!$C:$C)))="PHYSICAL", K39, UPPER(TRIM(_xlfn.XLOOKUP(D39, Move_List!$A:$A, Move_List!$C:$C)))="SPECIAL", I39, TRUE, 0), 0)</f>
        <v>9350</v>
      </c>
      <c r="O39" s="16" cm="1">
        <f t="array" ref="O39">IFERROR(
  _xlfn.XLOOKUP(D39, Move_List!$A:$A, Move_List!$D:$D) * _xlfn.IFS(
    ISNUMBER(SEARCH("Max", E39)),
      LOOKUP(_xlfn.XLOOKUP(D39, Move_List!$A:$A, Move_List!$D:$D), {0,60,80,110,150}, {2.5,1.83,1.63,1.27,1}),
    E39&lt;&gt;"",
      LOOKUP(_xlfn.XLOOKUP(D39, Move_List!$A:$A, Move_List!$D:$D), {0,60,80,90,100,110,120,150}, {2.5,2,2,1.94,1.8,1.68,1.58,1.33}),
    TRUE, 0
  ) * IF(_xlfn.XLOOKUP(D39, Move_List!$A:$A, Move_List!$C:$C)="Physical", K39, I39),
0)</f>
        <v>0</v>
      </c>
      <c r="P39" s="16">
        <f t="shared" si="2"/>
        <v>97.333333333333329</v>
      </c>
      <c r="Q39" s="16">
        <f t="shared" si="3"/>
        <v>9100.6666666666661</v>
      </c>
      <c r="R39" s="17" cm="1">
        <f t="array" ref="R39">IFERROR(Q39 / IF(OR(_xlfn.IFNA(_xlfn.XLOOKUP(E39, Move_List!$A:$A, Move_List!$C:$C), "")={"Dynamax","Mega"}), G39*1.2, G39), 0)</f>
        <v>87.506410256410248</v>
      </c>
    </row>
    <row r="40" spans="1:18" ht="12.75">
      <c r="A40" s="4" t="s">
        <v>51</v>
      </c>
      <c r="B40" s="5" t="s">
        <v>4</v>
      </c>
      <c r="C40" s="5" t="str">
        <f>_xlfn.XLOOKUP(A40,Stars!A:A,Stars!C:C)</f>
        <v>6-star</v>
      </c>
      <c r="D40" s="5" t="s">
        <v>488</v>
      </c>
      <c r="E40" s="5"/>
      <c r="F40" s="15">
        <v>1</v>
      </c>
      <c r="G40" s="16">
        <v>124</v>
      </c>
      <c r="H40" s="16">
        <v>105</v>
      </c>
      <c r="I40" s="16">
        <v>114</v>
      </c>
      <c r="J40" s="16">
        <v>90</v>
      </c>
      <c r="K40" s="16">
        <v>89</v>
      </c>
      <c r="L40" s="16">
        <v>83</v>
      </c>
      <c r="M40" s="16">
        <v>138</v>
      </c>
      <c r="N40" s="16" cm="1">
        <f t="array" ref="N40">IFERROR(_xlfn.XLOOKUP(D40, Move_List!$A:$A, Move_List!$D:$D) * _xlfn.IFS(UPPER(TRIM(_xlfn.XLOOKUP(D40, Move_List!$A:$A, Move_List!$C:$C)))="PHYSICAL", K40, UPPER(TRIM(_xlfn.XLOOKUP(D40, Move_List!$A:$A, Move_List!$C:$C)))="SPECIAL", I40, TRUE, 0), 0)</f>
        <v>10260</v>
      </c>
      <c r="O40" s="16" cm="1">
        <f t="array" ref="O40">IFERROR(
  _xlfn.XLOOKUP(D40, Move_List!$A:$A, Move_List!$D:$D) * _xlfn.IFS(
    ISNUMBER(SEARCH("Max", E40)),
      LOOKUP(_xlfn.XLOOKUP(D40, Move_List!$A:$A, Move_List!$D:$D), {0,60,80,110,150}, {2.5,1.83,1.63,1.27,1}),
    E40&lt;&gt;"",
      LOOKUP(_xlfn.XLOOKUP(D40, Move_List!$A:$A, Move_List!$D:$D), {0,60,80,90,100,110,120,150}, {2.5,2,2,1.94,1.8,1.68,1.58,1.33}),
    TRUE, 0
  ) * IF(_xlfn.XLOOKUP(D40, Move_List!$A:$A, Move_List!$C:$C)="Physical", K40, I40),
0)</f>
        <v>0</v>
      </c>
      <c r="P40" s="16">
        <f t="shared" si="2"/>
        <v>103.66666666666667</v>
      </c>
      <c r="Q40" s="16">
        <f t="shared" si="3"/>
        <v>10636.199999999999</v>
      </c>
      <c r="R40" s="17" cm="1">
        <f t="array" ref="R40">IFERROR(Q40 / IF(OR(_xlfn.IFNA(_xlfn.XLOOKUP(E40, Move_List!$A:$A, Move_List!$C:$C), "")={"Dynamax","Mega"}), G40*1.2, G40), 0)</f>
        <v>85.775806451612894</v>
      </c>
    </row>
    <row r="41" spans="1:18" ht="12.75">
      <c r="A41" s="4" t="s">
        <v>70</v>
      </c>
      <c r="B41" s="5" t="s">
        <v>71</v>
      </c>
      <c r="C41" s="5" t="str">
        <f>_xlfn.XLOOKUP(A41,Stars!A:A,Stars!C:C)</f>
        <v>5-star</v>
      </c>
      <c r="D41" s="5" t="s">
        <v>600</v>
      </c>
      <c r="E41" s="5" t="s">
        <v>1738</v>
      </c>
      <c r="F41" s="15">
        <v>1</v>
      </c>
      <c r="G41" s="16">
        <v>114</v>
      </c>
      <c r="H41" s="16">
        <v>88</v>
      </c>
      <c r="I41" s="16">
        <v>93</v>
      </c>
      <c r="J41" s="16">
        <v>75</v>
      </c>
      <c r="K41" s="16">
        <v>101</v>
      </c>
      <c r="L41" s="16">
        <v>75</v>
      </c>
      <c r="M41" s="16">
        <v>133</v>
      </c>
      <c r="N41" s="16" cm="1">
        <f t="array" ref="N41">IFERROR(_xlfn.XLOOKUP(D41, Move_List!$A:$A, Move_List!$D:$D) * _xlfn.IFS(UPPER(TRIM(_xlfn.XLOOKUP(D41, Move_List!$A:$A, Move_List!$C:$C)))="PHYSICAL", K41, UPPER(TRIM(_xlfn.XLOOKUP(D41, Move_List!$A:$A, Move_List!$C:$C)))="SPECIAL", I41, TRUE, 0), 0)</f>
        <v>10230</v>
      </c>
      <c r="O41" s="16" cm="1">
        <f t="array" ref="O41">IFERROR(
  _xlfn.XLOOKUP(D41, Move_List!$A:$A, Move_List!$D:$D) * _xlfn.IFS(
    ISNUMBER(SEARCH("Max", E41)),
      LOOKUP(_xlfn.XLOOKUP(D41, Move_List!$A:$A, Move_List!$D:$D), {0,60,80,110,150}, {2.5,1.83,1.63,1.27,1}),
    E41&lt;&gt;"",
      LOOKUP(_xlfn.XLOOKUP(D41, Move_List!$A:$A, Move_List!$D:$D), {0,60,80,90,100,110,120,150}, {2.5,2,2,1.94,1.8,1.68,1.58,1.33}),
    TRUE, 0
  ) * IF(_xlfn.XLOOKUP(D41, Move_List!$A:$A, Move_List!$C:$C)="Physical", K41, I41),
0)</f>
        <v>17186.399999999998</v>
      </c>
      <c r="P41" s="16">
        <f t="shared" si="2"/>
        <v>94.333333333333329</v>
      </c>
      <c r="Q41" s="16">
        <f t="shared" si="3"/>
        <v>12931.401999999998</v>
      </c>
      <c r="R41" s="17" cm="1">
        <f t="array" ref="R41">IFERROR(Q41 / IF(OR(_xlfn.IFNA(_xlfn.XLOOKUP(E41, Move_List!$A:$A, Move_List!$C:$C), "")={"Dynamax","Mega"}), G41*1.2, G41), 0)</f>
        <v>113.43335087719296</v>
      </c>
    </row>
    <row r="42" spans="1:18" ht="12.75">
      <c r="A42" s="4" t="s">
        <v>136</v>
      </c>
      <c r="B42" s="5" t="s">
        <v>137</v>
      </c>
      <c r="C42" s="5" t="str">
        <f>_xlfn.XLOOKUP(A42,Stars!A:A,Stars!C:C)</f>
        <v>4-star</v>
      </c>
      <c r="D42" s="5" t="s">
        <v>1315</v>
      </c>
      <c r="E42" s="5"/>
      <c r="F42" s="15">
        <v>1</v>
      </c>
      <c r="G42" s="16">
        <v>96</v>
      </c>
      <c r="H42" s="16">
        <v>51</v>
      </c>
      <c r="I42" s="16">
        <v>90</v>
      </c>
      <c r="J42" s="16">
        <v>106</v>
      </c>
      <c r="K42" s="16">
        <v>55</v>
      </c>
      <c r="L42" s="16">
        <v>55</v>
      </c>
      <c r="M42" s="16">
        <v>123</v>
      </c>
      <c r="N42" s="16" cm="1">
        <f t="array" ref="N42">IFERROR(_xlfn.XLOOKUP(D42, Move_List!$A:$A, Move_List!$D:$D) * _xlfn.IFS(UPPER(TRIM(_xlfn.XLOOKUP(D42, Move_List!$A:$A, Move_List!$C:$C)))="PHYSICAL", K42, UPPER(TRIM(_xlfn.XLOOKUP(D42, Move_List!$A:$A, Move_List!$C:$C)))="SPECIAL", I42, TRUE, 0), 0)</f>
        <v>8550</v>
      </c>
      <c r="O42" s="16" cm="1">
        <f t="array" ref="O42">IFERROR(
  _xlfn.XLOOKUP(D42, Move_List!$A:$A, Move_List!$D:$D) * _xlfn.IFS(
    ISNUMBER(SEARCH("Max", E42)),
      LOOKUP(_xlfn.XLOOKUP(D42, Move_List!$A:$A, Move_List!$D:$D), {0,60,80,110,150}, {2.5,1.83,1.63,1.27,1}),
    E42&lt;&gt;"",
      LOOKUP(_xlfn.XLOOKUP(D42, Move_List!$A:$A, Move_List!$D:$D), {0,60,80,90,100,110,120,150}, {2.5,2,2,1.94,1.8,1.68,1.58,1.33}),
    TRUE, 0
  ) * IF(_xlfn.XLOOKUP(D42, Move_List!$A:$A, Move_List!$C:$C)="Physical", K42, I42),
0)</f>
        <v>0</v>
      </c>
      <c r="P42" s="16">
        <f t="shared" si="2"/>
        <v>94.666666666666671</v>
      </c>
      <c r="Q42" s="16">
        <f t="shared" si="3"/>
        <v>8094.0000000000009</v>
      </c>
      <c r="R42" s="17" cm="1">
        <f t="array" ref="R42">IFERROR(Q42 / IF(OR(_xlfn.IFNA(_xlfn.XLOOKUP(E42, Move_List!$A:$A, Move_List!$C:$C), "")={"Dynamax","Mega"}), G42*1.2, G42), 0)</f>
        <v>84.312500000000014</v>
      </c>
    </row>
    <row r="43" spans="1:18" ht="12.75">
      <c r="A43" s="6" t="s">
        <v>236</v>
      </c>
      <c r="B43" s="18" t="s">
        <v>237</v>
      </c>
      <c r="C43" s="5" t="str">
        <f>_xlfn.XLOOKUP(A43,Stars!A:A,Stars!C:C)</f>
        <v>5-star</v>
      </c>
      <c r="D43" s="19" t="s">
        <v>1350</v>
      </c>
      <c r="E43" s="19"/>
      <c r="F43" s="20">
        <v>1</v>
      </c>
      <c r="G43" s="5">
        <v>112</v>
      </c>
      <c r="H43" s="16">
        <v>66</v>
      </c>
      <c r="I43" s="16">
        <v>110</v>
      </c>
      <c r="J43" s="16">
        <v>121</v>
      </c>
      <c r="K43" s="16">
        <v>62</v>
      </c>
      <c r="L43" s="16">
        <v>77</v>
      </c>
      <c r="M43" s="16">
        <v>120</v>
      </c>
      <c r="N43" s="16" cm="1">
        <f t="array" ref="N43">IFERROR(_xlfn.XLOOKUP(D43, Move_List!$A:$A, Move_List!$D:$D) * _xlfn.IFS(UPPER(TRIM(_xlfn.XLOOKUP(D43, Move_List!$A:$A, Move_List!$C:$C)))="PHYSICAL", K43, UPPER(TRIM(_xlfn.XLOOKUP(D43, Move_List!$A:$A, Move_List!$C:$C)))="SPECIAL", I43, TRUE, 0), 0)</f>
        <v>8800</v>
      </c>
      <c r="O43" s="16" cm="1">
        <f t="array" ref="O43">IFERROR(
  _xlfn.XLOOKUP(D43, Move_List!$A:$A, Move_List!$D:$D) * _xlfn.IFS(
    ISNUMBER(SEARCH("Max", E43)),
      LOOKUP(_xlfn.XLOOKUP(D43, Move_List!$A:$A, Move_List!$D:$D), {0,60,80,110,150}, {2.5,1.83,1.63,1.27,1}),
    E43&lt;&gt;"",
      LOOKUP(_xlfn.XLOOKUP(D43, Move_List!$A:$A, Move_List!$D:$D), {0,60,80,90,100,110,120,150}, {2.5,2,2,1.94,1.8,1.68,1.58,1.33}),
    TRUE, 0
  ) * IF(_xlfn.XLOOKUP(D43, Move_List!$A:$A, Move_List!$C:$C)="Physical", K43, I43),
0)</f>
        <v>0</v>
      </c>
      <c r="P43" s="16">
        <f t="shared" si="2"/>
        <v>106</v>
      </c>
      <c r="Q43" s="16">
        <f t="shared" si="3"/>
        <v>9328</v>
      </c>
      <c r="R43" s="17" cm="1">
        <f t="array" ref="R43">IFERROR(Q43 / IF(OR(_xlfn.IFNA(_xlfn.XLOOKUP(E43, Move_List!$A:$A, Move_List!$C:$C), "")={"Dynamax","Mega"}), G43*1.2, G43), 0)</f>
        <v>83.285714285714292</v>
      </c>
    </row>
    <row r="44" spans="1:18" ht="12.75">
      <c r="A44" s="4" t="s">
        <v>80</v>
      </c>
      <c r="B44" s="18" t="s">
        <v>81</v>
      </c>
      <c r="C44" s="5" t="str">
        <f>_xlfn.XLOOKUP(A44,Stars!A:A,Stars!C:C)</f>
        <v>5-star</v>
      </c>
      <c r="D44" s="5" t="s">
        <v>1568</v>
      </c>
      <c r="E44" s="5"/>
      <c r="F44" s="15">
        <v>1</v>
      </c>
      <c r="G44" s="16">
        <v>108</v>
      </c>
      <c r="H44" s="16">
        <v>79</v>
      </c>
      <c r="I44" s="16">
        <v>57</v>
      </c>
      <c r="J44" s="16">
        <v>66</v>
      </c>
      <c r="K44" s="16">
        <v>115</v>
      </c>
      <c r="L44" s="16">
        <v>84</v>
      </c>
      <c r="M44" s="16">
        <v>142</v>
      </c>
      <c r="N44" s="16" cm="1">
        <f t="array" ref="N44">IFERROR(_xlfn.XLOOKUP(D44, Move_List!$A:$A, Move_List!$D:$D) * _xlfn.IFS(UPPER(TRIM(_xlfn.XLOOKUP(D44, Move_List!$A:$A, Move_List!$C:$C)))="PHYSICAL", K44, UPPER(TRIM(_xlfn.XLOOKUP(D44, Move_List!$A:$A, Move_List!$C:$C)))="SPECIAL", I44, TRUE, 0), 0)</f>
        <v>9200</v>
      </c>
      <c r="O44" s="16" cm="1">
        <f t="array" ref="O44">IFERROR(
  _xlfn.XLOOKUP(D44, Move_List!$A:$A, Move_List!$D:$D) * _xlfn.IFS(
    ISNUMBER(SEARCH("Max", E44)),
      LOOKUP(_xlfn.XLOOKUP(D44, Move_List!$A:$A, Move_List!$D:$D), {0,60,80,110,150}, {2.5,1.83,1.63,1.27,1}),
    E44&lt;&gt;"",
      LOOKUP(_xlfn.XLOOKUP(D44, Move_List!$A:$A, Move_List!$D:$D), {0,60,80,90,100,110,120,150}, {2.5,2,2,1.94,1.8,1.68,1.58,1.33}),
    TRUE, 0
  ) * IF(_xlfn.XLOOKUP(D44, Move_List!$A:$A, Move_List!$C:$C)="Physical", K44, I44),
0)</f>
        <v>0</v>
      </c>
      <c r="P44" s="16">
        <f t="shared" si="2"/>
        <v>97.333333333333329</v>
      </c>
      <c r="Q44" s="16">
        <f t="shared" si="3"/>
        <v>8954.6666666666661</v>
      </c>
      <c r="R44" s="17" cm="1">
        <f t="array" ref="R44">IFERROR(Q44 / IF(OR(_xlfn.IFNA(_xlfn.XLOOKUP(E44, Move_List!$A:$A, Move_List!$C:$C), "")={"Dynamax","Mega"}), G44*1.2, G44), 0)</f>
        <v>82.913580246913568</v>
      </c>
    </row>
    <row r="45" spans="1:18" ht="12.75">
      <c r="A45" s="6" t="s">
        <v>259</v>
      </c>
      <c r="B45" s="5" t="s">
        <v>220</v>
      </c>
      <c r="C45" s="5" t="str">
        <f>_xlfn.XLOOKUP(A45,Stars!A:A,Stars!C:C)</f>
        <v>4-star</v>
      </c>
      <c r="D45" s="19" t="s">
        <v>541</v>
      </c>
      <c r="E45" s="19"/>
      <c r="F45" s="15">
        <v>1</v>
      </c>
      <c r="G45" s="5">
        <v>92</v>
      </c>
      <c r="H45" s="5">
        <v>46</v>
      </c>
      <c r="I45" s="5">
        <v>60</v>
      </c>
      <c r="J45" s="5">
        <v>67</v>
      </c>
      <c r="K45" s="5">
        <v>85</v>
      </c>
      <c r="L45" s="5">
        <v>82</v>
      </c>
      <c r="M45" s="5">
        <v>117</v>
      </c>
      <c r="N45" s="16" cm="1">
        <f t="array" ref="N45">IFERROR(_xlfn.XLOOKUP(D45, Move_List!$A:$A, Move_List!$D:$D) * _xlfn.IFS(UPPER(TRIM(_xlfn.XLOOKUP(D45, Move_List!$A:$A, Move_List!$C:$C)))="PHYSICAL", K45, UPPER(TRIM(_xlfn.XLOOKUP(D45, Move_List!$A:$A, Move_List!$C:$C)))="SPECIAL", I45, TRUE, 0), 0)</f>
        <v>8500</v>
      </c>
      <c r="O45" s="16" cm="1">
        <f t="array" ref="O45">IFERROR(
  _xlfn.XLOOKUP(D45, Move_List!$A:$A, Move_List!$D:$D) * _xlfn.IFS(
    ISNUMBER(SEARCH("Max", E45)),
      LOOKUP(_xlfn.XLOOKUP(D45, Move_List!$A:$A, Move_List!$D:$D), {0,60,80,110,150}, {2.5,1.83,1.63,1.27,1}),
    E45&lt;&gt;"",
      LOOKUP(_xlfn.XLOOKUP(D45, Move_List!$A:$A, Move_List!$D:$D), {0,60,80,90,100,110,120,150}, {2.5,2,2,1.94,1.8,1.68,1.58,1.33}),
    TRUE, 0
  ) * IF(_xlfn.XLOOKUP(D45, Move_List!$A:$A, Move_List!$C:$C)="Physical", K45, I45),
0)</f>
        <v>0</v>
      </c>
      <c r="P45" s="16">
        <f t="shared" si="2"/>
        <v>88.666666666666671</v>
      </c>
      <c r="Q45" s="16">
        <f t="shared" si="3"/>
        <v>7536.666666666667</v>
      </c>
      <c r="R45" s="17" cm="1">
        <f t="array" ref="R45">IFERROR(Q45 / IF(OR(_xlfn.IFNA(_xlfn.XLOOKUP(E45, Move_List!$A:$A, Move_List!$C:$C), "")={"Dynamax","Mega"}), G45*1.2, G45), 0)</f>
        <v>81.920289855072468</v>
      </c>
    </row>
    <row r="46" spans="1:18" ht="12.75">
      <c r="A46" s="6" t="s">
        <v>322</v>
      </c>
      <c r="B46" s="5" t="s">
        <v>10</v>
      </c>
      <c r="C46" s="5" t="str">
        <f>_xlfn.XLOOKUP(A46,Stars!A:A,Stars!C:C)</f>
        <v>4-star</v>
      </c>
      <c r="D46" s="19" t="s">
        <v>32</v>
      </c>
      <c r="E46" s="19"/>
      <c r="F46" s="15">
        <v>1</v>
      </c>
      <c r="G46" s="5">
        <v>96</v>
      </c>
      <c r="H46" s="5">
        <v>67</v>
      </c>
      <c r="I46" s="5">
        <v>102</v>
      </c>
      <c r="J46" s="5">
        <v>94</v>
      </c>
      <c r="K46" s="5">
        <v>55</v>
      </c>
      <c r="L46" s="5">
        <v>55</v>
      </c>
      <c r="M46" s="5">
        <v>102</v>
      </c>
      <c r="N46" s="16" cm="1">
        <f t="array" ref="N46">IFERROR(_xlfn.XLOOKUP(D46, Move_List!$A:$A, Move_List!$D:$D) * _xlfn.IFS(UPPER(TRIM(_xlfn.XLOOKUP(D46, Move_List!$A:$A, Move_List!$C:$C)))="PHYSICAL", K46, UPPER(TRIM(_xlfn.XLOOKUP(D46, Move_List!$A:$A, Move_List!$C:$C)))="SPECIAL", I46, TRUE, 0), 0)</f>
        <v>9180</v>
      </c>
      <c r="O46" s="16" cm="1">
        <f t="array" ref="O46">IFERROR(
  _xlfn.XLOOKUP(D46, Move_List!$A:$A, Move_List!$D:$D) * _xlfn.IFS(
    ISNUMBER(SEARCH("Max", E46)),
      LOOKUP(_xlfn.XLOOKUP(D46, Move_List!$A:$A, Move_List!$D:$D), {0,60,80,110,150}, {2.5,1.83,1.63,1.27,1}),
    E46&lt;&gt;"",
      LOOKUP(_xlfn.XLOOKUP(D46, Move_List!$A:$A, Move_List!$D:$D), {0,60,80,90,100,110,120,150}, {2.5,2,2,1.94,1.8,1.68,1.58,1.33}),
    TRUE, 0
  ) * IF(_xlfn.XLOOKUP(D46, Move_List!$A:$A, Move_List!$C:$C)="Physical", K46, I46),
0)</f>
        <v>0</v>
      </c>
      <c r="P46" s="16">
        <f t="shared" si="2"/>
        <v>83.666666666666671</v>
      </c>
      <c r="Q46" s="16">
        <f t="shared" si="3"/>
        <v>7680.6</v>
      </c>
      <c r="R46" s="17" cm="1">
        <f t="array" ref="R46">IFERROR(Q46 / IF(OR(_xlfn.IFNA(_xlfn.XLOOKUP(E46, Move_List!$A:$A, Move_List!$C:$C), "")={"Dynamax","Mega"}), G46*1.2, G46), 0)</f>
        <v>80.006250000000009</v>
      </c>
    </row>
    <row r="47" spans="1:18" ht="12.75">
      <c r="A47" s="6" t="s">
        <v>234</v>
      </c>
      <c r="B47" s="18" t="s">
        <v>235</v>
      </c>
      <c r="C47" s="5" t="str">
        <f>_xlfn.XLOOKUP(A47,Stars!A:A,Stars!C:C)</f>
        <v>5-star</v>
      </c>
      <c r="D47" s="19" t="s">
        <v>1577</v>
      </c>
      <c r="E47" s="19"/>
      <c r="F47" s="20">
        <v>1</v>
      </c>
      <c r="G47" s="5">
        <v>110</v>
      </c>
      <c r="H47" s="16">
        <v>33</v>
      </c>
      <c r="I47" s="16">
        <v>101</v>
      </c>
      <c r="J47" s="16">
        <v>81</v>
      </c>
      <c r="K47" s="16">
        <v>86</v>
      </c>
      <c r="L47" s="16">
        <v>81</v>
      </c>
      <c r="M47" s="16">
        <v>163</v>
      </c>
      <c r="N47" s="16" cm="1">
        <f t="array" ref="N47">IFERROR(_xlfn.XLOOKUP(D47, Move_List!$A:$A, Move_List!$D:$D) * _xlfn.IFS(UPPER(TRIM(_xlfn.XLOOKUP(D47, Move_List!$A:$A, Move_List!$C:$C)))="PHYSICAL", K47, UPPER(TRIM(_xlfn.XLOOKUP(D47, Move_List!$A:$A, Move_List!$C:$C)))="SPECIAL", I47, TRUE, 0), 0)</f>
        <v>8080</v>
      </c>
      <c r="O47" s="16" cm="1">
        <f t="array" ref="O47">IFERROR(
  _xlfn.XLOOKUP(D47, Move_List!$A:$A, Move_List!$D:$D) * _xlfn.IFS(
    ISNUMBER(SEARCH("Max", E47)),
      LOOKUP(_xlfn.XLOOKUP(D47, Move_List!$A:$A, Move_List!$D:$D), {0,60,80,110,150}, {2.5,1.83,1.63,1.27,1}),
    E47&lt;&gt;"",
      LOOKUP(_xlfn.XLOOKUP(D47, Move_List!$A:$A, Move_List!$D:$D), {0,60,80,90,100,110,120,150}, {2.5,2,2,1.94,1.8,1.68,1.58,1.33}),
    TRUE, 0
  ) * IF(_xlfn.XLOOKUP(D47, Move_List!$A:$A, Move_List!$C:$C)="Physical", K47, I47),
0)</f>
        <v>0</v>
      </c>
      <c r="P47" s="16">
        <f t="shared" si="2"/>
        <v>108.33333333333333</v>
      </c>
      <c r="Q47" s="16">
        <f t="shared" si="3"/>
        <v>8753.3333333333321</v>
      </c>
      <c r="R47" s="17" cm="1">
        <f t="array" ref="R47">IFERROR(Q47 / IF(OR(_xlfn.IFNA(_xlfn.XLOOKUP(E47, Move_List!$A:$A, Move_List!$C:$C), "")={"Dynamax","Mega"}), G47*1.2, G47), 0)</f>
        <v>79.575757575757564</v>
      </c>
    </row>
    <row r="48" spans="1:18" ht="12.75">
      <c r="A48" s="6" t="s">
        <v>224</v>
      </c>
      <c r="B48" s="5" t="s">
        <v>11</v>
      </c>
      <c r="C48" s="5" t="str">
        <f>_xlfn.XLOOKUP(A48,Stars!A:A,Stars!C:C)</f>
        <v>5-star</v>
      </c>
      <c r="D48" s="1" t="s">
        <v>1072</v>
      </c>
      <c r="E48" s="19" t="s">
        <v>1743</v>
      </c>
      <c r="F48" s="20">
        <v>1</v>
      </c>
      <c r="G48" s="5">
        <v>114</v>
      </c>
      <c r="H48" s="16">
        <v>60</v>
      </c>
      <c r="I48" s="16">
        <v>107</v>
      </c>
      <c r="J48" s="16">
        <v>97</v>
      </c>
      <c r="K48" s="16">
        <v>84</v>
      </c>
      <c r="L48" s="16">
        <v>85</v>
      </c>
      <c r="M48" s="16">
        <v>133</v>
      </c>
      <c r="N48" s="16" cm="1">
        <f t="array" ref="N48">IFERROR(_xlfn.XLOOKUP(D48, Move_List!$A:$A, Move_List!$D:$D) * _xlfn.IFS(UPPER(TRIM(_xlfn.XLOOKUP(D48, Move_List!$A:$A, Move_List!$C:$C)))="PHYSICAL", K48, UPPER(TRIM(_xlfn.XLOOKUP(D48, Move_List!$A:$A, Move_List!$C:$C)))="SPECIAL", I48, TRUE, 0), 0)</f>
        <v>8560</v>
      </c>
      <c r="O48" s="16" cm="1">
        <f t="array" ref="O48">IFERROR(
  _xlfn.XLOOKUP(D48, Move_List!$A:$A, Move_List!$D:$D) * _xlfn.IFS(
    ISNUMBER(SEARCH("Max", E48)),
      LOOKUP(_xlfn.XLOOKUP(D48, Move_List!$A:$A, Move_List!$D:$D), {0,60,80,110,150}, {2.5,1.83,1.63,1.27,1}),
    E48&lt;&gt;"",
      LOOKUP(_xlfn.XLOOKUP(D48, Move_List!$A:$A, Move_List!$D:$D), {0,60,80,90,100,110,120,150}, {2.5,2,2,1.94,1.8,1.68,1.58,1.33}),
    TRUE, 0
  ) * IF(_xlfn.XLOOKUP(D48, Move_List!$A:$A, Move_List!$C:$C)="Physical", K48, I48),
0)</f>
        <v>17120</v>
      </c>
      <c r="P48" s="16">
        <f t="shared" si="2"/>
        <v>105</v>
      </c>
      <c r="Q48" s="16">
        <f t="shared" si="3"/>
        <v>13482</v>
      </c>
      <c r="R48" s="17" cm="1">
        <f t="array" ref="R48">IFERROR(Q48 / IF(OR(_xlfn.IFNA(_xlfn.XLOOKUP(E48, Move_List!$A:$A, Move_List!$C:$C), "")={"Dynamax","Mega"}), G48*1.2, G48), 0)</f>
        <v>118.26315789473684</v>
      </c>
    </row>
    <row r="49" spans="1:18" ht="12.75">
      <c r="A49" s="6" t="s">
        <v>264</v>
      </c>
      <c r="B49" s="5" t="s">
        <v>20</v>
      </c>
      <c r="C49" s="5" t="str">
        <f>_xlfn.XLOOKUP(A49,Stars!A:A,Stars!C:C)</f>
        <v>4-star</v>
      </c>
      <c r="D49" s="19" t="s">
        <v>984</v>
      </c>
      <c r="E49" s="19"/>
      <c r="F49" s="15">
        <v>1</v>
      </c>
      <c r="G49" s="5">
        <v>92</v>
      </c>
      <c r="H49" s="5">
        <v>84</v>
      </c>
      <c r="I49" s="5">
        <v>81</v>
      </c>
      <c r="J49" s="5">
        <v>57</v>
      </c>
      <c r="K49" s="5">
        <v>81</v>
      </c>
      <c r="L49" s="5">
        <v>57</v>
      </c>
      <c r="M49" s="5">
        <v>103</v>
      </c>
      <c r="N49" s="16" cm="1">
        <f t="array" ref="N49">IFERROR(_xlfn.XLOOKUP(D49, Move_List!$A:$A, Move_List!$D:$D) * _xlfn.IFS(UPPER(TRIM(_xlfn.XLOOKUP(D49, Move_List!$A:$A, Move_List!$C:$C)))="PHYSICAL", K49, UPPER(TRIM(_xlfn.XLOOKUP(D49, Move_List!$A:$A, Move_List!$C:$C)))="SPECIAL", I49, TRUE, 0), 0)</f>
        <v>9720</v>
      </c>
      <c r="O49" s="16" cm="1">
        <f t="array" ref="O49">IFERROR(
  _xlfn.XLOOKUP(D49, Move_List!$A:$A, Move_List!$D:$D) * _xlfn.IFS(
    ISNUMBER(SEARCH("Max", E49)),
      LOOKUP(_xlfn.XLOOKUP(D49, Move_List!$A:$A, Move_List!$D:$D), {0,60,80,110,150}, {2.5,1.83,1.63,1.27,1}),
    E49&lt;&gt;"",
      LOOKUP(_xlfn.XLOOKUP(D49, Move_List!$A:$A, Move_List!$D:$D), {0,60,80,90,100,110,120,150}, {2.5,2,2,1.94,1.8,1.68,1.58,1.33}),
    TRUE, 0
  ) * IF(_xlfn.XLOOKUP(D49, Move_List!$A:$A, Move_List!$C:$C)="Physical", K49, I49),
0)</f>
        <v>0</v>
      </c>
      <c r="P49" s="16">
        <f t="shared" si="2"/>
        <v>72.333333333333329</v>
      </c>
      <c r="Q49" s="16">
        <f t="shared" si="3"/>
        <v>7030.7999999999993</v>
      </c>
      <c r="R49" s="17" cm="1">
        <f t="array" ref="R49">IFERROR(Q49 / IF(OR(_xlfn.IFNA(_xlfn.XLOOKUP(E49, Move_List!$A:$A, Move_List!$C:$C), "")={"Dynamax","Mega"}), G49*1.2, G49), 0)</f>
        <v>76.421739130434773</v>
      </c>
    </row>
    <row r="50" spans="1:18" ht="12.75">
      <c r="A50" s="4" t="s">
        <v>68</v>
      </c>
      <c r="B50" s="5" t="s">
        <v>8</v>
      </c>
      <c r="C50" s="5" t="str">
        <f>_xlfn.XLOOKUP(A50,Stars!A:A,Stars!C:C)</f>
        <v>5-star</v>
      </c>
      <c r="D50" s="5" t="s">
        <v>786</v>
      </c>
      <c r="E50" s="5"/>
      <c r="F50" s="15">
        <v>1</v>
      </c>
      <c r="G50" s="16">
        <v>108</v>
      </c>
      <c r="H50" s="16">
        <v>106</v>
      </c>
      <c r="I50" s="16">
        <v>124</v>
      </c>
      <c r="J50" s="16">
        <v>74</v>
      </c>
      <c r="K50" s="16">
        <v>64</v>
      </c>
      <c r="L50" s="16">
        <v>60</v>
      </c>
      <c r="M50" s="16">
        <v>111</v>
      </c>
      <c r="N50" s="16" cm="1">
        <f t="array" ref="N50">IFERROR(_xlfn.XLOOKUP(D50, Move_List!$A:$A, Move_List!$D:$D) * _xlfn.IFS(UPPER(TRIM(_xlfn.XLOOKUP(D50, Move_List!$A:$A, Move_List!$C:$C)))="PHYSICAL", K50, UPPER(TRIM(_xlfn.XLOOKUP(D50, Move_List!$A:$A, Move_List!$C:$C)))="SPECIAL", I50, TRUE, 0), 0)</f>
        <v>9920</v>
      </c>
      <c r="O50" s="16" cm="1">
        <f t="array" ref="O50">IFERROR(
  _xlfn.XLOOKUP(D50, Move_List!$A:$A, Move_List!$D:$D) * _xlfn.IFS(
    ISNUMBER(SEARCH("Max", E50)),
      LOOKUP(_xlfn.XLOOKUP(D50, Move_List!$A:$A, Move_List!$D:$D), {0,60,80,110,150}, {2.5,1.83,1.63,1.27,1}),
    E50&lt;&gt;"",
      LOOKUP(_xlfn.XLOOKUP(D50, Move_List!$A:$A, Move_List!$D:$D), {0,60,80,90,100,110,120,150}, {2.5,2,2,1.94,1.8,1.68,1.58,1.33}),
    TRUE, 0
  ) * IF(_xlfn.XLOOKUP(D50, Move_List!$A:$A, Move_List!$C:$C)="Physical", K50, I50),
0)</f>
        <v>0</v>
      </c>
      <c r="P50" s="16">
        <f t="shared" si="2"/>
        <v>81.666666666666671</v>
      </c>
      <c r="Q50" s="16">
        <f t="shared" si="3"/>
        <v>8101.3333333333339</v>
      </c>
      <c r="R50" s="17" cm="1">
        <f t="array" ref="R50">IFERROR(Q50 / IF(OR(_xlfn.IFNA(_xlfn.XLOOKUP(E50, Move_List!$A:$A, Move_List!$C:$C), "")={"Dynamax","Mega"}), G50*1.2, G50), 0)</f>
        <v>75.012345679012356</v>
      </c>
    </row>
    <row r="51" spans="1:18" ht="12.75">
      <c r="A51" s="6" t="s">
        <v>294</v>
      </c>
      <c r="B51" s="5" t="s">
        <v>78</v>
      </c>
      <c r="C51" s="5" t="str">
        <f>_xlfn.XLOOKUP(A51,Stars!A:A,Stars!C:C)</f>
        <v>4-star</v>
      </c>
      <c r="D51" s="19" t="s">
        <v>1044</v>
      </c>
      <c r="E51" s="5" t="s">
        <v>1561</v>
      </c>
      <c r="F51" s="15">
        <v>1</v>
      </c>
      <c r="G51" s="5">
        <v>96</v>
      </c>
      <c r="H51" s="5">
        <v>83</v>
      </c>
      <c r="I51" s="5">
        <v>67</v>
      </c>
      <c r="J51" s="5">
        <v>67</v>
      </c>
      <c r="K51" s="5">
        <v>83</v>
      </c>
      <c r="L51" s="5">
        <v>67</v>
      </c>
      <c r="M51" s="5">
        <v>111</v>
      </c>
      <c r="N51" s="16" cm="1">
        <f t="array" ref="N51">IFERROR(_xlfn.XLOOKUP(D51, Move_List!$A:$A, Move_List!$D:$D) * _xlfn.IFS(UPPER(TRIM(_xlfn.XLOOKUP(D51, Move_List!$A:$A, Move_List!$C:$C)))="PHYSICAL", K51, UPPER(TRIM(_xlfn.XLOOKUP(D51, Move_List!$A:$A, Move_List!$C:$C)))="SPECIAL", I51, TRUE, 0), 0)</f>
        <v>5695</v>
      </c>
      <c r="O51" s="16" cm="1">
        <f t="array" ref="O51">IFERROR(
  _xlfn.XLOOKUP(D51, Move_List!$A:$A, Move_List!$D:$D) * _xlfn.IFS(
    ISNUMBER(SEARCH("Max", E51)),
      LOOKUP(_xlfn.XLOOKUP(D51, Move_List!$A:$A, Move_List!$D:$D), {0,60,80,110,150}, {2.5,1.83,1.63,1.27,1}),
    E51&lt;&gt;"",
      LOOKUP(_xlfn.XLOOKUP(D51, Move_List!$A:$A, Move_List!$D:$D), {0,60,80,90,100,110,120,150}, {2.5,2,2,1.94,1.8,1.68,1.58,1.33}),
    TRUE, 0
  ) * IF(_xlfn.XLOOKUP(D51, Move_List!$A:$A, Move_List!$C:$C)="Physical", K51, I51),
0)</f>
        <v>9282.8499999999985</v>
      </c>
      <c r="P51" s="16">
        <f t="shared" si="2"/>
        <v>81.666666666666671</v>
      </c>
      <c r="Q51" s="16">
        <f t="shared" si="3"/>
        <v>6115.9554166666667</v>
      </c>
      <c r="R51" s="17" cm="1">
        <f t="array" ref="R51">IFERROR(Q51 / IF(OR(_xlfn.IFNA(_xlfn.XLOOKUP(E51, Move_List!$A:$A, Move_List!$C:$C), "")={"Dynamax","Mega"}), G51*1.2, G51), 0)</f>
        <v>63.707868923611109</v>
      </c>
    </row>
    <row r="52" spans="1:18" ht="12.75">
      <c r="A52" s="4" t="s">
        <v>130</v>
      </c>
      <c r="B52" s="5" t="s">
        <v>131</v>
      </c>
      <c r="C52" s="5" t="str">
        <f>_xlfn.XLOOKUP(A52,Stars!A:A,Stars!C:C)</f>
        <v>4-star</v>
      </c>
      <c r="D52" s="5" t="s">
        <v>538</v>
      </c>
      <c r="E52" s="5"/>
      <c r="F52" s="15">
        <v>0.7</v>
      </c>
      <c r="G52" s="16">
        <v>90</v>
      </c>
      <c r="H52" s="16">
        <v>99</v>
      </c>
      <c r="I52" s="16">
        <v>84</v>
      </c>
      <c r="J52" s="16">
        <v>73</v>
      </c>
      <c r="K52" s="16">
        <v>51</v>
      </c>
      <c r="L52" s="16">
        <v>48</v>
      </c>
      <c r="M52" s="16">
        <v>92</v>
      </c>
      <c r="N52" s="16" cm="1">
        <f t="array" ref="N52">IFERROR(_xlfn.XLOOKUP(D52, Move_List!$A:$A, Move_List!$D:$D) * _xlfn.IFS(UPPER(TRIM(_xlfn.XLOOKUP(D52, Move_List!$A:$A, Move_List!$C:$C)))="PHYSICAL", K52, UPPER(TRIM(_xlfn.XLOOKUP(D52, Move_List!$A:$A, Move_List!$C:$C)))="SPECIAL", I52, TRUE, 0), 0)</f>
        <v>9240</v>
      </c>
      <c r="O52" s="16" cm="1">
        <f t="array" ref="O52">IFERROR(
  _xlfn.XLOOKUP(D52, Move_List!$A:$A, Move_List!$D:$D) * _xlfn.IFS(
    ISNUMBER(SEARCH("Max", E52)),
      LOOKUP(_xlfn.XLOOKUP(D52, Move_List!$A:$A, Move_List!$D:$D), {0,60,80,110,150}, {2.5,1.83,1.63,1.27,1}),
    E52&lt;&gt;"",
      LOOKUP(_xlfn.XLOOKUP(D52, Move_List!$A:$A, Move_List!$D:$D), {0,60,80,90,100,110,120,150}, {2.5,2,2,1.94,1.8,1.68,1.58,1.33}),
    TRUE, 0
  ) * IF(_xlfn.XLOOKUP(D52, Move_List!$A:$A, Move_List!$C:$C)="Physical", K52, I52),
0)</f>
        <v>0</v>
      </c>
      <c r="P52" s="16">
        <f t="shared" si="2"/>
        <v>71</v>
      </c>
      <c r="Q52" s="16">
        <f t="shared" si="3"/>
        <v>6560.4</v>
      </c>
      <c r="R52" s="17" cm="1">
        <f t="array" ref="R52">IFERROR(Q52 / IF(OR(_xlfn.IFNA(_xlfn.XLOOKUP(E52, Move_List!$A:$A, Move_List!$C:$C), "")={"Dynamax","Mega"}), G52*1.2, G52), 0)</f>
        <v>72.893333333333331</v>
      </c>
    </row>
    <row r="53" spans="1:18" ht="12.75">
      <c r="A53" s="4" t="s">
        <v>147</v>
      </c>
      <c r="B53" s="5" t="s">
        <v>16</v>
      </c>
      <c r="C53" s="5" t="str">
        <f>_xlfn.XLOOKUP(A53,Stars!A:A,Stars!C:C)</f>
        <v>3-star</v>
      </c>
      <c r="D53" s="5" t="s">
        <v>1420</v>
      </c>
      <c r="E53" s="5"/>
      <c r="F53" s="15">
        <v>1</v>
      </c>
      <c r="G53" s="16">
        <v>72</v>
      </c>
      <c r="H53" s="16">
        <v>39</v>
      </c>
      <c r="I53" s="16">
        <v>39</v>
      </c>
      <c r="J53" s="16">
        <v>54</v>
      </c>
      <c r="K53" s="16">
        <v>81</v>
      </c>
      <c r="L53" s="16">
        <v>54</v>
      </c>
      <c r="M53" s="16">
        <v>96</v>
      </c>
      <c r="N53" s="16" cm="1">
        <f t="array" ref="N53">IFERROR(_xlfn.XLOOKUP(D53, Move_List!$A:$A, Move_List!$D:$D) * _xlfn.IFS(UPPER(TRIM(_xlfn.XLOOKUP(D53, Move_List!$A:$A, Move_List!$C:$C)))="PHYSICAL", K53, UPPER(TRIM(_xlfn.XLOOKUP(D53, Move_List!$A:$A, Move_List!$C:$C)))="SPECIAL", I53, TRUE, 0), 0)</f>
        <v>7695</v>
      </c>
      <c r="O53" s="16" cm="1">
        <f t="array" ref="O53">IFERROR(
  _xlfn.XLOOKUP(D53, Move_List!$A:$A, Move_List!$D:$D) * _xlfn.IFS(
    ISNUMBER(SEARCH("Max", E53)),
      LOOKUP(_xlfn.XLOOKUP(D53, Move_List!$A:$A, Move_List!$D:$D), {0,60,80,110,150}, {2.5,1.83,1.63,1.27,1}),
    E53&lt;&gt;"",
      LOOKUP(_xlfn.XLOOKUP(D53, Move_List!$A:$A, Move_List!$D:$D), {0,60,80,90,100,110,120,150}, {2.5,2,2,1.94,1.8,1.68,1.58,1.33}),
    TRUE, 0
  ) * IF(_xlfn.XLOOKUP(D53, Move_List!$A:$A, Move_List!$C:$C)="Physical", K53, I53),
0)</f>
        <v>0</v>
      </c>
      <c r="P53" s="16">
        <f t="shared" si="2"/>
        <v>68</v>
      </c>
      <c r="Q53" s="16">
        <f t="shared" si="3"/>
        <v>5232.6000000000004</v>
      </c>
      <c r="R53" s="17" cm="1">
        <f t="array" ref="R53">IFERROR(Q53 / IF(OR(_xlfn.IFNA(_xlfn.XLOOKUP(E53, Move_List!$A:$A, Move_List!$C:$C), "")={"Dynamax","Mega"}), G53*1.2, G53), 0)</f>
        <v>72.675000000000011</v>
      </c>
    </row>
    <row r="54" spans="1:18" ht="12.75">
      <c r="A54" s="4" t="s">
        <v>132</v>
      </c>
      <c r="B54" s="5" t="s">
        <v>133</v>
      </c>
      <c r="C54" s="5" t="str">
        <f>_xlfn.XLOOKUP(A54,Stars!A:A,Stars!C:C)</f>
        <v>4-star</v>
      </c>
      <c r="D54" s="5" t="s">
        <v>32</v>
      </c>
      <c r="E54" s="5"/>
      <c r="F54" s="15">
        <v>1</v>
      </c>
      <c r="G54" s="16">
        <v>92</v>
      </c>
      <c r="H54" s="16">
        <v>86</v>
      </c>
      <c r="I54" s="16">
        <v>101</v>
      </c>
      <c r="J54" s="16">
        <v>75</v>
      </c>
      <c r="K54" s="16">
        <v>53</v>
      </c>
      <c r="L54" s="16">
        <v>49</v>
      </c>
      <c r="M54" s="16">
        <v>95</v>
      </c>
      <c r="N54" s="16" cm="1">
        <f t="array" ref="N54">IFERROR(_xlfn.XLOOKUP(D54, Move_List!$A:$A, Move_List!$D:$D) * _xlfn.IFS(UPPER(TRIM(_xlfn.XLOOKUP(D54, Move_List!$A:$A, Move_List!$C:$C)))="PHYSICAL", K54, UPPER(TRIM(_xlfn.XLOOKUP(D54, Move_List!$A:$A, Move_List!$C:$C)))="SPECIAL", I54, TRUE, 0), 0)</f>
        <v>9090</v>
      </c>
      <c r="O54" s="16" cm="1">
        <f t="array" ref="O54">IFERROR(
  _xlfn.XLOOKUP(D54, Move_List!$A:$A, Move_List!$D:$D) * _xlfn.IFS(
    ISNUMBER(SEARCH("Max", E54)),
      LOOKUP(_xlfn.XLOOKUP(D54, Move_List!$A:$A, Move_List!$D:$D), {0,60,80,110,150}, {2.5,1.83,1.63,1.27,1}),
    E54&lt;&gt;"",
      LOOKUP(_xlfn.XLOOKUP(D54, Move_List!$A:$A, Move_List!$D:$D), {0,60,80,90,100,110,120,150}, {2.5,2,2,1.94,1.8,1.68,1.58,1.33}),
    TRUE, 0
  ) * IF(_xlfn.XLOOKUP(D54, Move_List!$A:$A, Move_List!$C:$C)="Physical", K54, I54),
0)</f>
        <v>0</v>
      </c>
      <c r="P54" s="16">
        <f t="shared" si="2"/>
        <v>73</v>
      </c>
      <c r="Q54" s="16">
        <f t="shared" si="3"/>
        <v>6635.7</v>
      </c>
      <c r="R54" s="17" cm="1">
        <f t="array" ref="R54">IFERROR(Q54 / IF(OR(_xlfn.IFNA(_xlfn.XLOOKUP(E54, Move_List!$A:$A, Move_List!$C:$C), "")={"Dynamax","Mega"}), G54*1.2, G54), 0)</f>
        <v>72.127173913043478</v>
      </c>
    </row>
    <row r="55" spans="1:18" ht="12.75">
      <c r="A55" s="6" t="s">
        <v>306</v>
      </c>
      <c r="B55" s="5" t="s">
        <v>14</v>
      </c>
      <c r="C55" s="5" t="str">
        <f>_xlfn.XLOOKUP(A55,Stars!A:A,Stars!C:C)</f>
        <v>4-star</v>
      </c>
      <c r="D55" s="19" t="s">
        <v>32</v>
      </c>
      <c r="E55" s="19"/>
      <c r="F55" s="15">
        <v>1</v>
      </c>
      <c r="G55" s="5">
        <v>88</v>
      </c>
      <c r="H55" s="5">
        <v>93</v>
      </c>
      <c r="I55" s="5">
        <v>106</v>
      </c>
      <c r="J55" s="5">
        <v>75</v>
      </c>
      <c r="K55" s="5">
        <v>41</v>
      </c>
      <c r="L55" s="5">
        <v>37</v>
      </c>
      <c r="M55" s="5">
        <v>87</v>
      </c>
      <c r="N55" s="16" cm="1">
        <f t="array" ref="N55">IFERROR(_xlfn.XLOOKUP(D55, Move_List!$A:$A, Move_List!$D:$D) * _xlfn.IFS(UPPER(TRIM(_xlfn.XLOOKUP(D55, Move_List!$A:$A, Move_List!$C:$C)))="PHYSICAL", K55, UPPER(TRIM(_xlfn.XLOOKUP(D55, Move_List!$A:$A, Move_List!$C:$C)))="SPECIAL", I55, TRUE, 0), 0)</f>
        <v>9540</v>
      </c>
      <c r="O55" s="16" cm="1">
        <f t="array" ref="O55">IFERROR(
  _xlfn.XLOOKUP(D55, Move_List!$A:$A, Move_List!$D:$D) * _xlfn.IFS(
    ISNUMBER(SEARCH("Max", E55)),
      LOOKUP(_xlfn.XLOOKUP(D55, Move_List!$A:$A, Move_List!$D:$D), {0,60,80,110,150}, {2.5,1.83,1.63,1.27,1}),
    E55&lt;&gt;"",
      LOOKUP(_xlfn.XLOOKUP(D55, Move_List!$A:$A, Move_List!$D:$D), {0,60,80,90,100,110,120,150}, {2.5,2,2,1.94,1.8,1.68,1.58,1.33}),
    TRUE, 0
  ) * IF(_xlfn.XLOOKUP(D55, Move_List!$A:$A, Move_List!$C:$C)="Physical", K55, I55),
0)</f>
        <v>0</v>
      </c>
      <c r="P55" s="16">
        <f t="shared" si="2"/>
        <v>66.333333333333329</v>
      </c>
      <c r="Q55" s="16">
        <f t="shared" si="3"/>
        <v>6328.2</v>
      </c>
      <c r="R55" s="17" cm="1">
        <f t="array" ref="R55">IFERROR(Q55 / IF(OR(_xlfn.IFNA(_xlfn.XLOOKUP(E55, Move_List!$A:$A, Move_List!$C:$C), "")={"Dynamax","Mega"}), G55*1.2, G55), 0)</f>
        <v>71.911363636363632</v>
      </c>
    </row>
    <row r="56" spans="1:18" ht="12.75">
      <c r="A56" s="4" t="s">
        <v>151</v>
      </c>
      <c r="B56" s="5" t="s">
        <v>24</v>
      </c>
      <c r="C56" s="5" t="str">
        <f>_xlfn.XLOOKUP(A56,Stars!A:A,Stars!C:C)</f>
        <v>4-star</v>
      </c>
      <c r="D56" s="5" t="s">
        <v>493</v>
      </c>
      <c r="E56" s="5"/>
      <c r="F56" s="15">
        <v>1</v>
      </c>
      <c r="G56" s="16">
        <v>84</v>
      </c>
      <c r="H56" s="16">
        <v>24</v>
      </c>
      <c r="I56" s="16">
        <v>77</v>
      </c>
      <c r="J56" s="16">
        <v>62</v>
      </c>
      <c r="K56" s="16">
        <v>59</v>
      </c>
      <c r="L56" s="16">
        <v>84</v>
      </c>
      <c r="M56" s="16">
        <v>114</v>
      </c>
      <c r="N56" s="16" cm="1">
        <f t="array" ref="N56">IFERROR(_xlfn.XLOOKUP(D56, Move_List!$A:$A, Move_List!$D:$D) * _xlfn.IFS(UPPER(TRIM(_xlfn.XLOOKUP(D56, Move_List!$A:$A, Move_List!$C:$C)))="PHYSICAL", K56, UPPER(TRIM(_xlfn.XLOOKUP(D56, Move_List!$A:$A, Move_List!$C:$C)))="SPECIAL", I56, TRUE, 0), 0)</f>
        <v>6930</v>
      </c>
      <c r="O56" s="16" cm="1">
        <f t="array" ref="O56">IFERROR(
  _xlfn.XLOOKUP(D56, Move_List!$A:$A, Move_List!$D:$D) * _xlfn.IFS(
    ISNUMBER(SEARCH("Max", E56)),
      LOOKUP(_xlfn.XLOOKUP(D56, Move_List!$A:$A, Move_List!$D:$D), {0,60,80,110,150}, {2.5,1.83,1.63,1.27,1}),
    E56&lt;&gt;"",
      LOOKUP(_xlfn.XLOOKUP(D56, Move_List!$A:$A, Move_List!$D:$D), {0,60,80,90,100,110,120,150}, {2.5,2,2,1.94,1.8,1.68,1.58,1.33}),
    TRUE, 0
  ) * IF(_xlfn.XLOOKUP(D56, Move_List!$A:$A, Move_List!$C:$C)="Physical", K56, I56),
0)</f>
        <v>0</v>
      </c>
      <c r="P56" s="16">
        <f t="shared" si="2"/>
        <v>86.666666666666671</v>
      </c>
      <c r="Q56" s="16">
        <f t="shared" si="3"/>
        <v>6006</v>
      </c>
      <c r="R56" s="17" cm="1">
        <f t="array" ref="R56">IFERROR(Q56 / IF(OR(_xlfn.IFNA(_xlfn.XLOOKUP(E56, Move_List!$A:$A, Move_List!$C:$C), "")={"Dynamax","Mega"}), G56*1.2, G56), 0)</f>
        <v>71.5</v>
      </c>
    </row>
    <row r="57" spans="1:18" ht="12.75">
      <c r="A57" s="6" t="s">
        <v>231</v>
      </c>
      <c r="B57" s="18" t="s">
        <v>232</v>
      </c>
      <c r="C57" s="5" t="str">
        <f>_xlfn.XLOOKUP(A57,Stars!A:A,Stars!C:C)</f>
        <v>5-star</v>
      </c>
      <c r="D57" s="19" t="s">
        <v>1578</v>
      </c>
      <c r="E57" s="19"/>
      <c r="F57" s="20">
        <v>1</v>
      </c>
      <c r="G57" s="5">
        <v>110</v>
      </c>
      <c r="H57" s="16">
        <v>72</v>
      </c>
      <c r="I57" s="16">
        <v>96</v>
      </c>
      <c r="J57" s="16">
        <v>62</v>
      </c>
      <c r="K57" s="16">
        <v>110</v>
      </c>
      <c r="L57" s="16">
        <v>81</v>
      </c>
      <c r="M57" s="16">
        <v>125</v>
      </c>
      <c r="N57" s="16" cm="1">
        <f t="array" ref="N57">IFERROR(_xlfn.XLOOKUP(D57, Move_List!$A:$A, Move_List!$D:$D) * _xlfn.IFS(UPPER(TRIM(_xlfn.XLOOKUP(D57, Move_List!$A:$A, Move_List!$C:$C)))="PHYSICAL", K57, UPPER(TRIM(_xlfn.XLOOKUP(D57, Move_List!$A:$A, Move_List!$C:$C)))="SPECIAL", I57, TRUE, 0), 0)</f>
        <v>8800</v>
      </c>
      <c r="O57" s="16" cm="1">
        <f t="array" ref="O57">IFERROR(
  _xlfn.XLOOKUP(D57, Move_List!$A:$A, Move_List!$D:$D) * _xlfn.IFS(
    ISNUMBER(SEARCH("Max", E57)),
      LOOKUP(_xlfn.XLOOKUP(D57, Move_List!$A:$A, Move_List!$D:$D), {0,60,80,110,150}, {2.5,1.83,1.63,1.27,1}),
    E57&lt;&gt;"",
      LOOKUP(_xlfn.XLOOKUP(D57, Move_List!$A:$A, Move_List!$D:$D), {0,60,80,90,100,110,120,150}, {2.5,2,2,1.94,1.8,1.68,1.58,1.33}),
    TRUE, 0
  ) * IF(_xlfn.XLOOKUP(D57, Move_List!$A:$A, Move_List!$C:$C)="Physical", K57, I57),
0)</f>
        <v>0</v>
      </c>
      <c r="P57" s="16">
        <f t="shared" si="2"/>
        <v>89.333333333333329</v>
      </c>
      <c r="Q57" s="16">
        <f t="shared" si="3"/>
        <v>7861.333333333333</v>
      </c>
      <c r="R57" s="17" cm="1">
        <f t="array" ref="R57">IFERROR(Q57 / IF(OR(_xlfn.IFNA(_xlfn.XLOOKUP(E57, Move_List!$A:$A, Move_List!$C:$C), "")={"Dynamax","Mega"}), G57*1.2, G57), 0)</f>
        <v>71.466666666666669</v>
      </c>
    </row>
    <row r="58" spans="1:18" ht="12.75">
      <c r="A58" s="6" t="s">
        <v>217</v>
      </c>
      <c r="B58" s="5" t="s">
        <v>2</v>
      </c>
      <c r="C58" s="5" t="str">
        <f>_xlfn.XLOOKUP(A58,Stars!A:A,Stars!C:C)</f>
        <v>5-star</v>
      </c>
      <c r="D58" s="19" t="s">
        <v>1034</v>
      </c>
      <c r="E58" s="19"/>
      <c r="F58" s="20">
        <v>1</v>
      </c>
      <c r="G58" s="5">
        <v>118</v>
      </c>
      <c r="H58" s="16">
        <v>91</v>
      </c>
      <c r="I58" s="16">
        <v>115</v>
      </c>
      <c r="J58" s="16">
        <v>72</v>
      </c>
      <c r="K58" s="16">
        <v>110</v>
      </c>
      <c r="L58" s="16">
        <v>72</v>
      </c>
      <c r="M58" s="16">
        <v>125</v>
      </c>
      <c r="N58" s="16" cm="1">
        <f t="array" ref="N58">IFERROR(_xlfn.XLOOKUP(D58, Move_List!$A:$A, Move_List!$D:$D) * _xlfn.IFS(UPPER(TRIM(_xlfn.XLOOKUP(D58, Move_List!$A:$A, Move_List!$C:$C)))="PHYSICAL", K58, UPPER(TRIM(_xlfn.XLOOKUP(D58, Move_List!$A:$A, Move_List!$C:$C)))="SPECIAL", I58, TRUE, 0), 0)</f>
        <v>9200</v>
      </c>
      <c r="O58" s="16" cm="1">
        <f t="array" ref="O58">IFERROR(
  _xlfn.XLOOKUP(D58, Move_List!$A:$A, Move_List!$D:$D) * _xlfn.IFS(
    ISNUMBER(SEARCH("Max", E58)),
      LOOKUP(_xlfn.XLOOKUP(D58, Move_List!$A:$A, Move_List!$D:$D), {0,60,80,110,150}, {2.5,1.83,1.63,1.27,1}),
    E58&lt;&gt;"",
      LOOKUP(_xlfn.XLOOKUP(D58, Move_List!$A:$A, Move_List!$D:$D), {0,60,80,90,100,110,120,150}, {2.5,2,2,1.94,1.8,1.68,1.58,1.33}),
    TRUE, 0
  ) * IF(_xlfn.XLOOKUP(D58, Move_List!$A:$A, Move_List!$C:$C)="Physical", K58, I58),
0)</f>
        <v>0</v>
      </c>
      <c r="P58" s="16">
        <f t="shared" si="2"/>
        <v>89.666666666666671</v>
      </c>
      <c r="Q58" s="16">
        <f t="shared" si="3"/>
        <v>8249.3333333333339</v>
      </c>
      <c r="R58" s="17" cm="1">
        <f t="array" ref="R58">IFERROR(Q58 / IF(OR(_xlfn.IFNA(_xlfn.XLOOKUP(E58, Move_List!$A:$A, Move_List!$C:$C), "")={"Dynamax","Mega"}), G58*1.2, G58), 0)</f>
        <v>69.909604519774021</v>
      </c>
    </row>
    <row r="59" spans="1:18" ht="12.75">
      <c r="A59" s="4" t="s">
        <v>100</v>
      </c>
      <c r="B59" s="5" t="s">
        <v>101</v>
      </c>
      <c r="C59" s="5" t="str">
        <f>_xlfn.XLOOKUP(A59,Stars!A:A,Stars!C:C)</f>
        <v>3-star</v>
      </c>
      <c r="D59" s="5" t="s">
        <v>488</v>
      </c>
      <c r="E59" s="5"/>
      <c r="F59" s="15">
        <v>1</v>
      </c>
      <c r="G59" s="16">
        <v>84</v>
      </c>
      <c r="H59" s="16">
        <v>46</v>
      </c>
      <c r="I59" s="16">
        <v>80</v>
      </c>
      <c r="J59" s="16">
        <v>53</v>
      </c>
      <c r="K59" s="16">
        <v>51</v>
      </c>
      <c r="L59" s="16">
        <v>70</v>
      </c>
      <c r="M59" s="16">
        <v>120</v>
      </c>
      <c r="N59" s="16" cm="1">
        <f t="array" ref="N59">IFERROR(_xlfn.XLOOKUP(D59, Move_List!$A:$A, Move_List!$D:$D) * _xlfn.IFS(UPPER(TRIM(_xlfn.XLOOKUP(D59, Move_List!$A:$A, Move_List!$C:$C)))="PHYSICAL", K59, UPPER(TRIM(_xlfn.XLOOKUP(D59, Move_List!$A:$A, Move_List!$C:$C)))="SPECIAL", I59, TRUE, 0), 0)</f>
        <v>7200</v>
      </c>
      <c r="O59" s="16" cm="1">
        <f t="array" ref="O59">IFERROR(
  _xlfn.XLOOKUP(D59, Move_List!$A:$A, Move_List!$D:$D) * _xlfn.IFS(
    ISNUMBER(SEARCH("Max", E59)),
      LOOKUP(_xlfn.XLOOKUP(D59, Move_List!$A:$A, Move_List!$D:$D), {0,60,80,110,150}, {2.5,1.83,1.63,1.27,1}),
    E59&lt;&gt;"",
      LOOKUP(_xlfn.XLOOKUP(D59, Move_List!$A:$A, Move_List!$D:$D), {0,60,80,90,100,110,120,150}, {2.5,2,2,1.94,1.8,1.68,1.58,1.33}),
    TRUE, 0
  ) * IF(_xlfn.XLOOKUP(D59, Move_List!$A:$A, Move_List!$C:$C)="Physical", K59, I59),
0)</f>
        <v>0</v>
      </c>
      <c r="P59" s="16">
        <f t="shared" si="2"/>
        <v>81</v>
      </c>
      <c r="Q59" s="16">
        <f t="shared" si="3"/>
        <v>5832</v>
      </c>
      <c r="R59" s="17" cm="1">
        <f t="array" ref="R59">IFERROR(Q59 / IF(OR(_xlfn.IFNA(_xlfn.XLOOKUP(E59, Move_List!$A:$A, Move_List!$C:$C), "")={"Dynamax","Mega"}), G59*1.2, G59), 0)</f>
        <v>69.428571428571431</v>
      </c>
    </row>
    <row r="60" spans="1:18" ht="12.75">
      <c r="A60" s="4" t="s">
        <v>110</v>
      </c>
      <c r="B60" s="5" t="s">
        <v>81</v>
      </c>
      <c r="C60" s="5" t="str">
        <f>_xlfn.XLOOKUP(A60,Stars!A:A,Stars!C:C)</f>
        <v>4-star</v>
      </c>
      <c r="D60" s="5" t="s">
        <v>1568</v>
      </c>
      <c r="E60" s="5"/>
      <c r="F60" s="15">
        <v>1</v>
      </c>
      <c r="G60" s="16">
        <v>90</v>
      </c>
      <c r="H60" s="16">
        <v>66</v>
      </c>
      <c r="I60" s="16">
        <v>48</v>
      </c>
      <c r="J60" s="16">
        <v>55</v>
      </c>
      <c r="K60" s="16">
        <v>95</v>
      </c>
      <c r="L60" s="16">
        <v>69</v>
      </c>
      <c r="M60" s="16">
        <v>118</v>
      </c>
      <c r="N60" s="16" cm="1">
        <f t="array" ref="N60">IFERROR(_xlfn.XLOOKUP(D60, Move_List!$A:$A, Move_List!$D:$D) * _xlfn.IFS(UPPER(TRIM(_xlfn.XLOOKUP(D60, Move_List!$A:$A, Move_List!$C:$C)))="PHYSICAL", K60, UPPER(TRIM(_xlfn.XLOOKUP(D60, Move_List!$A:$A, Move_List!$C:$C)))="SPECIAL", I60, TRUE, 0), 0)</f>
        <v>7600</v>
      </c>
      <c r="O60" s="16" cm="1">
        <f t="array" ref="O60">IFERROR(
  _xlfn.XLOOKUP(D60, Move_List!$A:$A, Move_List!$D:$D) * _xlfn.IFS(
    ISNUMBER(SEARCH("Max", E60)),
      LOOKUP(_xlfn.XLOOKUP(D60, Move_List!$A:$A, Move_List!$D:$D), {0,60,80,110,150}, {2.5,1.83,1.63,1.27,1}),
    E60&lt;&gt;"",
      LOOKUP(_xlfn.XLOOKUP(D60, Move_List!$A:$A, Move_List!$D:$D), {0,60,80,90,100,110,120,150}, {2.5,2,2,1.94,1.8,1.68,1.58,1.33}),
    TRUE, 0
  ) * IF(_xlfn.XLOOKUP(D60, Move_List!$A:$A, Move_List!$C:$C)="Physical", K60, I60),
0)</f>
        <v>0</v>
      </c>
      <c r="P60" s="16">
        <f t="shared" si="2"/>
        <v>80.666666666666671</v>
      </c>
      <c r="Q60" s="16">
        <f t="shared" si="3"/>
        <v>6130.666666666667</v>
      </c>
      <c r="R60" s="17" cm="1">
        <f t="array" ref="R60">IFERROR(Q60 / IF(OR(_xlfn.IFNA(_xlfn.XLOOKUP(E60, Move_List!$A:$A, Move_List!$C:$C), "")={"Dynamax","Mega"}), G60*1.2, G60), 0)</f>
        <v>68.118518518518528</v>
      </c>
    </row>
    <row r="61" spans="1:18" ht="12.75">
      <c r="A61" s="6" t="s">
        <v>285</v>
      </c>
      <c r="B61" s="5" t="s">
        <v>6</v>
      </c>
      <c r="C61" s="5" t="str">
        <f>_xlfn.XLOOKUP(A61,Stars!A:A,Stars!C:C)</f>
        <v>4-star</v>
      </c>
      <c r="D61" s="19" t="s">
        <v>1262</v>
      </c>
      <c r="E61" s="19"/>
      <c r="F61" s="15">
        <v>0.9</v>
      </c>
      <c r="G61" s="5">
        <v>78</v>
      </c>
      <c r="H61" s="5">
        <v>51</v>
      </c>
      <c r="I61" s="5">
        <v>20</v>
      </c>
      <c r="J61" s="5">
        <v>51</v>
      </c>
      <c r="K61" s="5">
        <v>77</v>
      </c>
      <c r="L61" s="5">
        <v>92</v>
      </c>
      <c r="M61" s="5">
        <v>100</v>
      </c>
      <c r="N61" s="16" cm="1">
        <f t="array" ref="N61">IFERROR(_xlfn.XLOOKUP(D61, Move_List!$A:$A, Move_List!$D:$D) * _xlfn.IFS(UPPER(TRIM(_xlfn.XLOOKUP(D61, Move_List!$A:$A, Move_List!$C:$C)))="PHYSICAL", K61, UPPER(TRIM(_xlfn.XLOOKUP(D61, Move_List!$A:$A, Move_List!$C:$C)))="SPECIAL", I61, TRUE, 0), 0)</f>
        <v>6545</v>
      </c>
      <c r="O61" s="16" cm="1">
        <f t="array" ref="O61">IFERROR(
  _xlfn.XLOOKUP(D61, Move_List!$A:$A, Move_List!$D:$D) * _xlfn.IFS(
    ISNUMBER(SEARCH("Max", E61)),
      LOOKUP(_xlfn.XLOOKUP(D61, Move_List!$A:$A, Move_List!$D:$D), {0,60,80,110,150}, {2.5,1.83,1.63,1.27,1}),
    E61&lt;&gt;"",
      LOOKUP(_xlfn.XLOOKUP(D61, Move_List!$A:$A, Move_List!$D:$D), {0,60,80,90,100,110,120,150}, {2.5,2,2,1.94,1.8,1.68,1.58,1.33}),
    TRUE, 0
  ) * IF(_xlfn.XLOOKUP(D61, Move_List!$A:$A, Move_List!$C:$C)="Physical", K61, I61),
0)</f>
        <v>0</v>
      </c>
      <c r="P61" s="16">
        <f t="shared" si="2"/>
        <v>81</v>
      </c>
      <c r="Q61" s="16">
        <f t="shared" si="3"/>
        <v>5301.4500000000007</v>
      </c>
      <c r="R61" s="17" cm="1">
        <f t="array" ref="R61">IFERROR(Q61 / IF(OR(_xlfn.IFNA(_xlfn.XLOOKUP(E61, Move_List!$A:$A, Move_List!$C:$C), "")={"Dynamax","Mega"}), G61*1.2, G61), 0)</f>
        <v>67.967307692307699</v>
      </c>
    </row>
    <row r="62" spans="1:18" ht="12.75">
      <c r="A62" s="4" t="s">
        <v>85</v>
      </c>
      <c r="B62" s="18" t="s">
        <v>23</v>
      </c>
      <c r="C62" s="5" t="str">
        <f>_xlfn.XLOOKUP(A62,Stars!A:A,Stars!C:C)</f>
        <v>5-star</v>
      </c>
      <c r="D62" s="5" t="s">
        <v>1530</v>
      </c>
      <c r="E62" s="5"/>
      <c r="F62" s="15">
        <v>1</v>
      </c>
      <c r="G62" s="16">
        <v>108</v>
      </c>
      <c r="H62" s="16">
        <v>110</v>
      </c>
      <c r="I62" s="16">
        <v>115</v>
      </c>
      <c r="J62" s="16">
        <v>62</v>
      </c>
      <c r="K62" s="16">
        <v>79</v>
      </c>
      <c r="L62" s="16">
        <v>62</v>
      </c>
      <c r="M62" s="16">
        <v>115</v>
      </c>
      <c r="N62" s="16" cm="1">
        <f t="array" ref="N62">IFERROR(_xlfn.XLOOKUP(D62, Move_List!$A:$A, Move_List!$D:$D) * _xlfn.IFS(UPPER(TRIM(_xlfn.XLOOKUP(D62, Move_List!$A:$A, Move_List!$C:$C)))="PHYSICAL", K62, UPPER(TRIM(_xlfn.XLOOKUP(D62, Move_List!$A:$A, Move_List!$C:$C)))="SPECIAL", I62, TRUE, 0), 0)</f>
        <v>9200</v>
      </c>
      <c r="O62" s="16" cm="1">
        <f t="array" ref="O62">IFERROR(
  _xlfn.XLOOKUP(D62, Move_List!$A:$A, Move_List!$D:$D) * _xlfn.IFS(
    ISNUMBER(SEARCH("Max", E62)),
      LOOKUP(_xlfn.XLOOKUP(D62, Move_List!$A:$A, Move_List!$D:$D), {0,60,80,110,150}, {2.5,1.83,1.63,1.27,1}),
    E62&lt;&gt;"",
      LOOKUP(_xlfn.XLOOKUP(D62, Move_List!$A:$A, Move_List!$D:$D), {0,60,80,90,100,110,120,150}, {2.5,2,2,1.94,1.8,1.68,1.58,1.33}),
    TRUE, 0
  ) * IF(_xlfn.XLOOKUP(D62, Move_List!$A:$A, Move_List!$C:$C)="Physical", K62, I62),
0)</f>
        <v>0</v>
      </c>
      <c r="P62" s="16">
        <f t="shared" si="2"/>
        <v>79.666666666666671</v>
      </c>
      <c r="Q62" s="16">
        <f t="shared" si="3"/>
        <v>7329.3333333333339</v>
      </c>
      <c r="R62" s="17" cm="1">
        <f t="array" ref="R62">IFERROR(Q62 / IF(OR(_xlfn.IFNA(_xlfn.XLOOKUP(E62, Move_List!$A:$A, Move_List!$C:$C), "")={"Dynamax","Mega"}), G62*1.2, G62), 0)</f>
        <v>67.864197530864203</v>
      </c>
    </row>
    <row r="63" spans="1:18" ht="12.75">
      <c r="A63" s="4" t="s">
        <v>75</v>
      </c>
      <c r="B63" s="5" t="s">
        <v>396</v>
      </c>
      <c r="C63" s="5" t="str">
        <f>_xlfn.XLOOKUP(A63,Stars!A:A,Stars!C:C)</f>
        <v>5-star</v>
      </c>
      <c r="D63" s="5" t="s">
        <v>536</v>
      </c>
      <c r="E63" s="5" t="s">
        <v>1549</v>
      </c>
      <c r="F63" s="15">
        <v>1</v>
      </c>
      <c r="G63" s="16">
        <v>96</v>
      </c>
      <c r="H63" s="16">
        <v>114</v>
      </c>
      <c r="I63" s="16">
        <v>66</v>
      </c>
      <c r="J63" s="16">
        <v>66</v>
      </c>
      <c r="K63" s="16">
        <v>72</v>
      </c>
      <c r="L63" s="16">
        <v>53</v>
      </c>
      <c r="M63" s="16">
        <v>113</v>
      </c>
      <c r="N63" s="16" cm="1">
        <f t="array" ref="N63">IFERROR(_xlfn.XLOOKUP(D63, Move_List!$A:$A, Move_List!$D:$D) * _xlfn.IFS(UPPER(TRIM(_xlfn.XLOOKUP(D63, Move_List!$A:$A, Move_List!$C:$C)))="PHYSICAL", K63, UPPER(TRIM(_xlfn.XLOOKUP(D63, Move_List!$A:$A, Move_List!$C:$C)))="SPECIAL", I63, TRUE, 0), 0)</f>
        <v>5940</v>
      </c>
      <c r="O63" s="16" cm="1">
        <f t="array" ref="O63">IFERROR(
  _xlfn.XLOOKUP(D63, Move_List!$A:$A, Move_List!$D:$D) * _xlfn.IFS(
    ISNUMBER(SEARCH("Max", E63)),
      LOOKUP(_xlfn.XLOOKUP(D63, Move_List!$A:$A, Move_List!$D:$D), {0,60,80,110,150}, {2.5,1.83,1.63,1.27,1}),
    E63&lt;&gt;"",
      LOOKUP(_xlfn.XLOOKUP(D63, Move_List!$A:$A, Move_List!$D:$D), {0,60,80,90,100,110,120,150}, {2.5,2,2,1.94,1.8,1.68,1.58,1.33}),
    TRUE, 0
  ) * IF(_xlfn.XLOOKUP(D63, Move_List!$A:$A, Move_List!$C:$C)="Physical", K63, I63),
0)</f>
        <v>9682.1999999999989</v>
      </c>
      <c r="P63" s="16">
        <f t="shared" si="2"/>
        <v>77.333333333333329</v>
      </c>
      <c r="Q63" s="16">
        <f t="shared" si="3"/>
        <v>6040.5839999999998</v>
      </c>
      <c r="R63" s="17" cm="1">
        <f t="array" ref="R63">IFERROR(Q63 / IF(OR(_xlfn.IFNA(_xlfn.XLOOKUP(E63, Move_List!$A:$A, Move_List!$C:$C), "")={"Dynamax","Mega"}), G63*1.2, G63), 0)</f>
        <v>62.922750000000001</v>
      </c>
    </row>
    <row r="64" spans="1:18" ht="12.75">
      <c r="A64" s="4" t="s">
        <v>57</v>
      </c>
      <c r="B64" s="5" t="s">
        <v>58</v>
      </c>
      <c r="C64" s="5" t="str">
        <f>_xlfn.XLOOKUP(A64,Stars!A:A,Stars!C:C)</f>
        <v>5-star</v>
      </c>
      <c r="D64" s="5" t="s">
        <v>488</v>
      </c>
      <c r="E64" s="5"/>
      <c r="F64" s="15">
        <v>1</v>
      </c>
      <c r="G64" s="16">
        <v>108</v>
      </c>
      <c r="H64" s="16">
        <v>62</v>
      </c>
      <c r="I64" s="16">
        <v>88</v>
      </c>
      <c r="J64" s="16">
        <v>101</v>
      </c>
      <c r="K64" s="16">
        <v>119</v>
      </c>
      <c r="L64" s="16">
        <v>57</v>
      </c>
      <c r="M64" s="16">
        <v>111</v>
      </c>
      <c r="N64" s="16" cm="1">
        <f t="array" ref="N64">IFERROR(_xlfn.XLOOKUP(D64, Move_List!$A:$A, Move_List!$D:$D) * _xlfn.IFS(UPPER(TRIM(_xlfn.XLOOKUP(D64, Move_List!$A:$A, Move_List!$C:$C)))="PHYSICAL", K64, UPPER(TRIM(_xlfn.XLOOKUP(D64, Move_List!$A:$A, Move_List!$C:$C)))="SPECIAL", I64, TRUE, 0), 0)</f>
        <v>7920</v>
      </c>
      <c r="O64" s="16" cm="1">
        <f t="array" ref="O64">IFERROR(
  _xlfn.XLOOKUP(D64, Move_List!$A:$A, Move_List!$D:$D) * _xlfn.IFS(
    ISNUMBER(SEARCH("Max", E64)),
      LOOKUP(_xlfn.XLOOKUP(D64, Move_List!$A:$A, Move_List!$D:$D), {0,60,80,110,150}, {2.5,1.83,1.63,1.27,1}),
    E64&lt;&gt;"",
      LOOKUP(_xlfn.XLOOKUP(D64, Move_List!$A:$A, Move_List!$D:$D), {0,60,80,90,100,110,120,150}, {2.5,2,2,1.94,1.8,1.68,1.58,1.33}),
    TRUE, 0
  ) * IF(_xlfn.XLOOKUP(D64, Move_List!$A:$A, Move_List!$C:$C)="Physical", K64, I64),
0)</f>
        <v>0</v>
      </c>
      <c r="P64" s="16">
        <f t="shared" si="2"/>
        <v>89.666666666666671</v>
      </c>
      <c r="Q64" s="16">
        <f t="shared" si="3"/>
        <v>7101.6</v>
      </c>
      <c r="R64" s="17" cm="1">
        <f t="array" ref="R64">IFERROR(Q64 / IF(OR(_xlfn.IFNA(_xlfn.XLOOKUP(E64, Move_List!$A:$A, Move_List!$C:$C), "")={"Dynamax","Mega"}), G64*1.2, G64), 0)</f>
        <v>65.75555555555556</v>
      </c>
    </row>
    <row r="65" spans="1:18" ht="12.75">
      <c r="A65" s="4" t="s">
        <v>86</v>
      </c>
      <c r="B65" s="18" t="s">
        <v>87</v>
      </c>
      <c r="C65" s="5" t="str">
        <f>_xlfn.XLOOKUP(A65,Stars!A:A,Stars!C:C)</f>
        <v>5-star</v>
      </c>
      <c r="D65" s="5" t="s">
        <v>1433</v>
      </c>
      <c r="E65" s="5"/>
      <c r="F65" s="15">
        <v>1</v>
      </c>
      <c r="G65" s="16">
        <v>112</v>
      </c>
      <c r="H65" s="16">
        <v>92</v>
      </c>
      <c r="I65" s="16">
        <v>60</v>
      </c>
      <c r="J65" s="16">
        <v>79</v>
      </c>
      <c r="K65" s="16">
        <v>87</v>
      </c>
      <c r="L65" s="16">
        <v>97</v>
      </c>
      <c r="M65" s="16">
        <v>141</v>
      </c>
      <c r="N65" s="16" cm="1">
        <f t="array" ref="N65">IFERROR(_xlfn.XLOOKUP(D65, Move_List!$A:$A, Move_List!$D:$D) * _xlfn.IFS(UPPER(TRIM(_xlfn.XLOOKUP(D65, Move_List!$A:$A, Move_List!$C:$C)))="PHYSICAL", K65, UPPER(TRIM(_xlfn.XLOOKUP(D65, Move_List!$A:$A, Move_List!$C:$C)))="SPECIAL", I65, TRUE, 0), 0)</f>
        <v>6960</v>
      </c>
      <c r="O65" s="16" cm="1">
        <f t="array" ref="O65">IFERROR(
  _xlfn.XLOOKUP(D65, Move_List!$A:$A, Move_List!$D:$D) * _xlfn.IFS(
    ISNUMBER(SEARCH("Max", E65)),
      LOOKUP(_xlfn.XLOOKUP(D65, Move_List!$A:$A, Move_List!$D:$D), {0,60,80,110,150}, {2.5,1.83,1.63,1.27,1}),
    E65&lt;&gt;"",
      LOOKUP(_xlfn.XLOOKUP(D65, Move_List!$A:$A, Move_List!$D:$D), {0,60,80,90,100,110,120,150}, {2.5,2,2,1.94,1.8,1.68,1.58,1.33}),
    TRUE, 0
  ) * IF(_xlfn.XLOOKUP(D65, Move_List!$A:$A, Move_List!$C:$C)="Physical", K65, I65),
0)</f>
        <v>0</v>
      </c>
      <c r="P65" s="16">
        <f t="shared" si="2"/>
        <v>105.66666666666667</v>
      </c>
      <c r="Q65" s="16">
        <f t="shared" si="3"/>
        <v>7354.4</v>
      </c>
      <c r="R65" s="17" cm="1">
        <f t="array" ref="R65">IFERROR(Q65 / IF(OR(_xlfn.IFNA(_xlfn.XLOOKUP(E65, Move_List!$A:$A, Move_List!$C:$C), "")={"Dynamax","Mega"}), G65*1.2, G65), 0)</f>
        <v>65.664285714285711</v>
      </c>
    </row>
    <row r="66" spans="1:18" ht="12.75">
      <c r="A66" s="6" t="s">
        <v>268</v>
      </c>
      <c r="B66" s="5" t="s">
        <v>11</v>
      </c>
      <c r="C66" s="5" t="str">
        <f>_xlfn.XLOOKUP(A66,Stars!A:A,Stars!C:C)</f>
        <v>4-star</v>
      </c>
      <c r="D66" s="19" t="s">
        <v>1072</v>
      </c>
      <c r="E66" s="19"/>
      <c r="F66" s="15">
        <v>0.9</v>
      </c>
      <c r="G66" s="5">
        <v>92</v>
      </c>
      <c r="H66" s="5">
        <v>49</v>
      </c>
      <c r="I66" s="5">
        <v>87</v>
      </c>
      <c r="J66" s="5">
        <v>79</v>
      </c>
      <c r="K66" s="5">
        <v>68</v>
      </c>
      <c r="L66" s="5">
        <v>70</v>
      </c>
      <c r="M66" s="5">
        <v>109</v>
      </c>
      <c r="N66" s="16" cm="1">
        <f t="array" ref="N66">IFERROR(_xlfn.XLOOKUP(D66, Move_List!$A:$A, Move_List!$D:$D) * _xlfn.IFS(UPPER(TRIM(_xlfn.XLOOKUP(D66, Move_List!$A:$A, Move_List!$C:$C)))="PHYSICAL", K66, UPPER(TRIM(_xlfn.XLOOKUP(D66, Move_List!$A:$A, Move_List!$C:$C)))="SPECIAL", I66, TRUE, 0), 0)</f>
        <v>6960</v>
      </c>
      <c r="O66" s="16" cm="1">
        <f t="array" ref="O66">IFERROR(
  _xlfn.XLOOKUP(D66, Move_List!$A:$A, Move_List!$D:$D) * _xlfn.IFS(
    ISNUMBER(SEARCH("Max", E66)),
      LOOKUP(_xlfn.XLOOKUP(D66, Move_List!$A:$A, Move_List!$D:$D), {0,60,80,110,150}, {2.5,1.83,1.63,1.27,1}),
    E66&lt;&gt;"",
      LOOKUP(_xlfn.XLOOKUP(D66, Move_List!$A:$A, Move_List!$D:$D), {0,60,80,90,100,110,120,150}, {2.5,2,2,1.94,1.8,1.68,1.58,1.33}),
    TRUE, 0
  ) * IF(_xlfn.XLOOKUP(D66, Move_List!$A:$A, Move_List!$C:$C)="Physical", K66, I66),
0)</f>
        <v>0</v>
      </c>
      <c r="P66" s="16">
        <f t="shared" ref="P66:P97" si="4">(J66 + L66 + M66) / 3</f>
        <v>86</v>
      </c>
      <c r="Q66" s="16">
        <f t="shared" ref="Q66:Q97" si="5">IF(O66&gt;0, (N66+O66)/2, N66) * (P66 / 100)</f>
        <v>5985.5999999999995</v>
      </c>
      <c r="R66" s="17" cm="1">
        <f t="array" ref="R66">IFERROR(Q66 / IF(OR(_xlfn.IFNA(_xlfn.XLOOKUP(E66, Move_List!$A:$A, Move_List!$C:$C), "")={"Dynamax","Mega"}), G66*1.2, G66), 0)</f>
        <v>65.060869565217388</v>
      </c>
    </row>
    <row r="67" spans="1:18" ht="12.75">
      <c r="A67" s="4" t="s">
        <v>326</v>
      </c>
      <c r="B67" s="5" t="s">
        <v>5</v>
      </c>
      <c r="C67" s="5" t="str">
        <f>_xlfn.XLOOKUP(A67,Stars!A:A,Stars!C:C)</f>
        <v>Special</v>
      </c>
      <c r="D67" s="1" t="s">
        <v>536</v>
      </c>
      <c r="E67" s="1" t="s">
        <v>1549</v>
      </c>
      <c r="F67" s="15">
        <v>1</v>
      </c>
      <c r="G67" s="21">
        <v>96</v>
      </c>
      <c r="H67" s="21">
        <v>113</v>
      </c>
      <c r="I67" s="21">
        <v>65</v>
      </c>
      <c r="J67" s="21">
        <v>65</v>
      </c>
      <c r="K67" s="21">
        <v>71</v>
      </c>
      <c r="L67" s="21">
        <v>53</v>
      </c>
      <c r="M67" s="21">
        <v>112</v>
      </c>
      <c r="N67" s="16" cm="1">
        <f t="array" ref="N67">IFERROR(_xlfn.XLOOKUP(D67, Move_List!$A:$A, Move_List!$D:$D) * _xlfn.IFS(UPPER(TRIM(_xlfn.XLOOKUP(D67, Move_List!$A:$A, Move_List!$C:$C)))="PHYSICAL", K67, UPPER(TRIM(_xlfn.XLOOKUP(D67, Move_List!$A:$A, Move_List!$C:$C)))="SPECIAL", I67, TRUE, 0), 0)</f>
        <v>5850</v>
      </c>
      <c r="O67" s="16" cm="1">
        <f t="array" ref="O67">IFERROR(
  _xlfn.XLOOKUP(D67, Move_List!$A:$A, Move_List!$D:$D) * _xlfn.IFS(
    ISNUMBER(SEARCH("Max", E67)),
      LOOKUP(_xlfn.XLOOKUP(D67, Move_List!$A:$A, Move_List!$D:$D), {0,60,80,110,150}, {2.5,1.83,1.63,1.27,1}),
    E67&lt;&gt;"",
      LOOKUP(_xlfn.XLOOKUP(D67, Move_List!$A:$A, Move_List!$D:$D), {0,60,80,90,100,110,120,150}, {2.5,2,2,1.94,1.8,1.68,1.58,1.33}),
    TRUE, 0
  ) * IF(_xlfn.XLOOKUP(D67, Move_List!$A:$A, Move_List!$C:$C)="Physical", K67, I67),
0)</f>
        <v>9535.5</v>
      </c>
      <c r="P67" s="16">
        <f t="shared" si="4"/>
        <v>76.666666666666671</v>
      </c>
      <c r="Q67" s="16">
        <f t="shared" si="5"/>
        <v>5897.7750000000005</v>
      </c>
      <c r="R67" s="17" cm="1">
        <f t="array" ref="R67">IFERROR(Q67 / IF(OR(_xlfn.IFNA(_xlfn.XLOOKUP(E67, Move_List!$A:$A, Move_List!$C:$C), "")={"Dynamax","Mega"}), G67*1.2, G67), 0)</f>
        <v>61.435156250000006</v>
      </c>
    </row>
    <row r="68" spans="1:18" ht="12.75">
      <c r="A68" s="4" t="s">
        <v>177</v>
      </c>
      <c r="B68" s="5" t="s">
        <v>178</v>
      </c>
      <c r="C68" s="5" t="str">
        <f>_xlfn.XLOOKUP(A68,Stars!A:A,Stars!C:C)</f>
        <v>4-star</v>
      </c>
      <c r="D68" s="5" t="s">
        <v>488</v>
      </c>
      <c r="E68" s="5"/>
      <c r="F68" s="15">
        <v>1</v>
      </c>
      <c r="G68" s="16">
        <v>84</v>
      </c>
      <c r="H68" s="16">
        <v>30</v>
      </c>
      <c r="I68" s="16">
        <v>70</v>
      </c>
      <c r="J68" s="16">
        <v>66</v>
      </c>
      <c r="K68" s="16">
        <v>61</v>
      </c>
      <c r="L68" s="16">
        <v>102</v>
      </c>
      <c r="M68" s="16">
        <v>89</v>
      </c>
      <c r="N68" s="16" cm="1">
        <f t="array" ref="N68">IFERROR(_xlfn.XLOOKUP(D68, Move_List!$A:$A, Move_List!$D:$D) * _xlfn.IFS(UPPER(TRIM(_xlfn.XLOOKUP(D68, Move_List!$A:$A, Move_List!$C:$C)))="PHYSICAL", K68, UPPER(TRIM(_xlfn.XLOOKUP(D68, Move_List!$A:$A, Move_List!$C:$C)))="SPECIAL", I68, TRUE, 0), 0)</f>
        <v>6300</v>
      </c>
      <c r="O68" s="16" cm="1">
        <f t="array" ref="O68">IFERROR(
  _xlfn.XLOOKUP(D68, Move_List!$A:$A, Move_List!$D:$D) * _xlfn.IFS(
    ISNUMBER(SEARCH("Max", E68)),
      LOOKUP(_xlfn.XLOOKUP(D68, Move_List!$A:$A, Move_List!$D:$D), {0,60,80,110,150}, {2.5,1.83,1.63,1.27,1}),
    E68&lt;&gt;"",
      LOOKUP(_xlfn.XLOOKUP(D68, Move_List!$A:$A, Move_List!$D:$D), {0,60,80,90,100,110,120,150}, {2.5,2,2,1.94,1.8,1.68,1.58,1.33}),
    TRUE, 0
  ) * IF(_xlfn.XLOOKUP(D68, Move_List!$A:$A, Move_List!$C:$C)="Physical", K68, I68),
0)</f>
        <v>0</v>
      </c>
      <c r="P68" s="16">
        <f t="shared" si="4"/>
        <v>85.666666666666671</v>
      </c>
      <c r="Q68" s="16">
        <f t="shared" si="5"/>
        <v>5397</v>
      </c>
      <c r="R68" s="17" cm="1">
        <f t="array" ref="R68">IFERROR(Q68 / IF(OR(_xlfn.IFNA(_xlfn.XLOOKUP(E68, Move_List!$A:$A, Move_List!$C:$C), "")={"Dynamax","Mega"}), G68*1.2, G68), 0)</f>
        <v>64.25</v>
      </c>
    </row>
    <row r="69" spans="1:18" ht="12.75">
      <c r="A69" s="4" t="s">
        <v>65</v>
      </c>
      <c r="B69" s="5" t="s">
        <v>66</v>
      </c>
      <c r="C69" s="5" t="str">
        <f>_xlfn.XLOOKUP(A69,Stars!A:A,Stars!C:C)</f>
        <v>5-star</v>
      </c>
      <c r="D69" s="5" t="s">
        <v>1245</v>
      </c>
      <c r="E69" s="5"/>
      <c r="F69" s="15">
        <v>1</v>
      </c>
      <c r="G69" s="16">
        <v>100</v>
      </c>
      <c r="H69" s="16">
        <v>93</v>
      </c>
      <c r="I69" s="16">
        <v>66</v>
      </c>
      <c r="J69" s="16">
        <v>66</v>
      </c>
      <c r="K69" s="16">
        <v>75</v>
      </c>
      <c r="L69" s="16">
        <v>71</v>
      </c>
      <c r="M69" s="16">
        <v>127</v>
      </c>
      <c r="N69" s="16" cm="1">
        <f t="array" ref="N69">IFERROR(_xlfn.XLOOKUP(D69, Move_List!$A:$A, Move_List!$D:$D) * _xlfn.IFS(UPPER(TRIM(_xlfn.XLOOKUP(D69, Move_List!$A:$A, Move_List!$C:$C)))="PHYSICAL", K69, UPPER(TRIM(_xlfn.XLOOKUP(D69, Move_List!$A:$A, Move_List!$C:$C)))="SPECIAL", I69, TRUE, 0), 0)</f>
        <v>7260</v>
      </c>
      <c r="O69" s="16" cm="1">
        <f t="array" ref="O69">IFERROR(
  _xlfn.XLOOKUP(D69, Move_List!$A:$A, Move_List!$D:$D) * _xlfn.IFS(
    ISNUMBER(SEARCH("Max", E69)),
      LOOKUP(_xlfn.XLOOKUP(D69, Move_List!$A:$A, Move_List!$D:$D), {0,60,80,110,150}, {2.5,1.83,1.63,1.27,1}),
    E69&lt;&gt;"",
      LOOKUP(_xlfn.XLOOKUP(D69, Move_List!$A:$A, Move_List!$D:$D), {0,60,80,90,100,110,120,150}, {2.5,2,2,1.94,1.8,1.68,1.58,1.33}),
    TRUE, 0
  ) * IF(_xlfn.XLOOKUP(D69, Move_List!$A:$A, Move_List!$C:$C)="Physical", K69, I69),
0)</f>
        <v>0</v>
      </c>
      <c r="P69" s="16">
        <f t="shared" si="4"/>
        <v>88</v>
      </c>
      <c r="Q69" s="16">
        <f t="shared" si="5"/>
        <v>6388.8</v>
      </c>
      <c r="R69" s="17" cm="1">
        <f t="array" ref="R69">IFERROR(Q69 / IF(OR(_xlfn.IFNA(_xlfn.XLOOKUP(E69, Move_List!$A:$A, Move_List!$C:$C), "")={"Dynamax","Mega"}), G69*1.2, G69), 0)</f>
        <v>63.888000000000005</v>
      </c>
    </row>
    <row r="70" spans="1:18" ht="12.75">
      <c r="A70" s="4" t="s">
        <v>116</v>
      </c>
      <c r="B70" s="5" t="s">
        <v>84</v>
      </c>
      <c r="C70" s="5" t="str">
        <f>_xlfn.XLOOKUP(A70,Stars!A:A,Stars!C:C)</f>
        <v>4-star</v>
      </c>
      <c r="D70" s="5" t="s">
        <v>883</v>
      </c>
      <c r="E70" s="5"/>
      <c r="F70" s="15">
        <v>0.9</v>
      </c>
      <c r="G70" s="16">
        <v>90</v>
      </c>
      <c r="H70" s="16">
        <v>90</v>
      </c>
      <c r="I70" s="16">
        <v>51</v>
      </c>
      <c r="J70" s="16">
        <v>59</v>
      </c>
      <c r="K70" s="16">
        <v>88</v>
      </c>
      <c r="L70" s="16">
        <v>59</v>
      </c>
      <c r="M70" s="16">
        <v>103</v>
      </c>
      <c r="N70" s="16" cm="1">
        <f t="array" ref="N70">IFERROR(_xlfn.XLOOKUP(D70, Move_List!$A:$A, Move_List!$D:$D) * _xlfn.IFS(UPPER(TRIM(_xlfn.XLOOKUP(D70, Move_List!$A:$A, Move_List!$C:$C)))="PHYSICAL", K70, UPPER(TRIM(_xlfn.XLOOKUP(D70, Move_List!$A:$A, Move_List!$C:$C)))="SPECIAL", I70, TRUE, 0), 0)</f>
        <v>7480</v>
      </c>
      <c r="O70" s="16" cm="1">
        <f t="array" ref="O70">IFERROR(
  _xlfn.XLOOKUP(D70, Move_List!$A:$A, Move_List!$D:$D) * _xlfn.IFS(
    ISNUMBER(SEARCH("Max", E70)),
      LOOKUP(_xlfn.XLOOKUP(D70, Move_List!$A:$A, Move_List!$D:$D), {0,60,80,110,150}, {2.5,1.83,1.63,1.27,1}),
    E70&lt;&gt;"",
      LOOKUP(_xlfn.XLOOKUP(D70, Move_List!$A:$A, Move_List!$D:$D), {0,60,80,90,100,110,120,150}, {2.5,2,2,1.94,1.8,1.68,1.58,1.33}),
    TRUE, 0
  ) * IF(_xlfn.XLOOKUP(D70, Move_List!$A:$A, Move_List!$C:$C)="Physical", K70, I70),
0)</f>
        <v>0</v>
      </c>
      <c r="P70" s="16">
        <f t="shared" si="4"/>
        <v>73.666666666666671</v>
      </c>
      <c r="Q70" s="16">
        <f t="shared" si="5"/>
        <v>5510.2666666666664</v>
      </c>
      <c r="R70" s="17" cm="1">
        <f t="array" ref="R70">IFERROR(Q70 / IF(OR(_xlfn.IFNA(_xlfn.XLOOKUP(E70, Move_List!$A:$A, Move_List!$C:$C), "")={"Dynamax","Mega"}), G70*1.2, G70), 0)</f>
        <v>61.225185185185182</v>
      </c>
    </row>
    <row r="71" spans="1:18" ht="12.75">
      <c r="A71" s="4" t="s">
        <v>126</v>
      </c>
      <c r="B71" s="5" t="s">
        <v>15</v>
      </c>
      <c r="C71" s="5" t="str">
        <f>_xlfn.XLOOKUP(A71,Stars!A:A,Stars!C:C)</f>
        <v>4-star</v>
      </c>
      <c r="D71" s="5" t="s">
        <v>538</v>
      </c>
      <c r="E71" s="5"/>
      <c r="F71" s="15">
        <v>0.7</v>
      </c>
      <c r="G71" s="16">
        <v>84</v>
      </c>
      <c r="H71" s="16">
        <v>84</v>
      </c>
      <c r="I71" s="16">
        <v>69</v>
      </c>
      <c r="J71" s="16">
        <v>62</v>
      </c>
      <c r="K71" s="16">
        <v>69</v>
      </c>
      <c r="L71" s="16">
        <v>44</v>
      </c>
      <c r="M71" s="16">
        <v>89</v>
      </c>
      <c r="N71" s="16" cm="1">
        <f t="array" ref="N71">IFERROR(_xlfn.XLOOKUP(D71, Move_List!$A:$A, Move_List!$D:$D) * _xlfn.IFS(UPPER(TRIM(_xlfn.XLOOKUP(D71, Move_List!$A:$A, Move_List!$C:$C)))="PHYSICAL", K71, UPPER(TRIM(_xlfn.XLOOKUP(D71, Move_List!$A:$A, Move_List!$C:$C)))="SPECIAL", I71, TRUE, 0), 0)</f>
        <v>7590</v>
      </c>
      <c r="O71" s="16" cm="1">
        <f t="array" ref="O71">IFERROR(
  _xlfn.XLOOKUP(D71, Move_List!$A:$A, Move_List!$D:$D) * _xlfn.IFS(
    ISNUMBER(SEARCH("Max", E71)),
      LOOKUP(_xlfn.XLOOKUP(D71, Move_List!$A:$A, Move_List!$D:$D), {0,60,80,110,150}, {2.5,1.83,1.63,1.27,1}),
    E71&lt;&gt;"",
      LOOKUP(_xlfn.XLOOKUP(D71, Move_List!$A:$A, Move_List!$D:$D), {0,60,80,90,100,110,120,150}, {2.5,2,2,1.94,1.8,1.68,1.58,1.33}),
    TRUE, 0
  ) * IF(_xlfn.XLOOKUP(D71, Move_List!$A:$A, Move_List!$C:$C)="Physical", K71, I71),
0)</f>
        <v>0</v>
      </c>
      <c r="P71" s="16">
        <f t="shared" si="4"/>
        <v>65</v>
      </c>
      <c r="Q71" s="16">
        <f t="shared" si="5"/>
        <v>4933.5</v>
      </c>
      <c r="R71" s="17" cm="1">
        <f t="array" ref="R71">IFERROR(Q71 / IF(OR(_xlfn.IFNA(_xlfn.XLOOKUP(E71, Move_List!$A:$A, Move_List!$C:$C), "")={"Dynamax","Mega"}), G71*1.2, G71), 0)</f>
        <v>58.732142857142854</v>
      </c>
    </row>
    <row r="72" spans="1:18" ht="12.75">
      <c r="A72" s="4" t="s">
        <v>104</v>
      </c>
      <c r="B72" s="5" t="s">
        <v>105</v>
      </c>
      <c r="C72" s="5" t="str">
        <f>_xlfn.XLOOKUP(A72,Stars!A:A,Stars!C:C)</f>
        <v>3-star</v>
      </c>
      <c r="D72" s="5" t="s">
        <v>1487</v>
      </c>
      <c r="E72" s="5"/>
      <c r="F72" s="15">
        <v>1</v>
      </c>
      <c r="G72" s="16">
        <v>84</v>
      </c>
      <c r="H72" s="16">
        <v>59</v>
      </c>
      <c r="I72" s="16">
        <v>59</v>
      </c>
      <c r="J72" s="16">
        <v>55</v>
      </c>
      <c r="K72" s="16">
        <v>76</v>
      </c>
      <c r="L72" s="16">
        <v>59</v>
      </c>
      <c r="M72" s="16">
        <v>110</v>
      </c>
      <c r="N72" s="16" cm="1">
        <f t="array" ref="N72">IFERROR(_xlfn.XLOOKUP(D72, Move_List!$A:$A, Move_List!$D:$D) * _xlfn.IFS(UPPER(TRIM(_xlfn.XLOOKUP(D72, Move_List!$A:$A, Move_List!$C:$C)))="PHYSICAL", K72, UPPER(TRIM(_xlfn.XLOOKUP(D72, Move_List!$A:$A, Move_List!$C:$C)))="SPECIAL", I72, TRUE, 0), 0)</f>
        <v>6460</v>
      </c>
      <c r="O72" s="16" cm="1">
        <f t="array" ref="O72">IFERROR(
  _xlfn.XLOOKUP(D72, Move_List!$A:$A, Move_List!$D:$D) * _xlfn.IFS(
    ISNUMBER(SEARCH("Max", E72)),
      LOOKUP(_xlfn.XLOOKUP(D72, Move_List!$A:$A, Move_List!$D:$D), {0,60,80,110,150}, {2.5,1.83,1.63,1.27,1}),
    E72&lt;&gt;"",
      LOOKUP(_xlfn.XLOOKUP(D72, Move_List!$A:$A, Move_List!$D:$D), {0,60,80,90,100,110,120,150}, {2.5,2,2,1.94,1.8,1.68,1.58,1.33}),
    TRUE, 0
  ) * IF(_xlfn.XLOOKUP(D72, Move_List!$A:$A, Move_List!$C:$C)="Physical", K72, I72),
0)</f>
        <v>0</v>
      </c>
      <c r="P72" s="16">
        <f t="shared" si="4"/>
        <v>74.666666666666671</v>
      </c>
      <c r="Q72" s="16">
        <f t="shared" si="5"/>
        <v>4823.4666666666672</v>
      </c>
      <c r="R72" s="17" cm="1">
        <f t="array" ref="R72">IFERROR(Q72 / IF(OR(_xlfn.IFNA(_xlfn.XLOOKUP(E72, Move_List!$A:$A, Move_List!$C:$C), "")={"Dynamax","Mega"}), G72*1.2, G72), 0)</f>
        <v>57.422222222222231</v>
      </c>
    </row>
    <row r="73" spans="1:18" ht="12.75">
      <c r="A73" s="4" t="s">
        <v>186</v>
      </c>
      <c r="B73" s="5" t="s">
        <v>187</v>
      </c>
      <c r="C73" s="5" t="str">
        <f>_xlfn.XLOOKUP(A73,Stars!A:A,Stars!C:C)</f>
        <v>4-star</v>
      </c>
      <c r="D73" s="5" t="s">
        <v>501</v>
      </c>
      <c r="E73" s="5"/>
      <c r="F73" s="15">
        <v>1</v>
      </c>
      <c r="G73" s="16">
        <v>86</v>
      </c>
      <c r="H73" s="16">
        <v>54</v>
      </c>
      <c r="I73" s="16">
        <v>100</v>
      </c>
      <c r="J73" s="16">
        <v>73</v>
      </c>
      <c r="K73" s="16">
        <v>54</v>
      </c>
      <c r="L73" s="16">
        <v>50</v>
      </c>
      <c r="M73" s="16">
        <v>101</v>
      </c>
      <c r="N73" s="16" cm="1">
        <f t="array" ref="N73">IFERROR(_xlfn.XLOOKUP(D73, Move_List!$A:$A, Move_List!$D:$D) * _xlfn.IFS(UPPER(TRIM(_xlfn.XLOOKUP(D73, Move_List!$A:$A, Move_List!$C:$C)))="PHYSICAL", K73, UPPER(TRIM(_xlfn.XLOOKUP(D73, Move_List!$A:$A, Move_List!$C:$C)))="SPECIAL", I73, TRUE, 0), 0)</f>
        <v>6500</v>
      </c>
      <c r="O73" s="16" cm="1">
        <f t="array" ref="O73">IFERROR(
  _xlfn.XLOOKUP(D73, Move_List!$A:$A, Move_List!$D:$D) * _xlfn.IFS(
    ISNUMBER(SEARCH("Max", E73)),
      LOOKUP(_xlfn.XLOOKUP(D73, Move_List!$A:$A, Move_List!$D:$D), {0,60,80,110,150}, {2.5,1.83,1.63,1.27,1}),
    E73&lt;&gt;"",
      LOOKUP(_xlfn.XLOOKUP(D73, Move_List!$A:$A, Move_List!$D:$D), {0,60,80,90,100,110,120,150}, {2.5,2,2,1.94,1.8,1.68,1.58,1.33}),
    TRUE, 0
  ) * IF(_xlfn.XLOOKUP(D73, Move_List!$A:$A, Move_List!$C:$C)="Physical", K73, I73),
0)</f>
        <v>0</v>
      </c>
      <c r="P73" s="16">
        <f t="shared" si="4"/>
        <v>74.666666666666671</v>
      </c>
      <c r="Q73" s="16">
        <f t="shared" si="5"/>
        <v>4853.3333333333339</v>
      </c>
      <c r="R73" s="17" cm="1">
        <f t="array" ref="R73">IFERROR(Q73 / IF(OR(_xlfn.IFNA(_xlfn.XLOOKUP(E73, Move_List!$A:$A, Move_List!$C:$C), "")={"Dynamax","Mega"}), G73*1.2, G73), 0)</f>
        <v>56.434108527131791</v>
      </c>
    </row>
    <row r="74" spans="1:18" ht="12.75">
      <c r="A74" s="4" t="s">
        <v>121</v>
      </c>
      <c r="B74" s="5" t="s">
        <v>23</v>
      </c>
      <c r="C74" s="5" t="str">
        <f>_xlfn.XLOOKUP(A74,Stars!A:A,Stars!C:C)</f>
        <v>4-star</v>
      </c>
      <c r="D74" s="5" t="s">
        <v>1530</v>
      </c>
      <c r="E74" s="5"/>
      <c r="F74" s="15">
        <v>1</v>
      </c>
      <c r="G74" s="16">
        <v>90</v>
      </c>
      <c r="H74" s="16">
        <v>91</v>
      </c>
      <c r="I74" s="16">
        <v>95</v>
      </c>
      <c r="J74" s="16">
        <v>51</v>
      </c>
      <c r="K74" s="16">
        <v>66</v>
      </c>
      <c r="L74" s="16">
        <v>51</v>
      </c>
      <c r="M74" s="16">
        <v>96</v>
      </c>
      <c r="N74" s="16" cm="1">
        <f t="array" ref="N74">IFERROR(_xlfn.XLOOKUP(D74, Move_List!$A:$A, Move_List!$D:$D) * _xlfn.IFS(UPPER(TRIM(_xlfn.XLOOKUP(D74, Move_List!$A:$A, Move_List!$C:$C)))="PHYSICAL", K74, UPPER(TRIM(_xlfn.XLOOKUP(D74, Move_List!$A:$A, Move_List!$C:$C)))="SPECIAL", I74, TRUE, 0), 0)</f>
        <v>7600</v>
      </c>
      <c r="O74" s="16" cm="1">
        <f t="array" ref="O74">IFERROR(
  _xlfn.XLOOKUP(D74, Move_List!$A:$A, Move_List!$D:$D) * _xlfn.IFS(
    ISNUMBER(SEARCH("Max", E74)),
      LOOKUP(_xlfn.XLOOKUP(D74, Move_List!$A:$A, Move_List!$D:$D), {0,60,80,110,150}, {2.5,1.83,1.63,1.27,1}),
    E74&lt;&gt;"",
      LOOKUP(_xlfn.XLOOKUP(D74, Move_List!$A:$A, Move_List!$D:$D), {0,60,80,90,100,110,120,150}, {2.5,2,2,1.94,1.8,1.68,1.58,1.33}),
    TRUE, 0
  ) * IF(_xlfn.XLOOKUP(D74, Move_List!$A:$A, Move_List!$C:$C)="Physical", K74, I74),
0)</f>
        <v>0</v>
      </c>
      <c r="P74" s="16">
        <f t="shared" si="4"/>
        <v>66</v>
      </c>
      <c r="Q74" s="16">
        <f t="shared" si="5"/>
        <v>5016</v>
      </c>
      <c r="R74" s="17" cm="1">
        <f t="array" ref="R74">IFERROR(Q74 / IF(OR(_xlfn.IFNA(_xlfn.XLOOKUP(E74, Move_List!$A:$A, Move_List!$C:$C), "")={"Dynamax","Mega"}), G74*1.2, G74), 0)</f>
        <v>55.733333333333334</v>
      </c>
    </row>
    <row r="75" spans="1:18" ht="12.75">
      <c r="A75" s="6" t="s">
        <v>281</v>
      </c>
      <c r="B75" s="5" t="s">
        <v>66</v>
      </c>
      <c r="C75" s="5" t="str">
        <f>_xlfn.XLOOKUP(A75,Stars!A:A,Stars!C:C)</f>
        <v>4-star</v>
      </c>
      <c r="D75" s="19" t="s">
        <v>1245</v>
      </c>
      <c r="E75" s="19"/>
      <c r="F75" s="15">
        <v>0.95</v>
      </c>
      <c r="G75" s="5">
        <v>82</v>
      </c>
      <c r="H75" s="5">
        <v>77</v>
      </c>
      <c r="I75" s="5">
        <v>55</v>
      </c>
      <c r="J75" s="5">
        <v>55</v>
      </c>
      <c r="K75" s="5">
        <v>62</v>
      </c>
      <c r="L75" s="5">
        <v>59</v>
      </c>
      <c r="M75" s="5">
        <v>105</v>
      </c>
      <c r="N75" s="16" cm="1">
        <f t="array" ref="N75">IFERROR(_xlfn.XLOOKUP(D75, Move_List!$A:$A, Move_List!$D:$D) * _xlfn.IFS(UPPER(TRIM(_xlfn.XLOOKUP(D75, Move_List!$A:$A, Move_List!$C:$C)))="PHYSICAL", K75, UPPER(TRIM(_xlfn.XLOOKUP(D75, Move_List!$A:$A, Move_List!$C:$C)))="SPECIAL", I75, TRUE, 0), 0)</f>
        <v>6050</v>
      </c>
      <c r="O75" s="16" cm="1">
        <f t="array" ref="O75">IFERROR(
  _xlfn.XLOOKUP(D75, Move_List!$A:$A, Move_List!$D:$D) * _xlfn.IFS(
    ISNUMBER(SEARCH("Max", E75)),
      LOOKUP(_xlfn.XLOOKUP(D75, Move_List!$A:$A, Move_List!$D:$D), {0,60,80,110,150}, {2.5,1.83,1.63,1.27,1}),
    E75&lt;&gt;"",
      LOOKUP(_xlfn.XLOOKUP(D75, Move_List!$A:$A, Move_List!$D:$D), {0,60,80,90,100,110,120,150}, {2.5,2,2,1.94,1.8,1.68,1.58,1.33}),
    TRUE, 0
  ) * IF(_xlfn.XLOOKUP(D75, Move_List!$A:$A, Move_List!$C:$C)="Physical", K75, I75),
0)</f>
        <v>0</v>
      </c>
      <c r="P75" s="16">
        <f t="shared" si="4"/>
        <v>73</v>
      </c>
      <c r="Q75" s="16">
        <f t="shared" si="5"/>
        <v>4416.5</v>
      </c>
      <c r="R75" s="17" cm="1">
        <f t="array" ref="R75">IFERROR(Q75 / IF(OR(_xlfn.IFNA(_xlfn.XLOOKUP(E75, Move_List!$A:$A, Move_List!$C:$C), "")={"Dynamax","Mega"}), G75*1.2, G75), 0)</f>
        <v>53.859756097560975</v>
      </c>
    </row>
    <row r="76" spans="1:18" ht="12.75">
      <c r="A76" s="4" t="s">
        <v>60</v>
      </c>
      <c r="B76" s="5" t="s">
        <v>61</v>
      </c>
      <c r="C76" s="5" t="str">
        <f>_xlfn.XLOOKUP(A76,Stars!A:A,Stars!C:C)</f>
        <v>5-star</v>
      </c>
      <c r="D76" s="5" t="s">
        <v>1037</v>
      </c>
      <c r="E76" s="5"/>
      <c r="F76" s="15">
        <v>1</v>
      </c>
      <c r="G76" s="16">
        <v>112</v>
      </c>
      <c r="H76" s="16">
        <v>64</v>
      </c>
      <c r="I76" s="16">
        <v>60</v>
      </c>
      <c r="J76" s="16">
        <v>124</v>
      </c>
      <c r="K76" s="16">
        <v>64</v>
      </c>
      <c r="L76" s="16">
        <v>106</v>
      </c>
      <c r="M76" s="16">
        <v>143</v>
      </c>
      <c r="N76" s="16" cm="1">
        <f t="array" ref="N76">IFERROR(_xlfn.XLOOKUP(D76, Move_List!$A:$A, Move_List!$D:$D) * _xlfn.IFS(UPPER(TRIM(_xlfn.XLOOKUP(D76, Move_List!$A:$A, Move_List!$C:$C)))="PHYSICAL", K76, UPPER(TRIM(_xlfn.XLOOKUP(D76, Move_List!$A:$A, Move_List!$C:$C)))="SPECIAL", I76, TRUE, 0), 0)</f>
        <v>4800</v>
      </c>
      <c r="O76" s="16" cm="1">
        <f t="array" ref="O76">IFERROR(
  _xlfn.XLOOKUP(D76, Move_List!$A:$A, Move_List!$D:$D) * _xlfn.IFS(
    ISNUMBER(SEARCH("Max", E76)),
      LOOKUP(_xlfn.XLOOKUP(D76, Move_List!$A:$A, Move_List!$D:$D), {0,60,80,110,150}, {2.5,1.83,1.63,1.27,1}),
    E76&lt;&gt;"",
      LOOKUP(_xlfn.XLOOKUP(D76, Move_List!$A:$A, Move_List!$D:$D), {0,60,80,90,100,110,120,150}, {2.5,2,2,1.94,1.8,1.68,1.58,1.33}),
    TRUE, 0
  ) * IF(_xlfn.XLOOKUP(D76, Move_List!$A:$A, Move_List!$C:$C)="Physical", K76, I76),
0)</f>
        <v>0</v>
      </c>
      <c r="P76" s="16">
        <f t="shared" si="4"/>
        <v>124.33333333333333</v>
      </c>
      <c r="Q76" s="16">
        <f t="shared" si="5"/>
        <v>5967.9999999999991</v>
      </c>
      <c r="R76" s="17" cm="1">
        <f t="array" ref="R76">IFERROR(Q76 / IF(OR(_xlfn.IFNA(_xlfn.XLOOKUP(E76, Move_List!$A:$A, Move_List!$C:$C), "")={"Dynamax","Mega"}), G76*1.2, G76), 0)</f>
        <v>53.285714285714278</v>
      </c>
    </row>
    <row r="77" spans="1:18" ht="12.75">
      <c r="A77" s="6" t="s">
        <v>244</v>
      </c>
      <c r="B77" s="18" t="s">
        <v>245</v>
      </c>
      <c r="C77" s="5" t="str">
        <f>_xlfn.XLOOKUP(A77,Stars!A:A,Stars!C:C)</f>
        <v>4-star</v>
      </c>
      <c r="D77" s="19" t="s">
        <v>1193</v>
      </c>
      <c r="E77" s="19"/>
      <c r="F77" s="15">
        <v>1</v>
      </c>
      <c r="G77" s="5">
        <v>92</v>
      </c>
      <c r="H77" s="5">
        <v>53</v>
      </c>
      <c r="I77" s="5">
        <v>86</v>
      </c>
      <c r="J77" s="5">
        <v>60</v>
      </c>
      <c r="K77" s="5">
        <v>60</v>
      </c>
      <c r="L77" s="5">
        <v>79</v>
      </c>
      <c r="M77" s="5">
        <v>123</v>
      </c>
      <c r="N77" s="16" cm="1">
        <f t="array" ref="N77">IFERROR(_xlfn.XLOOKUP(D77, Move_List!$A:$A, Move_List!$D:$D) * _xlfn.IFS(UPPER(TRIM(_xlfn.XLOOKUP(D77, Move_List!$A:$A, Move_List!$C:$C)))="PHYSICAL", K77, UPPER(TRIM(_xlfn.XLOOKUP(D77, Move_List!$A:$A, Move_List!$C:$C)))="SPECIAL", I77, TRUE, 0), 0)</f>
        <v>5590</v>
      </c>
      <c r="O77" s="16" cm="1">
        <f t="array" ref="O77">IFERROR(
  _xlfn.XLOOKUP(D77, Move_List!$A:$A, Move_List!$D:$D) * _xlfn.IFS(
    ISNUMBER(SEARCH("Max", E77)),
      LOOKUP(_xlfn.XLOOKUP(D77, Move_List!$A:$A, Move_List!$D:$D), {0,60,80,110,150}, {2.5,1.83,1.63,1.27,1}),
    E77&lt;&gt;"",
      LOOKUP(_xlfn.XLOOKUP(D77, Move_List!$A:$A, Move_List!$D:$D), {0,60,80,90,100,110,120,150}, {2.5,2,2,1.94,1.8,1.68,1.58,1.33}),
    TRUE, 0
  ) * IF(_xlfn.XLOOKUP(D77, Move_List!$A:$A, Move_List!$C:$C)="Physical", K77, I77),
0)</f>
        <v>0</v>
      </c>
      <c r="P77" s="16">
        <f t="shared" si="4"/>
        <v>87.333333333333329</v>
      </c>
      <c r="Q77" s="16">
        <f t="shared" si="5"/>
        <v>4881.9333333333334</v>
      </c>
      <c r="R77" s="17" cm="1">
        <f t="array" ref="R77">IFERROR(Q77 / IF(OR(_xlfn.IFNA(_xlfn.XLOOKUP(E77, Move_List!$A:$A, Move_List!$C:$C), "")={"Dynamax","Mega"}), G77*1.2, G77), 0)</f>
        <v>53.064492753623192</v>
      </c>
    </row>
    <row r="78" spans="1:18" ht="12.75">
      <c r="A78" s="6" t="s">
        <v>272</v>
      </c>
      <c r="B78" s="5" t="s">
        <v>17</v>
      </c>
      <c r="C78" s="5" t="str">
        <f>_xlfn.XLOOKUP(A78,Stars!A:A,Stars!C:C)</f>
        <v>4-star</v>
      </c>
      <c r="D78" s="19" t="s">
        <v>703</v>
      </c>
      <c r="E78" s="19"/>
      <c r="F78" s="15">
        <v>1</v>
      </c>
      <c r="G78" s="5">
        <v>94</v>
      </c>
      <c r="H78" s="5">
        <v>54</v>
      </c>
      <c r="I78" s="5">
        <v>103</v>
      </c>
      <c r="J78" s="5">
        <v>77</v>
      </c>
      <c r="K78" s="5">
        <v>50</v>
      </c>
      <c r="L78" s="5">
        <v>88</v>
      </c>
      <c r="M78" s="5">
        <v>97</v>
      </c>
      <c r="N78" s="16" cm="1">
        <f t="array" ref="N78">IFERROR(_xlfn.XLOOKUP(D78, Move_List!$A:$A, Move_List!$D:$D) * _xlfn.IFS(UPPER(TRIM(_xlfn.XLOOKUP(D78, Move_List!$A:$A, Move_List!$C:$C)))="PHYSICAL", K78, UPPER(TRIM(_xlfn.XLOOKUP(D78, Move_List!$A:$A, Move_List!$C:$C)))="SPECIAL", I78, TRUE, 0), 0)</f>
        <v>5665</v>
      </c>
      <c r="O78" s="16" cm="1">
        <f t="array" ref="O78">IFERROR(
  _xlfn.XLOOKUP(D78, Move_List!$A:$A, Move_List!$D:$D) * _xlfn.IFS(
    ISNUMBER(SEARCH("Max", E78)),
      LOOKUP(_xlfn.XLOOKUP(D78, Move_List!$A:$A, Move_List!$D:$D), {0,60,80,110,150}, {2.5,1.83,1.63,1.27,1}),
    E78&lt;&gt;"",
      LOOKUP(_xlfn.XLOOKUP(D78, Move_List!$A:$A, Move_List!$D:$D), {0,60,80,90,100,110,120,150}, {2.5,2,2,1.94,1.8,1.68,1.58,1.33}),
    TRUE, 0
  ) * IF(_xlfn.XLOOKUP(D78, Move_List!$A:$A, Move_List!$C:$C)="Physical", K78, I78),
0)</f>
        <v>0</v>
      </c>
      <c r="P78" s="16">
        <f t="shared" si="4"/>
        <v>87.333333333333329</v>
      </c>
      <c r="Q78" s="16">
        <f t="shared" si="5"/>
        <v>4947.4333333333334</v>
      </c>
      <c r="R78" s="17" cm="1">
        <f t="array" ref="R78">IFERROR(Q78 / IF(OR(_xlfn.IFNA(_xlfn.XLOOKUP(E78, Move_List!$A:$A, Move_List!$C:$C), "")={"Dynamax","Mega"}), G78*1.2, G78), 0)</f>
        <v>52.632269503546098</v>
      </c>
    </row>
    <row r="79" spans="1:18" ht="12.75">
      <c r="A79" s="4" t="s">
        <v>142</v>
      </c>
      <c r="B79" s="5" t="s">
        <v>143</v>
      </c>
      <c r="C79" s="5" t="str">
        <f>_xlfn.XLOOKUP(A79,Stars!A:A,Stars!C:C)</f>
        <v>4-star</v>
      </c>
      <c r="D79" s="5" t="s">
        <v>1038</v>
      </c>
      <c r="E79" s="5"/>
      <c r="F79" s="15">
        <v>1</v>
      </c>
      <c r="G79" s="16">
        <v>90</v>
      </c>
      <c r="H79" s="16">
        <v>97</v>
      </c>
      <c r="I79" s="16">
        <v>37</v>
      </c>
      <c r="J79" s="16">
        <v>67</v>
      </c>
      <c r="K79" s="16">
        <v>93</v>
      </c>
      <c r="L79" s="16">
        <v>53</v>
      </c>
      <c r="M79" s="16">
        <v>98</v>
      </c>
      <c r="N79" s="16" cm="1">
        <f t="array" ref="N79">IFERROR(_xlfn.XLOOKUP(D79, Move_List!$A:$A, Move_List!$D:$D) * _xlfn.IFS(UPPER(TRIM(_xlfn.XLOOKUP(D79, Move_List!$A:$A, Move_List!$C:$C)))="PHYSICAL", K79, UPPER(TRIM(_xlfn.XLOOKUP(D79, Move_List!$A:$A, Move_List!$C:$C)))="SPECIAL", I79, TRUE, 0), 0)</f>
        <v>6510</v>
      </c>
      <c r="O79" s="16" cm="1">
        <f t="array" ref="O79">IFERROR(
  _xlfn.XLOOKUP(D79, Move_List!$A:$A, Move_List!$D:$D) * _xlfn.IFS(
    ISNUMBER(SEARCH("Max", E79)),
      LOOKUP(_xlfn.XLOOKUP(D79, Move_List!$A:$A, Move_List!$D:$D), {0,60,80,110,150}, {2.5,1.83,1.63,1.27,1}),
    E79&lt;&gt;"",
      LOOKUP(_xlfn.XLOOKUP(D79, Move_List!$A:$A, Move_List!$D:$D), {0,60,80,90,100,110,120,150}, {2.5,2,2,1.94,1.8,1.68,1.58,1.33}),
    TRUE, 0
  ) * IF(_xlfn.XLOOKUP(D79, Move_List!$A:$A, Move_List!$C:$C)="Physical", K79, I79),
0)</f>
        <v>0</v>
      </c>
      <c r="P79" s="16">
        <f t="shared" si="4"/>
        <v>72.666666666666671</v>
      </c>
      <c r="Q79" s="16">
        <f t="shared" si="5"/>
        <v>4730.6000000000004</v>
      </c>
      <c r="R79" s="17" cm="1">
        <f t="array" ref="R79">IFERROR(Q79 / IF(OR(_xlfn.IFNA(_xlfn.XLOOKUP(E79, Move_List!$A:$A, Move_List!$C:$C), "")={"Dynamax","Mega"}), G79*1.2, G79), 0)</f>
        <v>52.562222222222225</v>
      </c>
    </row>
    <row r="80" spans="1:18" ht="12.75">
      <c r="A80" s="4" t="s">
        <v>172</v>
      </c>
      <c r="B80" s="5" t="s">
        <v>18</v>
      </c>
      <c r="C80" s="5" t="str">
        <f>_xlfn.XLOOKUP(A80,Stars!A:A,Stars!C:C)</f>
        <v>4-star</v>
      </c>
      <c r="D80" s="5" t="s">
        <v>506</v>
      </c>
      <c r="E80" s="5"/>
      <c r="F80" s="15">
        <v>1</v>
      </c>
      <c r="G80" s="16">
        <v>82</v>
      </c>
      <c r="H80" s="16">
        <v>84</v>
      </c>
      <c r="I80" s="16">
        <v>48</v>
      </c>
      <c r="J80" s="16">
        <v>48</v>
      </c>
      <c r="K80" s="16">
        <v>84</v>
      </c>
      <c r="L80" s="16">
        <v>55</v>
      </c>
      <c r="M80" s="16">
        <v>89</v>
      </c>
      <c r="N80" s="16" cm="1">
        <f t="array" ref="N80">IFERROR(_xlfn.XLOOKUP(D80, Move_List!$A:$A, Move_List!$D:$D) * _xlfn.IFS(UPPER(TRIM(_xlfn.XLOOKUP(D80, Move_List!$A:$A, Move_List!$C:$C)))="PHYSICAL", K80, UPPER(TRIM(_xlfn.XLOOKUP(D80, Move_List!$A:$A, Move_List!$C:$C)))="SPECIAL", I80, TRUE, 0), 0)</f>
        <v>6720</v>
      </c>
      <c r="O80" s="16" cm="1">
        <f t="array" ref="O80">IFERROR(
  _xlfn.XLOOKUP(D80, Move_List!$A:$A, Move_List!$D:$D) * _xlfn.IFS(
    ISNUMBER(SEARCH("Max", E80)),
      LOOKUP(_xlfn.XLOOKUP(D80, Move_List!$A:$A, Move_List!$D:$D), {0,60,80,110,150}, {2.5,1.83,1.63,1.27,1}),
    E80&lt;&gt;"",
      LOOKUP(_xlfn.XLOOKUP(D80, Move_List!$A:$A, Move_List!$D:$D), {0,60,80,90,100,110,120,150}, {2.5,2,2,1.94,1.8,1.68,1.58,1.33}),
    TRUE, 0
  ) * IF(_xlfn.XLOOKUP(D80, Move_List!$A:$A, Move_List!$C:$C)="Physical", K80, I80),
0)</f>
        <v>0</v>
      </c>
      <c r="P80" s="16">
        <f t="shared" si="4"/>
        <v>64</v>
      </c>
      <c r="Q80" s="16">
        <f t="shared" si="5"/>
        <v>4300.8</v>
      </c>
      <c r="R80" s="17" cm="1">
        <f t="array" ref="R80">IFERROR(Q80 / IF(OR(_xlfn.IFNA(_xlfn.XLOOKUP(E80, Move_List!$A:$A, Move_List!$C:$C), "")={"Dynamax","Mega"}), G80*1.2, G80), 0)</f>
        <v>52.448780487804882</v>
      </c>
    </row>
    <row r="81" spans="1:18" ht="12.75">
      <c r="A81" s="6" t="s">
        <v>310</v>
      </c>
      <c r="B81" s="5" t="s">
        <v>311</v>
      </c>
      <c r="C81" s="5" t="str">
        <f>_xlfn.XLOOKUP(A81,Stars!A:A,Stars!C:C)</f>
        <v>4-star</v>
      </c>
      <c r="D81" s="19" t="s">
        <v>786</v>
      </c>
      <c r="E81" s="19"/>
      <c r="F81" s="15">
        <v>1</v>
      </c>
      <c r="G81" s="5">
        <v>88</v>
      </c>
      <c r="H81" s="5">
        <v>64</v>
      </c>
      <c r="I81" s="5">
        <v>71</v>
      </c>
      <c r="J81" s="5">
        <v>44</v>
      </c>
      <c r="K81" s="5">
        <v>64</v>
      </c>
      <c r="L81" s="5">
        <v>37</v>
      </c>
      <c r="M81" s="5">
        <v>158</v>
      </c>
      <c r="N81" s="16" cm="1">
        <f t="array" ref="N81">IFERROR(_xlfn.XLOOKUP(D81, Move_List!$A:$A, Move_List!$D:$D) * _xlfn.IFS(UPPER(TRIM(_xlfn.XLOOKUP(D81, Move_List!$A:$A, Move_List!$C:$C)))="PHYSICAL", K81, UPPER(TRIM(_xlfn.XLOOKUP(D81, Move_List!$A:$A, Move_List!$C:$C)))="SPECIAL", I81, TRUE, 0), 0)</f>
        <v>5680</v>
      </c>
      <c r="O81" s="16" cm="1">
        <f t="array" ref="O81">IFERROR(
  _xlfn.XLOOKUP(D81, Move_List!$A:$A, Move_List!$D:$D) * _xlfn.IFS(
    ISNUMBER(SEARCH("Max", E81)),
      LOOKUP(_xlfn.XLOOKUP(D81, Move_List!$A:$A, Move_List!$D:$D), {0,60,80,110,150}, {2.5,1.83,1.63,1.27,1}),
    E81&lt;&gt;"",
      LOOKUP(_xlfn.XLOOKUP(D81, Move_List!$A:$A, Move_List!$D:$D), {0,60,80,90,100,110,120,150}, {2.5,2,2,1.94,1.8,1.68,1.58,1.33}),
    TRUE, 0
  ) * IF(_xlfn.XLOOKUP(D81, Move_List!$A:$A, Move_List!$C:$C)="Physical", K81, I81),
0)</f>
        <v>0</v>
      </c>
      <c r="P81" s="16">
        <f t="shared" si="4"/>
        <v>79.666666666666671</v>
      </c>
      <c r="Q81" s="16">
        <f t="shared" si="5"/>
        <v>4525.0666666666675</v>
      </c>
      <c r="R81" s="17" cm="1">
        <f t="array" ref="R81">IFERROR(Q81 / IF(OR(_xlfn.IFNA(_xlfn.XLOOKUP(E81, Move_List!$A:$A, Move_List!$C:$C), "")={"Dynamax","Mega"}), G81*1.2, G81), 0)</f>
        <v>51.421212121212129</v>
      </c>
    </row>
    <row r="82" spans="1:18" ht="12.75">
      <c r="A82" s="6" t="s">
        <v>247</v>
      </c>
      <c r="B82" s="5" t="s">
        <v>248</v>
      </c>
      <c r="C82" s="5" t="str">
        <f>_xlfn.XLOOKUP(A82,Stars!A:A,Stars!C:C)</f>
        <v>4-star</v>
      </c>
      <c r="D82" s="19" t="s">
        <v>1163</v>
      </c>
      <c r="E82" s="19"/>
      <c r="F82" s="15">
        <v>1</v>
      </c>
      <c r="G82" s="5">
        <v>92</v>
      </c>
      <c r="H82" s="5">
        <v>67</v>
      </c>
      <c r="I82" s="5">
        <v>67</v>
      </c>
      <c r="J82" s="5">
        <v>60</v>
      </c>
      <c r="K82" s="5">
        <v>93</v>
      </c>
      <c r="L82" s="5">
        <v>64</v>
      </c>
      <c r="M82" s="5">
        <v>109</v>
      </c>
      <c r="N82" s="16" cm="1">
        <f t="array" ref="N82">IFERROR(_xlfn.XLOOKUP(D82, Move_List!$A:$A, Move_List!$D:$D) * _xlfn.IFS(UPPER(TRIM(_xlfn.XLOOKUP(D82, Move_List!$A:$A, Move_List!$C:$C)))="PHYSICAL", K82, UPPER(TRIM(_xlfn.XLOOKUP(D82, Move_List!$A:$A, Move_List!$C:$C)))="SPECIAL", I82, TRUE, 0), 0)</f>
        <v>6045</v>
      </c>
      <c r="O82" s="16" cm="1">
        <f t="array" ref="O82">IFERROR(
  _xlfn.XLOOKUP(D82, Move_List!$A:$A, Move_List!$D:$D) * _xlfn.IFS(
    ISNUMBER(SEARCH("Max", E82)),
      LOOKUP(_xlfn.XLOOKUP(D82, Move_List!$A:$A, Move_List!$D:$D), {0,60,80,110,150}, {2.5,1.83,1.63,1.27,1}),
    E82&lt;&gt;"",
      LOOKUP(_xlfn.XLOOKUP(D82, Move_List!$A:$A, Move_List!$D:$D), {0,60,80,90,100,110,120,150}, {2.5,2,2,1.94,1.8,1.68,1.58,1.33}),
    TRUE, 0
  ) * IF(_xlfn.XLOOKUP(D82, Move_List!$A:$A, Move_List!$C:$C)="Physical", K82, I82),
0)</f>
        <v>0</v>
      </c>
      <c r="P82" s="16">
        <f t="shared" si="4"/>
        <v>77.666666666666671</v>
      </c>
      <c r="Q82" s="16">
        <f t="shared" si="5"/>
        <v>4694.9500000000007</v>
      </c>
      <c r="R82" s="17" cm="1">
        <f t="array" ref="R82">IFERROR(Q82 / IF(OR(_xlfn.IFNA(_xlfn.XLOOKUP(E82, Move_List!$A:$A, Move_List!$C:$C), "")={"Dynamax","Mega"}), G82*1.2, G82), 0)</f>
        <v>51.032065217391313</v>
      </c>
    </row>
    <row r="83" spans="1:18" ht="12.75">
      <c r="A83" s="6" t="s">
        <v>288</v>
      </c>
      <c r="B83" s="5" t="s">
        <v>289</v>
      </c>
      <c r="C83" s="5" t="str">
        <f>_xlfn.XLOOKUP(A83,Stars!A:A,Stars!C:C)</f>
        <v>3-star</v>
      </c>
      <c r="D83" s="19" t="s">
        <v>1086</v>
      </c>
      <c r="E83" s="19"/>
      <c r="F83" s="15">
        <v>1</v>
      </c>
      <c r="G83" s="5">
        <v>74</v>
      </c>
      <c r="H83" s="5">
        <v>24</v>
      </c>
      <c r="I83" s="5">
        <v>53</v>
      </c>
      <c r="J83" s="5">
        <v>76</v>
      </c>
      <c r="K83" s="5">
        <v>60</v>
      </c>
      <c r="L83" s="5">
        <v>76</v>
      </c>
      <c r="M83" s="5">
        <v>82</v>
      </c>
      <c r="N83" s="16" cm="1">
        <f t="array" ref="N83">IFERROR(_xlfn.XLOOKUP(D83, Move_List!$A:$A, Move_List!$D:$D) * _xlfn.IFS(UPPER(TRIM(_xlfn.XLOOKUP(D83, Move_List!$A:$A, Move_List!$C:$C)))="PHYSICAL", K83, UPPER(TRIM(_xlfn.XLOOKUP(D83, Move_List!$A:$A, Move_List!$C:$C)))="SPECIAL", I83, TRUE, 0), 0)</f>
        <v>4800</v>
      </c>
      <c r="O83" s="16" cm="1">
        <f t="array" ref="O83">IFERROR(
  _xlfn.XLOOKUP(D83, Move_List!$A:$A, Move_List!$D:$D) * _xlfn.IFS(
    ISNUMBER(SEARCH("Max", E83)),
      LOOKUP(_xlfn.XLOOKUP(D83, Move_List!$A:$A, Move_List!$D:$D), {0,60,80,110,150}, {2.5,1.83,1.63,1.27,1}),
    E83&lt;&gt;"",
      LOOKUP(_xlfn.XLOOKUP(D83, Move_List!$A:$A, Move_List!$D:$D), {0,60,80,90,100,110,120,150}, {2.5,2,2,1.94,1.8,1.68,1.58,1.33}),
    TRUE, 0
  ) * IF(_xlfn.XLOOKUP(D83, Move_List!$A:$A, Move_List!$C:$C)="Physical", K83, I83),
0)</f>
        <v>0</v>
      </c>
      <c r="P83" s="16">
        <f t="shared" si="4"/>
        <v>78</v>
      </c>
      <c r="Q83" s="16">
        <f t="shared" si="5"/>
        <v>3744</v>
      </c>
      <c r="R83" s="17" cm="1">
        <f t="array" ref="R83">IFERROR(Q83 / IF(OR(_xlfn.IFNA(_xlfn.XLOOKUP(E83, Move_List!$A:$A, Move_List!$C:$C), "")={"Dynamax","Mega"}), G83*1.2, G83), 0)</f>
        <v>50.594594594594597</v>
      </c>
    </row>
    <row r="84" spans="1:18" ht="12.75">
      <c r="A84" s="6" t="s">
        <v>196</v>
      </c>
      <c r="B84" s="5" t="s">
        <v>5</v>
      </c>
      <c r="C84" s="5" t="str">
        <f>_xlfn.XLOOKUP(A84,Stars!A:A,Stars!C:C)</f>
        <v>6-star</v>
      </c>
      <c r="D84" s="1" t="s">
        <v>536</v>
      </c>
      <c r="E84" s="19" t="s">
        <v>1741</v>
      </c>
      <c r="F84" s="20">
        <v>1</v>
      </c>
      <c r="G84" s="5">
        <v>102</v>
      </c>
      <c r="H84" s="16">
        <v>120</v>
      </c>
      <c r="I84" s="16">
        <v>69</v>
      </c>
      <c r="J84" s="16">
        <v>69</v>
      </c>
      <c r="K84" s="16">
        <v>75</v>
      </c>
      <c r="L84" s="16">
        <v>56</v>
      </c>
      <c r="M84" s="16">
        <v>118</v>
      </c>
      <c r="N84" s="16" cm="1">
        <f t="array" ref="N84">IFERROR(_xlfn.XLOOKUP(D84, Move_List!$A:$A, Move_List!$D:$D) * _xlfn.IFS(UPPER(TRIM(_xlfn.XLOOKUP(D84, Move_List!$A:$A, Move_List!$C:$C)))="PHYSICAL", K84, UPPER(TRIM(_xlfn.XLOOKUP(D84, Move_List!$A:$A, Move_List!$C:$C)))="SPECIAL", I84, TRUE, 0), 0)</f>
        <v>6210</v>
      </c>
      <c r="O84" s="16" cm="1">
        <f t="array" ref="O84">IFERROR(
  _xlfn.XLOOKUP(D84, Move_List!$A:$A, Move_List!$D:$D) * _xlfn.IFS(
    ISNUMBER(SEARCH("Max", E84)),
      LOOKUP(_xlfn.XLOOKUP(D84, Move_List!$A:$A, Move_List!$D:$D), {0,60,80,110,150}, {2.5,1.83,1.63,1.27,1}),
    E84&lt;&gt;"",
      LOOKUP(_xlfn.XLOOKUP(D84, Move_List!$A:$A, Move_List!$D:$D), {0,60,80,90,100,110,120,150}, {2.5,2,2,1.94,1.8,1.68,1.58,1.33}),
    TRUE, 0
  ) * IF(_xlfn.XLOOKUP(D84, Move_List!$A:$A, Move_List!$C:$C)="Physical", K84, I84),
0)</f>
        <v>12047.4</v>
      </c>
      <c r="P84" s="16">
        <f t="shared" si="4"/>
        <v>81</v>
      </c>
      <c r="Q84" s="16">
        <f t="shared" si="5"/>
        <v>7394.2470000000012</v>
      </c>
      <c r="R84" s="17" cm="1">
        <f t="array" ref="R84">IFERROR(Q84 / IF(OR(_xlfn.IFNA(_xlfn.XLOOKUP(E84, Move_List!$A:$A, Move_List!$C:$C), "")={"Dynamax","Mega"}), G84*1.2, G84), 0)</f>
        <v>72.492617647058836</v>
      </c>
    </row>
    <row r="85" spans="1:18" ht="12.75">
      <c r="A85" s="6" t="s">
        <v>297</v>
      </c>
      <c r="B85" s="5" t="s">
        <v>298</v>
      </c>
      <c r="C85" s="5" t="str">
        <f>_xlfn.XLOOKUP(A85,Stars!A:A,Stars!C:C)</f>
        <v>3-star</v>
      </c>
      <c r="D85" s="19" t="s">
        <v>1188</v>
      </c>
      <c r="E85" s="19"/>
      <c r="F85" s="15">
        <v>0.95</v>
      </c>
      <c r="G85" s="5">
        <v>70</v>
      </c>
      <c r="H85" s="5">
        <v>46</v>
      </c>
      <c r="I85" s="5">
        <v>65</v>
      </c>
      <c r="J85" s="5">
        <v>49</v>
      </c>
      <c r="K85" s="5">
        <v>37</v>
      </c>
      <c r="L85" s="5">
        <v>69</v>
      </c>
      <c r="M85" s="5">
        <v>80</v>
      </c>
      <c r="N85" s="16" cm="1">
        <f t="array" ref="N85">IFERROR(_xlfn.XLOOKUP(D85, Move_List!$A:$A, Move_List!$D:$D) * _xlfn.IFS(UPPER(TRIM(_xlfn.XLOOKUP(D85, Move_List!$A:$A, Move_List!$C:$C)))="PHYSICAL", K85, UPPER(TRIM(_xlfn.XLOOKUP(D85, Move_List!$A:$A, Move_List!$C:$C)))="SPECIAL", I85, TRUE, 0), 0)</f>
        <v>5200</v>
      </c>
      <c r="O85" s="16" cm="1">
        <f t="array" ref="O85">IFERROR(
  _xlfn.XLOOKUP(D85, Move_List!$A:$A, Move_List!$D:$D) * _xlfn.IFS(
    ISNUMBER(SEARCH("Max", E85)),
      LOOKUP(_xlfn.XLOOKUP(D85, Move_List!$A:$A, Move_List!$D:$D), {0,60,80,110,150}, {2.5,1.83,1.63,1.27,1}),
    E85&lt;&gt;"",
      LOOKUP(_xlfn.XLOOKUP(D85, Move_List!$A:$A, Move_List!$D:$D), {0,60,80,90,100,110,120,150}, {2.5,2,2,1.94,1.8,1.68,1.58,1.33}),
    TRUE, 0
  ) * IF(_xlfn.XLOOKUP(D85, Move_List!$A:$A, Move_List!$C:$C)="Physical", K85, I85),
0)</f>
        <v>0</v>
      </c>
      <c r="P85" s="16">
        <f t="shared" si="4"/>
        <v>66</v>
      </c>
      <c r="Q85" s="16">
        <f t="shared" si="5"/>
        <v>3432</v>
      </c>
      <c r="R85" s="17" cm="1">
        <f t="array" ref="R85">IFERROR(Q85 / IF(OR(_xlfn.IFNA(_xlfn.XLOOKUP(E85, Move_List!$A:$A, Move_List!$C:$C), "")={"Dynamax","Mega"}), G85*1.2, G85), 0)</f>
        <v>49.028571428571432</v>
      </c>
    </row>
    <row r="86" spans="1:18" ht="12.75">
      <c r="A86" s="6" t="s">
        <v>269</v>
      </c>
      <c r="B86" s="5" t="s">
        <v>9</v>
      </c>
      <c r="C86" s="5" t="str">
        <f>_xlfn.XLOOKUP(A86,Stars!A:A,Stars!C:C)</f>
        <v>4-star</v>
      </c>
      <c r="D86" s="19" t="s">
        <v>952</v>
      </c>
      <c r="E86" s="19"/>
      <c r="F86" s="15">
        <v>0.85</v>
      </c>
      <c r="G86" s="5">
        <v>90</v>
      </c>
      <c r="H86" s="5">
        <v>51</v>
      </c>
      <c r="I86" s="5">
        <v>84</v>
      </c>
      <c r="J86" s="5">
        <v>73</v>
      </c>
      <c r="K86" s="5">
        <v>51</v>
      </c>
      <c r="L86" s="5">
        <v>48</v>
      </c>
      <c r="M86" s="5">
        <v>139</v>
      </c>
      <c r="N86" s="16" cm="1">
        <f t="array" ref="N86">IFERROR(_xlfn.XLOOKUP(D86, Move_List!$A:$A, Move_List!$D:$D) * _xlfn.IFS(UPPER(TRIM(_xlfn.XLOOKUP(D86, Move_List!$A:$A, Move_List!$C:$C)))="PHYSICAL", K86, UPPER(TRIM(_xlfn.XLOOKUP(D86, Move_List!$A:$A, Move_List!$C:$C)))="SPECIAL", I86, TRUE, 0), 0)</f>
        <v>5040</v>
      </c>
      <c r="O86" s="16" cm="1">
        <f t="array" ref="O86">IFERROR(
  _xlfn.XLOOKUP(D86, Move_List!$A:$A, Move_List!$D:$D) * _xlfn.IFS(
    ISNUMBER(SEARCH("Max", E86)),
      LOOKUP(_xlfn.XLOOKUP(D86, Move_List!$A:$A, Move_List!$D:$D), {0,60,80,110,150}, {2.5,1.83,1.63,1.27,1}),
    E86&lt;&gt;"",
      LOOKUP(_xlfn.XLOOKUP(D86, Move_List!$A:$A, Move_List!$D:$D), {0,60,80,90,100,110,120,150}, {2.5,2,2,1.94,1.8,1.68,1.58,1.33}),
    TRUE, 0
  ) * IF(_xlfn.XLOOKUP(D86, Move_List!$A:$A, Move_List!$C:$C)="Physical", K86, I86),
0)</f>
        <v>0</v>
      </c>
      <c r="P86" s="16">
        <f t="shared" si="4"/>
        <v>86.666666666666671</v>
      </c>
      <c r="Q86" s="16">
        <f t="shared" si="5"/>
        <v>4368</v>
      </c>
      <c r="R86" s="17" cm="1">
        <f t="array" ref="R86">IFERROR(Q86 / IF(OR(_xlfn.IFNA(_xlfn.XLOOKUP(E86, Move_List!$A:$A, Move_List!$C:$C), "")={"Dynamax","Mega"}), G86*1.2, G86), 0)</f>
        <v>48.533333333333331</v>
      </c>
    </row>
    <row r="87" spans="1:18" ht="12.75">
      <c r="A87" s="4" t="s">
        <v>161</v>
      </c>
      <c r="B87" s="5" t="s">
        <v>87</v>
      </c>
      <c r="C87" s="5" t="str">
        <f>_xlfn.XLOOKUP(A87,Stars!A:A,Stars!C:C)</f>
        <v>4-star</v>
      </c>
      <c r="D87" s="5" t="s">
        <v>1038</v>
      </c>
      <c r="E87" s="5"/>
      <c r="F87" s="15">
        <v>1</v>
      </c>
      <c r="G87" s="16">
        <v>90</v>
      </c>
      <c r="H87" s="16">
        <v>75</v>
      </c>
      <c r="I87" s="16">
        <v>49</v>
      </c>
      <c r="J87" s="16">
        <v>64</v>
      </c>
      <c r="K87" s="16">
        <v>71</v>
      </c>
      <c r="L87" s="16">
        <v>79</v>
      </c>
      <c r="M87" s="16">
        <v>115</v>
      </c>
      <c r="N87" s="16" cm="1">
        <f t="array" ref="N87">IFERROR(_xlfn.XLOOKUP(D87, Move_List!$A:$A, Move_List!$D:$D) * _xlfn.IFS(UPPER(TRIM(_xlfn.XLOOKUP(D87, Move_List!$A:$A, Move_List!$C:$C)))="PHYSICAL", K87, UPPER(TRIM(_xlfn.XLOOKUP(D87, Move_List!$A:$A, Move_List!$C:$C)))="SPECIAL", I87, TRUE, 0), 0)</f>
        <v>4970</v>
      </c>
      <c r="O87" s="16" cm="1">
        <f t="array" ref="O87">IFERROR(
  _xlfn.XLOOKUP(D87, Move_List!$A:$A, Move_List!$D:$D) * _xlfn.IFS(
    ISNUMBER(SEARCH("Max", E87)),
      LOOKUP(_xlfn.XLOOKUP(D87, Move_List!$A:$A, Move_List!$D:$D), {0,60,80,110,150}, {2.5,1.83,1.63,1.27,1}),
    E87&lt;&gt;"",
      LOOKUP(_xlfn.XLOOKUP(D87, Move_List!$A:$A, Move_List!$D:$D), {0,60,80,90,100,110,120,150}, {2.5,2,2,1.94,1.8,1.68,1.58,1.33}),
    TRUE, 0
  ) * IF(_xlfn.XLOOKUP(D87, Move_List!$A:$A, Move_List!$C:$C)="Physical", K87, I87),
0)</f>
        <v>0</v>
      </c>
      <c r="P87" s="16">
        <f t="shared" si="4"/>
        <v>86</v>
      </c>
      <c r="Q87" s="16">
        <f t="shared" si="5"/>
        <v>4274.2</v>
      </c>
      <c r="R87" s="17" cm="1">
        <f t="array" ref="R87">IFERROR(Q87 / IF(OR(_xlfn.IFNA(_xlfn.XLOOKUP(E87, Move_List!$A:$A, Move_List!$C:$C), "")={"Dynamax","Mega"}), G87*1.2, G87), 0)</f>
        <v>47.49111111111111</v>
      </c>
    </row>
    <row r="88" spans="1:18" ht="12.75">
      <c r="A88" s="6" t="s">
        <v>315</v>
      </c>
      <c r="B88" s="5" t="s">
        <v>316</v>
      </c>
      <c r="C88" s="5" t="str">
        <f>_xlfn.XLOOKUP(A88,Stars!A:A,Stars!C:C)</f>
        <v>3-star</v>
      </c>
      <c r="D88" s="19" t="s">
        <v>1495</v>
      </c>
      <c r="E88" s="19"/>
      <c r="F88" s="15">
        <v>1</v>
      </c>
      <c r="G88" s="5">
        <v>68</v>
      </c>
      <c r="H88" s="5">
        <v>66</v>
      </c>
      <c r="I88" s="5">
        <v>30</v>
      </c>
      <c r="J88" s="5">
        <v>51</v>
      </c>
      <c r="K88" s="5">
        <v>67</v>
      </c>
      <c r="L88" s="5">
        <v>45</v>
      </c>
      <c r="M88" s="5">
        <v>83</v>
      </c>
      <c r="N88" s="16" cm="1">
        <f t="array" ref="N88">IFERROR(_xlfn.XLOOKUP(D88, Move_List!$A:$A, Move_List!$D:$D) * _xlfn.IFS(UPPER(TRIM(_xlfn.XLOOKUP(D88, Move_List!$A:$A, Move_List!$C:$C)))="PHYSICAL", K88, UPPER(TRIM(_xlfn.XLOOKUP(D88, Move_List!$A:$A, Move_List!$C:$C)))="SPECIAL", I88, TRUE, 0), 0)</f>
        <v>5360</v>
      </c>
      <c r="O88" s="16" cm="1">
        <f t="array" ref="O88">IFERROR(
  _xlfn.XLOOKUP(D88, Move_List!$A:$A, Move_List!$D:$D) * _xlfn.IFS(
    ISNUMBER(SEARCH("Max", E88)),
      LOOKUP(_xlfn.XLOOKUP(D88, Move_List!$A:$A, Move_List!$D:$D), {0,60,80,110,150}, {2.5,1.83,1.63,1.27,1}),
    E88&lt;&gt;"",
      LOOKUP(_xlfn.XLOOKUP(D88, Move_List!$A:$A, Move_List!$D:$D), {0,60,80,90,100,110,120,150}, {2.5,2,2,1.94,1.8,1.68,1.58,1.33}),
    TRUE, 0
  ) * IF(_xlfn.XLOOKUP(D88, Move_List!$A:$A, Move_List!$C:$C)="Physical", K88, I88),
0)</f>
        <v>0</v>
      </c>
      <c r="P88" s="16">
        <f t="shared" si="4"/>
        <v>59.666666666666664</v>
      </c>
      <c r="Q88" s="16">
        <f t="shared" si="5"/>
        <v>3198.1333333333332</v>
      </c>
      <c r="R88" s="17" cm="1">
        <f t="array" ref="R88">IFERROR(Q88 / IF(OR(_xlfn.IFNA(_xlfn.XLOOKUP(E88, Move_List!$A:$A, Move_List!$C:$C), "")={"Dynamax","Mega"}), G88*1.2, G88), 0)</f>
        <v>47.031372549019608</v>
      </c>
    </row>
    <row r="89" spans="1:18" ht="12.75">
      <c r="A89" s="6" t="s">
        <v>241</v>
      </c>
      <c r="B89" s="18" t="s">
        <v>242</v>
      </c>
      <c r="C89" s="5" t="str">
        <f>_xlfn.XLOOKUP(A89,Stars!A:A,Stars!C:C)</f>
        <v>4-star</v>
      </c>
      <c r="D89" s="19" t="s">
        <v>1038</v>
      </c>
      <c r="E89" s="19"/>
      <c r="F89" s="15">
        <v>1</v>
      </c>
      <c r="G89" s="5">
        <v>92</v>
      </c>
      <c r="H89" s="5">
        <v>96</v>
      </c>
      <c r="I89" s="5">
        <v>64</v>
      </c>
      <c r="J89" s="5">
        <v>56</v>
      </c>
      <c r="K89" s="5">
        <v>86</v>
      </c>
      <c r="L89" s="5">
        <v>56</v>
      </c>
      <c r="M89" s="5">
        <v>103</v>
      </c>
      <c r="N89" s="16" cm="1">
        <f t="array" ref="N89">IFERROR(_xlfn.XLOOKUP(D89, Move_List!$A:$A, Move_List!$D:$D) * _xlfn.IFS(UPPER(TRIM(_xlfn.XLOOKUP(D89, Move_List!$A:$A, Move_List!$C:$C)))="PHYSICAL", K89, UPPER(TRIM(_xlfn.XLOOKUP(D89, Move_List!$A:$A, Move_List!$C:$C)))="SPECIAL", I89, TRUE, 0), 0)</f>
        <v>6020</v>
      </c>
      <c r="O89" s="16" cm="1">
        <f t="array" ref="O89">IFERROR(
  _xlfn.XLOOKUP(D89, Move_List!$A:$A, Move_List!$D:$D) * _xlfn.IFS(
    ISNUMBER(SEARCH("Max", E89)),
      LOOKUP(_xlfn.XLOOKUP(D89, Move_List!$A:$A, Move_List!$D:$D), {0,60,80,110,150}, {2.5,1.83,1.63,1.27,1}),
    E89&lt;&gt;"",
      LOOKUP(_xlfn.XLOOKUP(D89, Move_List!$A:$A, Move_List!$D:$D), {0,60,80,90,100,110,120,150}, {2.5,2,2,1.94,1.8,1.68,1.58,1.33}),
    TRUE, 0
  ) * IF(_xlfn.XLOOKUP(D89, Move_List!$A:$A, Move_List!$C:$C)="Physical", K89, I89),
0)</f>
        <v>0</v>
      </c>
      <c r="P89" s="16">
        <f t="shared" si="4"/>
        <v>71.666666666666671</v>
      </c>
      <c r="Q89" s="16">
        <f t="shared" si="5"/>
        <v>4314.333333333333</v>
      </c>
      <c r="R89" s="17" cm="1">
        <f t="array" ref="R89">IFERROR(Q89 / IF(OR(_xlfn.IFNA(_xlfn.XLOOKUP(E89, Move_List!$A:$A, Move_List!$C:$C), "")={"Dynamax","Mega"}), G89*1.2, G89), 0)</f>
        <v>46.894927536231883</v>
      </c>
    </row>
    <row r="90" spans="1:18" ht="12.75">
      <c r="A90" s="4" t="s">
        <v>134</v>
      </c>
      <c r="B90" s="5" t="s">
        <v>135</v>
      </c>
      <c r="C90" s="5" t="str">
        <f>_xlfn.XLOOKUP(A90,Stars!A:A,Stars!C:C)</f>
        <v>4-star</v>
      </c>
      <c r="D90" s="5" t="s">
        <v>522</v>
      </c>
      <c r="E90" s="5"/>
      <c r="F90" s="15">
        <v>0.95</v>
      </c>
      <c r="G90" s="16">
        <v>94</v>
      </c>
      <c r="H90" s="16">
        <v>77</v>
      </c>
      <c r="I90" s="16">
        <v>50</v>
      </c>
      <c r="J90" s="16">
        <v>54</v>
      </c>
      <c r="K90" s="16">
        <v>88</v>
      </c>
      <c r="L90" s="16">
        <v>103</v>
      </c>
      <c r="M90" s="16">
        <v>97</v>
      </c>
      <c r="N90" s="16" cm="1">
        <f t="array" ref="N90">IFERROR(_xlfn.XLOOKUP(D90, Move_List!$A:$A, Move_List!$D:$D) * _xlfn.IFS(UPPER(TRIM(_xlfn.XLOOKUP(D90, Move_List!$A:$A, Move_List!$C:$C)))="PHYSICAL", K90, UPPER(TRIM(_xlfn.XLOOKUP(D90, Move_List!$A:$A, Move_List!$C:$C)))="SPECIAL", I90, TRUE, 0), 0)</f>
        <v>4840</v>
      </c>
      <c r="O90" s="16" cm="1">
        <f t="array" ref="O90">IFERROR(
  _xlfn.XLOOKUP(D90, Move_List!$A:$A, Move_List!$D:$D) * _xlfn.IFS(
    ISNUMBER(SEARCH("Max", E90)),
      LOOKUP(_xlfn.XLOOKUP(D90, Move_List!$A:$A, Move_List!$D:$D), {0,60,80,110,150}, {2.5,1.83,1.63,1.27,1}),
    E90&lt;&gt;"",
      LOOKUP(_xlfn.XLOOKUP(D90, Move_List!$A:$A, Move_List!$D:$D), {0,60,80,90,100,110,120,150}, {2.5,2,2,1.94,1.8,1.68,1.58,1.33}),
    TRUE, 0
  ) * IF(_xlfn.XLOOKUP(D90, Move_List!$A:$A, Move_List!$C:$C)="Physical", K90, I90),
0)</f>
        <v>0</v>
      </c>
      <c r="P90" s="16">
        <f t="shared" si="4"/>
        <v>84.666666666666671</v>
      </c>
      <c r="Q90" s="16">
        <f t="shared" si="5"/>
        <v>4097.8666666666668</v>
      </c>
      <c r="R90" s="17" cm="1">
        <f t="array" ref="R90">IFERROR(Q90 / IF(OR(_xlfn.IFNA(_xlfn.XLOOKUP(E90, Move_List!$A:$A, Move_List!$C:$C), "")={"Dynamax","Mega"}), G90*1.2, G90), 0)</f>
        <v>43.594326241134752</v>
      </c>
    </row>
    <row r="91" spans="1:18" ht="12.75">
      <c r="A91" s="4" t="s">
        <v>175</v>
      </c>
      <c r="B91" s="5" t="s">
        <v>176</v>
      </c>
      <c r="C91" s="5" t="str">
        <f>_xlfn.XLOOKUP(A91,Stars!A:A,Stars!C:C)</f>
        <v>4-star</v>
      </c>
      <c r="D91" s="5" t="s">
        <v>1238</v>
      </c>
      <c r="E91" s="5"/>
      <c r="F91" s="15">
        <v>0.9</v>
      </c>
      <c r="G91" s="16">
        <v>80</v>
      </c>
      <c r="H91" s="16">
        <v>48</v>
      </c>
      <c r="I91" s="16">
        <v>62</v>
      </c>
      <c r="J91" s="16">
        <v>92</v>
      </c>
      <c r="K91" s="16">
        <v>41</v>
      </c>
      <c r="L91" s="16">
        <v>69</v>
      </c>
      <c r="M91" s="16">
        <v>89</v>
      </c>
      <c r="N91" s="16" cm="1">
        <f t="array" ref="N91">IFERROR(_xlfn.XLOOKUP(D91, Move_List!$A:$A, Move_List!$D:$D) * _xlfn.IFS(UPPER(TRIM(_xlfn.XLOOKUP(D91, Move_List!$A:$A, Move_List!$C:$C)))="PHYSICAL", K91, UPPER(TRIM(_xlfn.XLOOKUP(D91, Move_List!$A:$A, Move_List!$C:$C)))="SPECIAL", I91, TRUE, 0), 0)</f>
        <v>4030</v>
      </c>
      <c r="O91" s="16" cm="1">
        <f t="array" ref="O91">IFERROR(
  _xlfn.XLOOKUP(D91, Move_List!$A:$A, Move_List!$D:$D) * _xlfn.IFS(
    ISNUMBER(SEARCH("Max", E91)),
      LOOKUP(_xlfn.XLOOKUP(D91, Move_List!$A:$A, Move_List!$D:$D), {0,60,80,110,150}, {2.5,1.83,1.63,1.27,1}),
    E91&lt;&gt;"",
      LOOKUP(_xlfn.XLOOKUP(D91, Move_List!$A:$A, Move_List!$D:$D), {0,60,80,90,100,110,120,150}, {2.5,2,2,1.94,1.8,1.68,1.58,1.33}),
    TRUE, 0
  ) * IF(_xlfn.XLOOKUP(D91, Move_List!$A:$A, Move_List!$C:$C)="Physical", K91, I91),
0)</f>
        <v>0</v>
      </c>
      <c r="P91" s="16">
        <f t="shared" si="4"/>
        <v>83.333333333333329</v>
      </c>
      <c r="Q91" s="16">
        <f t="shared" si="5"/>
        <v>3358.333333333333</v>
      </c>
      <c r="R91" s="17" cm="1">
        <f t="array" ref="R91">IFERROR(Q91 / IF(OR(_xlfn.IFNA(_xlfn.XLOOKUP(E91, Move_List!$A:$A, Move_List!$C:$C), "")={"Dynamax","Mega"}), G91*1.2, G91), 0)</f>
        <v>41.979166666666664</v>
      </c>
    </row>
    <row r="92" spans="1:18" ht="12.75">
      <c r="A92" s="4" t="s">
        <v>180</v>
      </c>
      <c r="B92" s="5" t="s">
        <v>181</v>
      </c>
      <c r="C92" s="5" t="str">
        <f>_xlfn.XLOOKUP(A92,Stars!A:A,Stars!C:C)</f>
        <v>3-star</v>
      </c>
      <c r="D92" s="5" t="s">
        <v>1188</v>
      </c>
      <c r="E92" s="5"/>
      <c r="F92" s="15">
        <v>1</v>
      </c>
      <c r="G92" s="16">
        <v>70</v>
      </c>
      <c r="H92" s="16">
        <v>56</v>
      </c>
      <c r="I92" s="16">
        <v>56</v>
      </c>
      <c r="J92" s="16">
        <v>62</v>
      </c>
      <c r="K92" s="16">
        <v>56</v>
      </c>
      <c r="L92" s="16">
        <v>38</v>
      </c>
      <c r="M92" s="16">
        <v>82</v>
      </c>
      <c r="N92" s="16" cm="1">
        <f t="array" ref="N92">IFERROR(_xlfn.XLOOKUP(D92, Move_List!$A:$A, Move_List!$D:$D) * _xlfn.IFS(UPPER(TRIM(_xlfn.XLOOKUP(D92, Move_List!$A:$A, Move_List!$C:$C)))="PHYSICAL", K92, UPPER(TRIM(_xlfn.XLOOKUP(D92, Move_List!$A:$A, Move_List!$C:$C)))="SPECIAL", I92, TRUE, 0), 0)</f>
        <v>4480</v>
      </c>
      <c r="O92" s="16" cm="1">
        <f t="array" ref="O92">IFERROR(
  _xlfn.XLOOKUP(D92, Move_List!$A:$A, Move_List!$D:$D) * _xlfn.IFS(
    ISNUMBER(SEARCH("Max", E92)),
      LOOKUP(_xlfn.XLOOKUP(D92, Move_List!$A:$A, Move_List!$D:$D), {0,60,80,110,150}, {2.5,1.83,1.63,1.27,1}),
    E92&lt;&gt;"",
      LOOKUP(_xlfn.XLOOKUP(D92, Move_List!$A:$A, Move_List!$D:$D), {0,60,80,90,100,110,120,150}, {2.5,2,2,1.94,1.8,1.68,1.58,1.33}),
    TRUE, 0
  ) * IF(_xlfn.XLOOKUP(D92, Move_List!$A:$A, Move_List!$C:$C)="Physical", K92, I92),
0)</f>
        <v>0</v>
      </c>
      <c r="P92" s="16">
        <f t="shared" si="4"/>
        <v>60.666666666666664</v>
      </c>
      <c r="Q92" s="16">
        <f t="shared" si="5"/>
        <v>2717.8666666666668</v>
      </c>
      <c r="R92" s="17" cm="1">
        <f t="array" ref="R92">IFERROR(Q92 / IF(OR(_xlfn.IFNA(_xlfn.XLOOKUP(E92, Move_List!$A:$A, Move_List!$C:$C), "")={"Dynamax","Mega"}), G92*1.2, G92), 0)</f>
        <v>38.826666666666668</v>
      </c>
    </row>
    <row r="93" spans="1:18" ht="12.75">
      <c r="A93" s="6" t="s">
        <v>304</v>
      </c>
      <c r="B93" s="5" t="s">
        <v>305</v>
      </c>
      <c r="C93" s="5" t="str">
        <f>_xlfn.XLOOKUP(A93,Stars!A:A,Stars!C:C)</f>
        <v>3-star</v>
      </c>
      <c r="D93" s="19" t="s">
        <v>497</v>
      </c>
      <c r="E93" s="19"/>
      <c r="F93" s="15">
        <v>1</v>
      </c>
      <c r="G93" s="5">
        <v>62</v>
      </c>
      <c r="H93" s="5">
        <v>70</v>
      </c>
      <c r="I93" s="5">
        <v>79</v>
      </c>
      <c r="J93" s="5">
        <v>48</v>
      </c>
      <c r="K93" s="5">
        <v>26</v>
      </c>
      <c r="L93" s="5">
        <v>22</v>
      </c>
      <c r="M93" s="5">
        <v>65</v>
      </c>
      <c r="N93" s="16" cm="1">
        <f t="array" ref="N93">IFERROR(_xlfn.XLOOKUP(D93, Move_List!$A:$A, Move_List!$D:$D) * _xlfn.IFS(UPPER(TRIM(_xlfn.XLOOKUP(D93, Move_List!$A:$A, Move_List!$C:$C)))="PHYSICAL", K93, UPPER(TRIM(_xlfn.XLOOKUP(D93, Move_List!$A:$A, Move_List!$C:$C)))="SPECIAL", I93, TRUE, 0), 0)</f>
        <v>5135</v>
      </c>
      <c r="O93" s="16" cm="1">
        <f t="array" ref="O93">IFERROR(
  _xlfn.XLOOKUP(D93, Move_List!$A:$A, Move_List!$D:$D) * _xlfn.IFS(
    ISNUMBER(SEARCH("Max", E93)),
      LOOKUP(_xlfn.XLOOKUP(D93, Move_List!$A:$A, Move_List!$D:$D), {0,60,80,110,150}, {2.5,1.83,1.63,1.27,1}),
    E93&lt;&gt;"",
      LOOKUP(_xlfn.XLOOKUP(D93, Move_List!$A:$A, Move_List!$D:$D), {0,60,80,90,100,110,120,150}, {2.5,2,2,1.94,1.8,1.68,1.58,1.33}),
    TRUE, 0
  ) * IF(_xlfn.XLOOKUP(D93, Move_List!$A:$A, Move_List!$C:$C)="Physical", K93, I93),
0)</f>
        <v>0</v>
      </c>
      <c r="P93" s="16">
        <f t="shared" si="4"/>
        <v>45</v>
      </c>
      <c r="Q93" s="16">
        <f t="shared" si="5"/>
        <v>2310.75</v>
      </c>
      <c r="R93" s="17" cm="1">
        <f t="array" ref="R93">IFERROR(Q93 / IF(OR(_xlfn.IFNA(_xlfn.XLOOKUP(E93, Move_List!$A:$A, Move_List!$C:$C), "")={"Dynamax","Mega"}), G93*1.2, G93), 0)</f>
        <v>37.270161290322584</v>
      </c>
    </row>
    <row r="94" spans="1:18" ht="12.75">
      <c r="A94" s="4" t="s">
        <v>165</v>
      </c>
      <c r="B94" s="5" t="s">
        <v>166</v>
      </c>
      <c r="C94" s="5" t="str">
        <f>_xlfn.XLOOKUP(A94,Stars!A:A,Stars!C:C)</f>
        <v>3-star</v>
      </c>
      <c r="D94" s="5" t="s">
        <v>722</v>
      </c>
      <c r="E94" s="5"/>
      <c r="F94" s="15">
        <v>1</v>
      </c>
      <c r="G94" s="16">
        <v>62</v>
      </c>
      <c r="H94" s="16">
        <v>26</v>
      </c>
      <c r="I94" s="16">
        <v>39</v>
      </c>
      <c r="J94" s="16">
        <v>51</v>
      </c>
      <c r="K94" s="16">
        <v>55</v>
      </c>
      <c r="L94" s="16">
        <v>63</v>
      </c>
      <c r="M94" s="16">
        <v>76</v>
      </c>
      <c r="N94" s="16" cm="1">
        <f t="array" ref="N94">IFERROR(_xlfn.XLOOKUP(D94, Move_List!$A:$A, Move_List!$D:$D) * _xlfn.IFS(UPPER(TRIM(_xlfn.XLOOKUP(D94, Move_List!$A:$A, Move_List!$C:$C)))="PHYSICAL", K94, UPPER(TRIM(_xlfn.XLOOKUP(D94, Move_List!$A:$A, Move_List!$C:$C)))="SPECIAL", I94, TRUE, 0), 0)</f>
        <v>3575</v>
      </c>
      <c r="O94" s="16" cm="1">
        <f t="array" ref="O94">IFERROR(
  _xlfn.XLOOKUP(D94, Move_List!$A:$A, Move_List!$D:$D) * _xlfn.IFS(
    ISNUMBER(SEARCH("Max", E94)),
      LOOKUP(_xlfn.XLOOKUP(D94, Move_List!$A:$A, Move_List!$D:$D), {0,60,80,110,150}, {2.5,1.83,1.63,1.27,1}),
    E94&lt;&gt;"",
      LOOKUP(_xlfn.XLOOKUP(D94, Move_List!$A:$A, Move_List!$D:$D), {0,60,80,90,100,110,120,150}, {2.5,2,2,1.94,1.8,1.68,1.58,1.33}),
    TRUE, 0
  ) * IF(_xlfn.XLOOKUP(D94, Move_List!$A:$A, Move_List!$C:$C)="Physical", K94, I94),
0)</f>
        <v>0</v>
      </c>
      <c r="P94" s="16">
        <f t="shared" si="4"/>
        <v>63.333333333333336</v>
      </c>
      <c r="Q94" s="16">
        <f t="shared" si="5"/>
        <v>2264.1666666666665</v>
      </c>
      <c r="R94" s="17" cm="1">
        <f t="array" ref="R94">IFERROR(Q94 / IF(OR(_xlfn.IFNA(_xlfn.XLOOKUP(E94, Move_List!$A:$A, Move_List!$C:$C), "")={"Dynamax","Mega"}), G94*1.2, G94), 0)</f>
        <v>36.518817204301072</v>
      </c>
    </row>
    <row r="95" spans="1:18" ht="12.75">
      <c r="A95" s="6" t="s">
        <v>266</v>
      </c>
      <c r="B95" s="5" t="s">
        <v>267</v>
      </c>
      <c r="C95" s="5" t="str">
        <f>_xlfn.XLOOKUP(A95,Stars!A:A,Stars!C:C)</f>
        <v>3-star</v>
      </c>
      <c r="D95" s="19" t="s">
        <v>499</v>
      </c>
      <c r="E95" s="19"/>
      <c r="F95" s="15">
        <v>1</v>
      </c>
      <c r="G95" s="5">
        <v>64</v>
      </c>
      <c r="H95" s="5">
        <v>36</v>
      </c>
      <c r="I95" s="5">
        <v>55</v>
      </c>
      <c r="J95" s="5">
        <v>52</v>
      </c>
      <c r="K95" s="5">
        <v>45</v>
      </c>
      <c r="L95" s="5">
        <v>47</v>
      </c>
      <c r="M95" s="5">
        <v>80</v>
      </c>
      <c r="N95" s="16" cm="1">
        <f t="array" ref="N95">IFERROR(_xlfn.XLOOKUP(D95, Move_List!$A:$A, Move_List!$D:$D) * _xlfn.IFS(UPPER(TRIM(_xlfn.XLOOKUP(D95, Move_List!$A:$A, Move_List!$C:$C)))="PHYSICAL", K95, UPPER(TRIM(_xlfn.XLOOKUP(D95, Move_List!$A:$A, Move_List!$C:$C)))="SPECIAL", I95, TRUE, 0), 0)</f>
        <v>3575</v>
      </c>
      <c r="O95" s="16" cm="1">
        <f t="array" ref="O95">IFERROR(
  _xlfn.XLOOKUP(D95, Move_List!$A:$A, Move_List!$D:$D) * _xlfn.IFS(
    ISNUMBER(SEARCH("Max", E95)),
      LOOKUP(_xlfn.XLOOKUP(D95, Move_List!$A:$A, Move_List!$D:$D), {0,60,80,110,150}, {2.5,1.83,1.63,1.27,1}),
    E95&lt;&gt;"",
      LOOKUP(_xlfn.XLOOKUP(D95, Move_List!$A:$A, Move_List!$D:$D), {0,60,80,90,100,110,120,150}, {2.5,2,2,1.94,1.8,1.68,1.58,1.33}),
    TRUE, 0
  ) * IF(_xlfn.XLOOKUP(D95, Move_List!$A:$A, Move_List!$C:$C)="Physical", K95, I95),
0)</f>
        <v>0</v>
      </c>
      <c r="P95" s="16">
        <f t="shared" si="4"/>
        <v>59.666666666666664</v>
      </c>
      <c r="Q95" s="16">
        <f t="shared" si="5"/>
        <v>2133.0833333333335</v>
      </c>
      <c r="R95" s="17" cm="1">
        <f t="array" ref="R95">IFERROR(Q95 / IF(OR(_xlfn.IFNA(_xlfn.XLOOKUP(E95, Move_List!$A:$A, Move_List!$C:$C), "")={"Dynamax","Mega"}), G95*1.2, G95), 0)</f>
        <v>33.329427083333336</v>
      </c>
    </row>
    <row r="96" spans="1:18" ht="12.75">
      <c r="A96" s="6" t="s">
        <v>275</v>
      </c>
      <c r="B96" s="5" t="s">
        <v>276</v>
      </c>
      <c r="C96" s="5" t="str">
        <f>_xlfn.XLOOKUP(A96,Stars!A:A,Stars!C:C)</f>
        <v>4-star</v>
      </c>
      <c r="D96" s="19" t="s">
        <v>722</v>
      </c>
      <c r="E96" s="19"/>
      <c r="F96" s="15">
        <v>1</v>
      </c>
      <c r="G96" s="5">
        <v>84</v>
      </c>
      <c r="H96" s="5">
        <v>93</v>
      </c>
      <c r="I96" s="5">
        <v>69</v>
      </c>
      <c r="J96" s="5">
        <v>48</v>
      </c>
      <c r="K96" s="5">
        <v>67</v>
      </c>
      <c r="L96" s="5">
        <v>48</v>
      </c>
      <c r="M96" s="5">
        <v>92</v>
      </c>
      <c r="N96" s="16" cm="1">
        <f t="array" ref="N96">IFERROR(_xlfn.XLOOKUP(D96, Move_List!$A:$A, Move_List!$D:$D) * _xlfn.IFS(UPPER(TRIM(_xlfn.XLOOKUP(D96, Move_List!$A:$A, Move_List!$C:$C)))="PHYSICAL", K96, UPPER(TRIM(_xlfn.XLOOKUP(D96, Move_List!$A:$A, Move_List!$C:$C)))="SPECIAL", I96, TRUE, 0), 0)</f>
        <v>4355</v>
      </c>
      <c r="O96" s="16" cm="1">
        <f t="array" ref="O96">IFERROR(
  _xlfn.XLOOKUP(D96, Move_List!$A:$A, Move_List!$D:$D) * _xlfn.IFS(
    ISNUMBER(SEARCH("Max", E96)),
      LOOKUP(_xlfn.XLOOKUP(D96, Move_List!$A:$A, Move_List!$D:$D), {0,60,80,110,150}, {2.5,1.83,1.63,1.27,1}),
    E96&lt;&gt;"",
      LOOKUP(_xlfn.XLOOKUP(D96, Move_List!$A:$A, Move_List!$D:$D), {0,60,80,90,100,110,120,150}, {2.5,2,2,1.94,1.8,1.68,1.58,1.33}),
    TRUE, 0
  ) * IF(_xlfn.XLOOKUP(D96, Move_List!$A:$A, Move_List!$C:$C)="Physical", K96, I96),
0)</f>
        <v>0</v>
      </c>
      <c r="P96" s="16">
        <f t="shared" si="4"/>
        <v>62.666666666666664</v>
      </c>
      <c r="Q96" s="16">
        <f t="shared" si="5"/>
        <v>2729.1333333333332</v>
      </c>
      <c r="R96" s="17" cm="1">
        <f t="array" ref="R96">IFERROR(Q96 / IF(OR(_xlfn.IFNA(_xlfn.XLOOKUP(E96, Move_List!$A:$A, Move_List!$C:$C), "")={"Dynamax","Mega"}), G96*1.2, G96), 0)</f>
        <v>32.489682539682541</v>
      </c>
    </row>
    <row r="97" spans="1:18" ht="12.75">
      <c r="A97" s="6" t="s">
        <v>257</v>
      </c>
      <c r="B97" s="5" t="s">
        <v>258</v>
      </c>
      <c r="C97" s="5" t="str">
        <f>_xlfn.XLOOKUP(A97,Stars!A:A,Stars!C:C)</f>
        <v>3-star</v>
      </c>
      <c r="D97" s="19" t="s">
        <v>522</v>
      </c>
      <c r="E97" s="19"/>
      <c r="F97" s="15">
        <v>1</v>
      </c>
      <c r="G97" s="5">
        <v>64</v>
      </c>
      <c r="H97" s="5">
        <v>26</v>
      </c>
      <c r="I97" s="5">
        <v>39</v>
      </c>
      <c r="J97" s="5">
        <v>45</v>
      </c>
      <c r="K97" s="5">
        <v>60</v>
      </c>
      <c r="L97" s="5">
        <v>57</v>
      </c>
      <c r="M97" s="5">
        <v>87</v>
      </c>
      <c r="N97" s="16" cm="1">
        <f t="array" ref="N97">IFERROR(_xlfn.XLOOKUP(D97, Move_List!$A:$A, Move_List!$D:$D) * _xlfn.IFS(UPPER(TRIM(_xlfn.XLOOKUP(D97, Move_List!$A:$A, Move_List!$C:$C)))="PHYSICAL", K97, UPPER(TRIM(_xlfn.XLOOKUP(D97, Move_List!$A:$A, Move_List!$C:$C)))="SPECIAL", I97, TRUE, 0), 0)</f>
        <v>3300</v>
      </c>
      <c r="O97" s="16" cm="1">
        <f t="array" ref="O97">IFERROR(
  _xlfn.XLOOKUP(D97, Move_List!$A:$A, Move_List!$D:$D) * _xlfn.IFS(
    ISNUMBER(SEARCH("Max", E97)),
      LOOKUP(_xlfn.XLOOKUP(D97, Move_List!$A:$A, Move_List!$D:$D), {0,60,80,110,150}, {2.5,1.83,1.63,1.27,1}),
    E97&lt;&gt;"",
      LOOKUP(_xlfn.XLOOKUP(D97, Move_List!$A:$A, Move_List!$D:$D), {0,60,80,90,100,110,120,150}, {2.5,2,2,1.94,1.8,1.68,1.58,1.33}),
    TRUE, 0
  ) * IF(_xlfn.XLOOKUP(D97, Move_List!$A:$A, Move_List!$C:$C)="Physical", K97, I97),
0)</f>
        <v>0</v>
      </c>
      <c r="P97" s="16">
        <f t="shared" si="4"/>
        <v>63</v>
      </c>
      <c r="Q97" s="16">
        <f t="shared" si="5"/>
        <v>2079</v>
      </c>
      <c r="R97" s="17" cm="1">
        <f t="array" ref="R97">IFERROR(Q97 / IF(OR(_xlfn.IFNA(_xlfn.XLOOKUP(E97, Move_List!$A:$A, Move_List!$C:$C), "")={"Dynamax","Mega"}), G97*1.2, G97), 0)</f>
        <v>32.484375</v>
      </c>
    </row>
    <row r="98" spans="1:18" ht="12.75">
      <c r="A98" s="4" t="s">
        <v>159</v>
      </c>
      <c r="B98" s="5" t="s">
        <v>160</v>
      </c>
      <c r="C98" s="5" t="str">
        <f>_xlfn.XLOOKUP(A98,Stars!A:A,Stars!C:C)</f>
        <v>3-star</v>
      </c>
      <c r="D98" s="5" t="s">
        <v>452</v>
      </c>
      <c r="E98" s="5"/>
      <c r="F98" s="15">
        <v>0.95</v>
      </c>
      <c r="G98" s="16">
        <v>64</v>
      </c>
      <c r="H98" s="16">
        <v>67</v>
      </c>
      <c r="I98" s="16">
        <v>36</v>
      </c>
      <c r="J98" s="16">
        <v>42</v>
      </c>
      <c r="K98" s="16">
        <v>48</v>
      </c>
      <c r="L98" s="16">
        <v>42</v>
      </c>
      <c r="M98" s="16">
        <v>89</v>
      </c>
      <c r="N98" s="16" cm="1">
        <f t="array" ref="N98">IFERROR(_xlfn.XLOOKUP(D98, Move_List!$A:$A, Move_List!$D:$D) * _xlfn.IFS(UPPER(TRIM(_xlfn.XLOOKUP(D98, Move_List!$A:$A, Move_List!$C:$C)))="PHYSICAL", K98, UPPER(TRIM(_xlfn.XLOOKUP(D98, Move_List!$A:$A, Move_List!$C:$C)))="SPECIAL", I98, TRUE, 0), 0)</f>
        <v>3360</v>
      </c>
      <c r="O98" s="16" cm="1">
        <f t="array" ref="O98">IFERROR(
  _xlfn.XLOOKUP(D98, Move_List!$A:$A, Move_List!$D:$D) * _xlfn.IFS(
    ISNUMBER(SEARCH("Max", E98)),
      LOOKUP(_xlfn.XLOOKUP(D98, Move_List!$A:$A, Move_List!$D:$D), {0,60,80,110,150}, {2.5,1.83,1.63,1.27,1}),
    E98&lt;&gt;"",
      LOOKUP(_xlfn.XLOOKUP(D98, Move_List!$A:$A, Move_List!$D:$D), {0,60,80,90,100,110,120,150}, {2.5,2,2,1.94,1.8,1.68,1.58,1.33}),
    TRUE, 0
  ) * IF(_xlfn.XLOOKUP(D98, Move_List!$A:$A, Move_List!$C:$C)="Physical", K98, I98),
0)</f>
        <v>0</v>
      </c>
      <c r="P98" s="16">
        <f t="shared" ref="P98:P129" si="6">(J98 + L98 + M98) / 3</f>
        <v>57.666666666666664</v>
      </c>
      <c r="Q98" s="16">
        <f t="shared" ref="Q98:Q129" si="7">IF(O98&gt;0, (N98+O98)/2, N98) * (P98 / 100)</f>
        <v>1937.6</v>
      </c>
      <c r="R98" s="17" cm="1">
        <f t="array" ref="R98">IFERROR(Q98 / IF(OR(_xlfn.IFNA(_xlfn.XLOOKUP(E98, Move_List!$A:$A, Move_List!$C:$C), "")={"Dynamax","Mega"}), G98*1.2, G98), 0)</f>
        <v>30.274999999999999</v>
      </c>
    </row>
    <row r="99" spans="1:18" ht="12.75">
      <c r="A99" s="4" t="s">
        <v>119</v>
      </c>
      <c r="B99" s="5" t="s">
        <v>120</v>
      </c>
      <c r="C99" s="5" t="str">
        <f>_xlfn.XLOOKUP(A99,Stars!A:A,Stars!C:C)</f>
        <v>3-star</v>
      </c>
      <c r="D99" s="5" t="s">
        <v>952</v>
      </c>
      <c r="E99" s="5"/>
      <c r="F99" s="15">
        <v>1</v>
      </c>
      <c r="G99" s="16">
        <v>64</v>
      </c>
      <c r="H99" s="16">
        <v>59</v>
      </c>
      <c r="I99" s="16">
        <v>62</v>
      </c>
      <c r="J99" s="16">
        <v>38</v>
      </c>
      <c r="K99" s="16">
        <v>41</v>
      </c>
      <c r="L99" s="16">
        <v>38</v>
      </c>
      <c r="M99" s="16">
        <v>79</v>
      </c>
      <c r="N99" s="16" cm="1">
        <f t="array" ref="N99">IFERROR(_xlfn.XLOOKUP(D99, Move_List!$A:$A, Move_List!$D:$D) * _xlfn.IFS(UPPER(TRIM(_xlfn.XLOOKUP(D99, Move_List!$A:$A, Move_List!$C:$C)))="PHYSICAL", K99, UPPER(TRIM(_xlfn.XLOOKUP(D99, Move_List!$A:$A, Move_List!$C:$C)))="SPECIAL", I99, TRUE, 0), 0)</f>
        <v>3720</v>
      </c>
      <c r="O99" s="16" cm="1">
        <f t="array" ref="O99">IFERROR(
  _xlfn.XLOOKUP(D99, Move_List!$A:$A, Move_List!$D:$D) * _xlfn.IFS(
    ISNUMBER(SEARCH("Max", E99)),
      LOOKUP(_xlfn.XLOOKUP(D99, Move_List!$A:$A, Move_List!$D:$D), {0,60,80,110,150}, {2.5,1.83,1.63,1.27,1}),
    E99&lt;&gt;"",
      LOOKUP(_xlfn.XLOOKUP(D99, Move_List!$A:$A, Move_List!$D:$D), {0,60,80,90,100,110,120,150}, {2.5,2,2,1.94,1.8,1.68,1.58,1.33}),
    TRUE, 0
  ) * IF(_xlfn.XLOOKUP(D99, Move_List!$A:$A, Move_List!$C:$C)="Physical", K99, I99),
0)</f>
        <v>0</v>
      </c>
      <c r="P99" s="16">
        <f t="shared" si="6"/>
        <v>51.666666666666664</v>
      </c>
      <c r="Q99" s="16">
        <f t="shared" si="7"/>
        <v>1921.9999999999998</v>
      </c>
      <c r="R99" s="17" cm="1">
        <f t="array" ref="R99">IFERROR(Q99 / IF(OR(_xlfn.IFNA(_xlfn.XLOOKUP(E99, Move_List!$A:$A, Move_List!$C:$C), "")={"Dynamax","Mega"}), G99*1.2, G99), 0)</f>
        <v>30.031249999999996</v>
      </c>
    </row>
    <row r="100" spans="1:18" ht="12.75">
      <c r="A100" s="4" t="s">
        <v>125</v>
      </c>
      <c r="B100" s="5" t="s">
        <v>5</v>
      </c>
      <c r="C100" s="5" t="str">
        <f>_xlfn.XLOOKUP(A100,Stars!A:A,Stars!C:C)</f>
        <v>3-star</v>
      </c>
      <c r="D100" s="5" t="s">
        <v>536</v>
      </c>
      <c r="E100" s="5"/>
      <c r="F100" s="15">
        <v>1</v>
      </c>
      <c r="G100" s="16">
        <v>60</v>
      </c>
      <c r="H100" s="16">
        <v>70</v>
      </c>
      <c r="I100" s="16">
        <v>41</v>
      </c>
      <c r="J100" s="16">
        <v>41</v>
      </c>
      <c r="K100" s="16">
        <v>44</v>
      </c>
      <c r="L100" s="16">
        <v>33</v>
      </c>
      <c r="M100" s="16">
        <v>71</v>
      </c>
      <c r="N100" s="16" cm="1">
        <f t="array" ref="N100">IFERROR(_xlfn.XLOOKUP(D100, Move_List!$A:$A, Move_List!$D:$D) * _xlfn.IFS(UPPER(TRIM(_xlfn.XLOOKUP(D100, Move_List!$A:$A, Move_List!$C:$C)))="PHYSICAL", K100, UPPER(TRIM(_xlfn.XLOOKUP(D100, Move_List!$A:$A, Move_List!$C:$C)))="SPECIAL", I100, TRUE, 0), 0)</f>
        <v>3690</v>
      </c>
      <c r="O100" s="16" cm="1">
        <f t="array" ref="O100">IFERROR(
  _xlfn.XLOOKUP(D100, Move_List!$A:$A, Move_List!$D:$D) * _xlfn.IFS(
    ISNUMBER(SEARCH("Max", E100)),
      LOOKUP(_xlfn.XLOOKUP(D100, Move_List!$A:$A, Move_List!$D:$D), {0,60,80,110,150}, {2.5,1.83,1.63,1.27,1}),
    E100&lt;&gt;"",
      LOOKUP(_xlfn.XLOOKUP(D100, Move_List!$A:$A, Move_List!$D:$D), {0,60,80,90,100,110,120,150}, {2.5,2,2,1.94,1.8,1.68,1.58,1.33}),
    TRUE, 0
  ) * IF(_xlfn.XLOOKUP(D100, Move_List!$A:$A, Move_List!$C:$C)="Physical", K100, I100),
0)</f>
        <v>0</v>
      </c>
      <c r="P100" s="16">
        <f t="shared" si="6"/>
        <v>48.333333333333336</v>
      </c>
      <c r="Q100" s="16">
        <f t="shared" si="7"/>
        <v>1783.5</v>
      </c>
      <c r="R100" s="17" cm="1">
        <f t="array" ref="R100">IFERROR(Q100 / IF(OR(_xlfn.IFNA(_xlfn.XLOOKUP(E100, Move_List!$A:$A, Move_List!$C:$C), "")={"Dynamax","Mega"}), G100*1.2, G100), 0)</f>
        <v>29.725000000000001</v>
      </c>
    </row>
    <row r="101" spans="1:18" ht="12.75">
      <c r="A101" s="6" t="s">
        <v>271</v>
      </c>
      <c r="B101" s="5" t="s">
        <v>61</v>
      </c>
      <c r="C101" s="5" t="str">
        <f>_xlfn.XLOOKUP(A101,Stars!A:A,Stars!C:C)</f>
        <v>4-star</v>
      </c>
      <c r="D101" s="19" t="s">
        <v>1261</v>
      </c>
      <c r="E101" s="19"/>
      <c r="F101" s="15">
        <v>1</v>
      </c>
      <c r="G101" s="5">
        <v>92</v>
      </c>
      <c r="H101" s="5">
        <v>53</v>
      </c>
      <c r="I101" s="5">
        <v>49</v>
      </c>
      <c r="J101" s="5">
        <v>101</v>
      </c>
      <c r="K101" s="5">
        <v>53</v>
      </c>
      <c r="L101" s="5">
        <v>86</v>
      </c>
      <c r="M101" s="5">
        <v>117</v>
      </c>
      <c r="N101" s="16" cm="1">
        <f t="array" ref="N101">IFERROR(_xlfn.XLOOKUP(D101, Move_List!$A:$A, Move_List!$D:$D) * _xlfn.IFS(UPPER(TRIM(_xlfn.XLOOKUP(D101, Move_List!$A:$A, Move_List!$C:$C)))="PHYSICAL", K101, UPPER(TRIM(_xlfn.XLOOKUP(D101, Move_List!$A:$A, Move_List!$C:$C)))="SPECIAL", I101, TRUE, 0), 0)</f>
        <v>2695</v>
      </c>
      <c r="O101" s="16" cm="1">
        <f t="array" ref="O101">IFERROR(
  _xlfn.XLOOKUP(D101, Move_List!$A:$A, Move_List!$D:$D) * _xlfn.IFS(
    ISNUMBER(SEARCH("Max", E101)),
      LOOKUP(_xlfn.XLOOKUP(D101, Move_List!$A:$A, Move_List!$D:$D), {0,60,80,110,150}, {2.5,1.83,1.63,1.27,1}),
    E101&lt;&gt;"",
      LOOKUP(_xlfn.XLOOKUP(D101, Move_List!$A:$A, Move_List!$D:$D), {0,60,80,90,100,110,120,150}, {2.5,2,2,1.94,1.8,1.68,1.58,1.33}),
    TRUE, 0
  ) * IF(_xlfn.XLOOKUP(D101, Move_List!$A:$A, Move_List!$C:$C)="Physical", K101, I101),
0)</f>
        <v>0</v>
      </c>
      <c r="P101" s="16">
        <f t="shared" si="6"/>
        <v>101.33333333333333</v>
      </c>
      <c r="Q101" s="16">
        <f t="shared" si="7"/>
        <v>2730.9333333333329</v>
      </c>
      <c r="R101" s="17" cm="1">
        <f t="array" ref="R101">IFERROR(Q101 / IF(OR(_xlfn.IFNA(_xlfn.XLOOKUP(E101, Move_List!$A:$A, Move_List!$C:$C), "")={"Dynamax","Mega"}), G101*1.2, G101), 0)</f>
        <v>29.684057971014489</v>
      </c>
    </row>
    <row r="102" spans="1:18" ht="12.75">
      <c r="A102" s="4" t="s">
        <v>95</v>
      </c>
      <c r="B102" s="18" t="s">
        <v>97</v>
      </c>
      <c r="C102" s="5" t="str">
        <f>_xlfn.XLOOKUP(A102,Stars!A:A,Stars!C:C)</f>
        <v>3-star</v>
      </c>
      <c r="D102" s="5" t="s">
        <v>942</v>
      </c>
      <c r="E102" s="5"/>
      <c r="F102" s="15">
        <v>1</v>
      </c>
      <c r="G102" s="16">
        <v>84</v>
      </c>
      <c r="H102" s="16">
        <v>74</v>
      </c>
      <c r="I102" s="16">
        <v>55</v>
      </c>
      <c r="J102" s="16">
        <v>57</v>
      </c>
      <c r="K102" s="16">
        <v>72</v>
      </c>
      <c r="L102" s="16">
        <v>57</v>
      </c>
      <c r="M102" s="16">
        <v>103</v>
      </c>
      <c r="N102" s="16" cm="1">
        <f t="array" ref="N102">IFERROR(_xlfn.XLOOKUP(D102, Move_List!$A:$A, Move_List!$D:$D) * _xlfn.IFS(UPPER(TRIM(_xlfn.XLOOKUP(D102, Move_List!$A:$A, Move_List!$C:$C)))="PHYSICAL", K102, UPPER(TRIM(_xlfn.XLOOKUP(D102, Move_List!$A:$A, Move_List!$C:$C)))="SPECIAL", I102, TRUE, 0), 0)</f>
        <v>3300</v>
      </c>
      <c r="O102" s="16" cm="1">
        <f t="array" ref="O102">IFERROR(
  _xlfn.XLOOKUP(D102, Move_List!$A:$A, Move_List!$D:$D) * _xlfn.IFS(
    ISNUMBER(SEARCH("Max", E102)),
      LOOKUP(_xlfn.XLOOKUP(D102, Move_List!$A:$A, Move_List!$D:$D), {0,60,80,110,150}, {2.5,1.83,1.63,1.27,1}),
    E102&lt;&gt;"",
      LOOKUP(_xlfn.XLOOKUP(D102, Move_List!$A:$A, Move_List!$D:$D), {0,60,80,90,100,110,120,150}, {2.5,2,2,1.94,1.8,1.68,1.58,1.33}),
    TRUE, 0
  ) * IF(_xlfn.XLOOKUP(D102, Move_List!$A:$A, Move_List!$C:$C)="Physical", K102, I102),
0)</f>
        <v>0</v>
      </c>
      <c r="P102" s="16">
        <f t="shared" si="6"/>
        <v>72.333333333333329</v>
      </c>
      <c r="Q102" s="16">
        <f t="shared" si="7"/>
        <v>2387</v>
      </c>
      <c r="R102" s="17" cm="1">
        <f t="array" ref="R102">IFERROR(Q102 / IF(OR(_xlfn.IFNA(_xlfn.XLOOKUP(E102, Move_List!$A:$A, Move_List!$C:$C), "")={"Dynamax","Mega"}), G102*1.2, G102), 0)</f>
        <v>28.416666666666668</v>
      </c>
    </row>
    <row r="103" spans="1:18" ht="12.75">
      <c r="A103" s="4" t="s">
        <v>108</v>
      </c>
      <c r="B103" s="5" t="s">
        <v>109</v>
      </c>
      <c r="C103" s="5" t="str">
        <f>_xlfn.XLOOKUP(A103,Stars!A:A,Stars!C:C)</f>
        <v>3-star</v>
      </c>
      <c r="D103" s="5" t="s">
        <v>522</v>
      </c>
      <c r="E103" s="5"/>
      <c r="F103" s="15">
        <v>0.95</v>
      </c>
      <c r="G103" s="16">
        <v>64</v>
      </c>
      <c r="H103" s="16">
        <v>53</v>
      </c>
      <c r="I103" s="16">
        <v>38</v>
      </c>
      <c r="J103" s="16">
        <v>41</v>
      </c>
      <c r="K103" s="16">
        <v>56</v>
      </c>
      <c r="L103" s="16">
        <v>47</v>
      </c>
      <c r="M103" s="16">
        <v>82</v>
      </c>
      <c r="N103" s="16" cm="1">
        <f t="array" ref="N103">IFERROR(_xlfn.XLOOKUP(D103, Move_List!$A:$A, Move_List!$D:$D) * _xlfn.IFS(UPPER(TRIM(_xlfn.XLOOKUP(D103, Move_List!$A:$A, Move_List!$C:$C)))="PHYSICAL", K103, UPPER(TRIM(_xlfn.XLOOKUP(D103, Move_List!$A:$A, Move_List!$C:$C)))="SPECIAL", I103, TRUE, 0), 0)</f>
        <v>3080</v>
      </c>
      <c r="O103" s="16" cm="1">
        <f t="array" ref="O103">IFERROR(
  _xlfn.XLOOKUP(D103, Move_List!$A:$A, Move_List!$D:$D) * _xlfn.IFS(
    ISNUMBER(SEARCH("Max", E103)),
      LOOKUP(_xlfn.XLOOKUP(D103, Move_List!$A:$A, Move_List!$D:$D), {0,60,80,110,150}, {2.5,1.83,1.63,1.27,1}),
    E103&lt;&gt;"",
      LOOKUP(_xlfn.XLOOKUP(D103, Move_List!$A:$A, Move_List!$D:$D), {0,60,80,90,100,110,120,150}, {2.5,2,2,1.94,1.8,1.68,1.58,1.33}),
    TRUE, 0
  ) * IF(_xlfn.XLOOKUP(D103, Move_List!$A:$A, Move_List!$C:$C)="Physical", K103, I103),
0)</f>
        <v>0</v>
      </c>
      <c r="P103" s="16">
        <f t="shared" si="6"/>
        <v>56.666666666666664</v>
      </c>
      <c r="Q103" s="16">
        <f t="shared" si="7"/>
        <v>1745.3333333333333</v>
      </c>
      <c r="R103" s="17" cm="1">
        <f t="array" ref="R103">IFERROR(Q103 / IF(OR(_xlfn.IFNA(_xlfn.XLOOKUP(E103, Move_List!$A:$A, Move_List!$C:$C), "")={"Dynamax","Mega"}), G103*1.2, G103), 0)</f>
        <v>27.270833333333332</v>
      </c>
    </row>
    <row r="104" spans="1:18" ht="12.75">
      <c r="A104" s="4" t="s">
        <v>139</v>
      </c>
      <c r="B104" s="5" t="s">
        <v>140</v>
      </c>
      <c r="C104" s="5" t="str">
        <f>_xlfn.XLOOKUP(A104,Stars!A:A,Stars!C:C)</f>
        <v>3-star</v>
      </c>
      <c r="D104" s="5" t="s">
        <v>986</v>
      </c>
      <c r="E104" s="5"/>
      <c r="F104" s="15">
        <v>1</v>
      </c>
      <c r="G104" s="16">
        <v>66</v>
      </c>
      <c r="H104" s="16">
        <v>76</v>
      </c>
      <c r="I104" s="16">
        <v>26</v>
      </c>
      <c r="J104" s="16">
        <v>51</v>
      </c>
      <c r="K104" s="16">
        <v>63</v>
      </c>
      <c r="L104" s="16">
        <v>39</v>
      </c>
      <c r="M104" s="16">
        <v>75</v>
      </c>
      <c r="N104" s="16" cm="1">
        <f t="array" ref="N104">IFERROR(_xlfn.XLOOKUP(D104, Move_List!$A:$A, Move_List!$D:$D) * _xlfn.IFS(UPPER(TRIM(_xlfn.XLOOKUP(D104, Move_List!$A:$A, Move_List!$C:$C)))="PHYSICAL", K104, UPPER(TRIM(_xlfn.XLOOKUP(D104, Move_List!$A:$A, Move_List!$C:$C)))="SPECIAL", I104, TRUE, 0), 0)</f>
        <v>3150</v>
      </c>
      <c r="O104" s="16" cm="1">
        <f t="array" ref="O104">IFERROR(
  _xlfn.XLOOKUP(D104, Move_List!$A:$A, Move_List!$D:$D) * _xlfn.IFS(
    ISNUMBER(SEARCH("Max", E104)),
      LOOKUP(_xlfn.XLOOKUP(D104, Move_List!$A:$A, Move_List!$D:$D), {0,60,80,110,150}, {2.5,1.83,1.63,1.27,1}),
    E104&lt;&gt;"",
      LOOKUP(_xlfn.XLOOKUP(D104, Move_List!$A:$A, Move_List!$D:$D), {0,60,80,90,100,110,120,150}, {2.5,2,2,1.94,1.8,1.68,1.58,1.33}),
    TRUE, 0
  ) * IF(_xlfn.XLOOKUP(D104, Move_List!$A:$A, Move_List!$C:$C)="Physical", K104, I104),
0)</f>
        <v>0</v>
      </c>
      <c r="P104" s="16">
        <f t="shared" si="6"/>
        <v>55</v>
      </c>
      <c r="Q104" s="16">
        <f t="shared" si="7"/>
        <v>1732.5000000000002</v>
      </c>
      <c r="R104" s="17" cm="1">
        <f t="array" ref="R104">IFERROR(Q104 / IF(OR(_xlfn.IFNA(_xlfn.XLOOKUP(E104, Move_List!$A:$A, Move_List!$C:$C), "")={"Dynamax","Mega"}), G104*1.2, G104), 0)</f>
        <v>26.250000000000004</v>
      </c>
    </row>
    <row r="105" spans="1:18" ht="12.75">
      <c r="A105" s="6" t="s">
        <v>302</v>
      </c>
      <c r="B105" s="5" t="s">
        <v>303</v>
      </c>
      <c r="C105" s="5" t="str">
        <f>_xlfn.XLOOKUP(A105,Stars!A:A,Stars!C:C)</f>
        <v>2-star</v>
      </c>
      <c r="D105" s="19" t="s">
        <v>770</v>
      </c>
      <c r="E105" s="19"/>
      <c r="F105" s="15">
        <v>1</v>
      </c>
      <c r="G105" s="5">
        <v>42</v>
      </c>
      <c r="H105" s="5">
        <v>50</v>
      </c>
      <c r="I105" s="5">
        <v>57</v>
      </c>
      <c r="J105" s="5">
        <v>32</v>
      </c>
      <c r="K105" s="5">
        <v>13</v>
      </c>
      <c r="L105" s="5">
        <v>9</v>
      </c>
      <c r="M105" s="5">
        <v>47</v>
      </c>
      <c r="N105" s="16" cm="1">
        <f t="array" ref="N105">IFERROR(_xlfn.XLOOKUP(D105, Move_List!$A:$A, Move_List!$D:$D) * _xlfn.IFS(UPPER(TRIM(_xlfn.XLOOKUP(D105, Move_List!$A:$A, Move_List!$C:$C)))="PHYSICAL", K105, UPPER(TRIM(_xlfn.XLOOKUP(D105, Move_List!$A:$A, Move_List!$C:$C)))="SPECIAL", I105, TRUE, 0), 0)</f>
        <v>3420</v>
      </c>
      <c r="O105" s="16" cm="1">
        <f t="array" ref="O105">IFERROR(
  _xlfn.XLOOKUP(D105, Move_List!$A:$A, Move_List!$D:$D) * _xlfn.IFS(
    ISNUMBER(SEARCH("Max", E105)),
      LOOKUP(_xlfn.XLOOKUP(D105, Move_List!$A:$A, Move_List!$D:$D), {0,60,80,110,150}, {2.5,1.83,1.63,1.27,1}),
    E105&lt;&gt;"",
      LOOKUP(_xlfn.XLOOKUP(D105, Move_List!$A:$A, Move_List!$D:$D), {0,60,80,90,100,110,120,150}, {2.5,2,2,1.94,1.8,1.68,1.58,1.33}),
    TRUE, 0
  ) * IF(_xlfn.XLOOKUP(D105, Move_List!$A:$A, Move_List!$C:$C)="Physical", K105, I105),
0)</f>
        <v>0</v>
      </c>
      <c r="P105" s="16">
        <f t="shared" si="6"/>
        <v>29.333333333333332</v>
      </c>
      <c r="Q105" s="16">
        <f t="shared" si="7"/>
        <v>1003.2</v>
      </c>
      <c r="R105" s="17" cm="1">
        <f t="array" ref="R105">IFERROR(Q105 / IF(OR(_xlfn.IFNA(_xlfn.XLOOKUP(E105, Move_List!$A:$A, Move_List!$C:$C), "")={"Dynamax","Mega"}), G105*1.2, G105), 0)</f>
        <v>23.885714285714286</v>
      </c>
    </row>
    <row r="106" spans="1:18" ht="12.75">
      <c r="A106" s="4" t="s">
        <v>114</v>
      </c>
      <c r="B106" s="5" t="s">
        <v>115</v>
      </c>
      <c r="C106" s="5" t="str">
        <f>_xlfn.XLOOKUP(A106,Stars!A:A,Stars!C:C)</f>
        <v>3-star</v>
      </c>
      <c r="D106" s="5" t="s">
        <v>1159</v>
      </c>
      <c r="E106" s="5"/>
      <c r="F106" s="15">
        <v>1</v>
      </c>
      <c r="G106" s="16">
        <v>64</v>
      </c>
      <c r="H106" s="16">
        <v>61</v>
      </c>
      <c r="I106" s="16">
        <v>38</v>
      </c>
      <c r="J106" s="16">
        <v>41</v>
      </c>
      <c r="K106" s="16">
        <v>56</v>
      </c>
      <c r="L106" s="16">
        <v>41</v>
      </c>
      <c r="M106" s="16">
        <v>79</v>
      </c>
      <c r="N106" s="16" cm="1">
        <f t="array" ref="N106">IFERROR(_xlfn.XLOOKUP(D106, Move_List!$A:$A, Move_List!$D:$D) * _xlfn.IFS(UPPER(TRIM(_xlfn.XLOOKUP(D106, Move_List!$A:$A, Move_List!$C:$C)))="PHYSICAL", K106, UPPER(TRIM(_xlfn.XLOOKUP(D106, Move_List!$A:$A, Move_List!$C:$C)))="SPECIAL", I106, TRUE, 0), 0)</f>
        <v>2800</v>
      </c>
      <c r="O106" s="16" cm="1">
        <f t="array" ref="O106">IFERROR(
  _xlfn.XLOOKUP(D106, Move_List!$A:$A, Move_List!$D:$D) * _xlfn.IFS(
    ISNUMBER(SEARCH("Max", E106)),
      LOOKUP(_xlfn.XLOOKUP(D106, Move_List!$A:$A, Move_List!$D:$D), {0,60,80,110,150}, {2.5,1.83,1.63,1.27,1}),
    E106&lt;&gt;"",
      LOOKUP(_xlfn.XLOOKUP(D106, Move_List!$A:$A, Move_List!$D:$D), {0,60,80,90,100,110,120,150}, {2.5,2,2,1.94,1.8,1.68,1.58,1.33}),
    TRUE, 0
  ) * IF(_xlfn.XLOOKUP(D106, Move_List!$A:$A, Move_List!$C:$C)="Physical", K106, I106),
0)</f>
        <v>0</v>
      </c>
      <c r="P106" s="16">
        <f t="shared" si="6"/>
        <v>53.666666666666664</v>
      </c>
      <c r="Q106" s="16">
        <f t="shared" si="7"/>
        <v>1502.6666666666665</v>
      </c>
      <c r="R106" s="17" cm="1">
        <f t="array" ref="R106">IFERROR(Q106 / IF(OR(_xlfn.IFNA(_xlfn.XLOOKUP(E106, Move_List!$A:$A, Move_List!$C:$C), "")={"Dynamax","Mega"}), G106*1.2, G106), 0)</f>
        <v>23.479166666666664</v>
      </c>
    </row>
    <row r="107" spans="1:18" ht="12.75">
      <c r="A107" s="6" t="s">
        <v>279</v>
      </c>
      <c r="B107" s="5" t="s">
        <v>280</v>
      </c>
      <c r="C107" s="5" t="str">
        <f>_xlfn.XLOOKUP(A107,Stars!A:A,Stars!C:C)</f>
        <v>3-star</v>
      </c>
      <c r="D107" s="19" t="s">
        <v>433</v>
      </c>
      <c r="E107" s="19"/>
      <c r="F107" s="15">
        <v>1</v>
      </c>
      <c r="G107" s="5">
        <v>54</v>
      </c>
      <c r="H107" s="5">
        <v>47</v>
      </c>
      <c r="I107" s="5">
        <v>35</v>
      </c>
      <c r="J107" s="5">
        <v>35</v>
      </c>
      <c r="K107" s="5">
        <v>41</v>
      </c>
      <c r="L107" s="5">
        <v>38</v>
      </c>
      <c r="M107" s="5">
        <v>77</v>
      </c>
      <c r="N107" s="16" cm="1">
        <f t="array" ref="N107">IFERROR(_xlfn.XLOOKUP(D107, Move_List!$A:$A, Move_List!$D:$D) * _xlfn.IFS(UPPER(TRIM(_xlfn.XLOOKUP(D107, Move_List!$A:$A, Move_List!$C:$C)))="PHYSICAL", K107, UPPER(TRIM(_xlfn.XLOOKUP(D107, Move_List!$A:$A, Move_List!$C:$C)))="SPECIAL", I107, TRUE, 0), 0)</f>
        <v>2460</v>
      </c>
      <c r="O107" s="16" cm="1">
        <f t="array" ref="O107">IFERROR(
  _xlfn.XLOOKUP(D107, Move_List!$A:$A, Move_List!$D:$D) * _xlfn.IFS(
    ISNUMBER(SEARCH("Max", E107)),
      LOOKUP(_xlfn.XLOOKUP(D107, Move_List!$A:$A, Move_List!$D:$D), {0,60,80,110,150}, {2.5,1.83,1.63,1.27,1}),
    E107&lt;&gt;"",
      LOOKUP(_xlfn.XLOOKUP(D107, Move_List!$A:$A, Move_List!$D:$D), {0,60,80,90,100,110,120,150}, {2.5,2,2,1.94,1.8,1.68,1.58,1.33}),
    TRUE, 0
  ) * IF(_xlfn.XLOOKUP(D107, Move_List!$A:$A, Move_List!$C:$C)="Physical", K107, I107),
0)</f>
        <v>0</v>
      </c>
      <c r="P107" s="16">
        <f t="shared" si="6"/>
        <v>50</v>
      </c>
      <c r="Q107" s="16">
        <f t="shared" si="7"/>
        <v>1230</v>
      </c>
      <c r="R107" s="17" cm="1">
        <f t="array" ref="R107">IFERROR(Q107 / IF(OR(_xlfn.IFNA(_xlfn.XLOOKUP(E107, Move_List!$A:$A, Move_List!$C:$C), "")={"Dynamax","Mega"}), G107*1.2, G107), 0)</f>
        <v>22.777777777777779</v>
      </c>
    </row>
    <row r="108" spans="1:18" ht="12.75">
      <c r="A108" s="6" t="s">
        <v>323</v>
      </c>
      <c r="B108" s="5" t="s">
        <v>324</v>
      </c>
      <c r="C108" s="5" t="str">
        <f>_xlfn.XLOOKUP(A108,Stars!A:A,Stars!C:C)</f>
        <v>3-star</v>
      </c>
      <c r="D108" s="19" t="s">
        <v>907</v>
      </c>
      <c r="E108" s="19"/>
      <c r="F108" s="15">
        <v>1</v>
      </c>
      <c r="G108" s="5">
        <v>64</v>
      </c>
      <c r="H108" s="5">
        <v>51</v>
      </c>
      <c r="I108" s="5">
        <v>22</v>
      </c>
      <c r="J108" s="5">
        <v>34</v>
      </c>
      <c r="K108" s="5">
        <v>34</v>
      </c>
      <c r="L108" s="5">
        <v>110</v>
      </c>
      <c r="M108" s="5">
        <v>66</v>
      </c>
      <c r="N108" s="16" cm="1">
        <f t="array" ref="N108">IFERROR(_xlfn.XLOOKUP(D108, Move_List!$A:$A, Move_List!$D:$D) * _xlfn.IFS(UPPER(TRIM(_xlfn.XLOOKUP(D108, Move_List!$A:$A, Move_List!$C:$C)))="PHYSICAL", K108, UPPER(TRIM(_xlfn.XLOOKUP(D108, Move_List!$A:$A, Move_List!$C:$C)))="SPECIAL", I108, TRUE, 0), 0)</f>
        <v>2040</v>
      </c>
      <c r="O108" s="16" cm="1">
        <f t="array" ref="O108">IFERROR(
  _xlfn.XLOOKUP(D108, Move_List!$A:$A, Move_List!$D:$D) * _xlfn.IFS(
    ISNUMBER(SEARCH("Max", E108)),
      LOOKUP(_xlfn.XLOOKUP(D108, Move_List!$A:$A, Move_List!$D:$D), {0,60,80,110,150}, {2.5,1.83,1.63,1.27,1}),
    E108&lt;&gt;"",
      LOOKUP(_xlfn.XLOOKUP(D108, Move_List!$A:$A, Move_List!$D:$D), {0,60,80,90,100,110,120,150}, {2.5,2,2,1.94,1.8,1.68,1.58,1.33}),
    TRUE, 0
  ) * IF(_xlfn.XLOOKUP(D108, Move_List!$A:$A, Move_List!$C:$C)="Physical", K108, I108),
0)</f>
        <v>0</v>
      </c>
      <c r="P108" s="16">
        <f t="shared" si="6"/>
        <v>70</v>
      </c>
      <c r="Q108" s="16">
        <f t="shared" si="7"/>
        <v>1428</v>
      </c>
      <c r="R108" s="17" cm="1">
        <f t="array" ref="R108">IFERROR(Q108 / IF(OR(_xlfn.IFNA(_xlfn.XLOOKUP(E108, Move_List!$A:$A, Move_List!$C:$C), "")={"Dynamax","Mega"}), G108*1.2, G108), 0)</f>
        <v>22.3125</v>
      </c>
    </row>
    <row r="109" spans="1:18" ht="12.75">
      <c r="A109" s="4" t="s">
        <v>127</v>
      </c>
      <c r="B109" s="5" t="s">
        <v>128</v>
      </c>
      <c r="C109" s="5" t="str">
        <f>_xlfn.XLOOKUP(A109,Stars!A:A,Stars!C:C)</f>
        <v>3-star</v>
      </c>
      <c r="D109" s="5" t="s">
        <v>603</v>
      </c>
      <c r="E109" s="5"/>
      <c r="F109" s="15">
        <v>1</v>
      </c>
      <c r="G109" s="16">
        <v>60</v>
      </c>
      <c r="H109" s="16">
        <v>44</v>
      </c>
      <c r="I109" s="16">
        <v>37</v>
      </c>
      <c r="J109" s="16">
        <v>51</v>
      </c>
      <c r="K109" s="16">
        <v>44</v>
      </c>
      <c r="L109" s="16">
        <v>41</v>
      </c>
      <c r="M109" s="16">
        <v>85</v>
      </c>
      <c r="N109" s="16" cm="1">
        <f t="array" ref="N109">IFERROR(_xlfn.XLOOKUP(D109, Move_List!$A:$A, Move_List!$D:$D) * _xlfn.IFS(UPPER(TRIM(_xlfn.XLOOKUP(D109, Move_List!$A:$A, Move_List!$C:$C)))="PHYSICAL", K109, UPPER(TRIM(_xlfn.XLOOKUP(D109, Move_List!$A:$A, Move_List!$C:$C)))="SPECIAL", I109, TRUE, 0), 0)</f>
        <v>2220</v>
      </c>
      <c r="O109" s="16" cm="1">
        <f t="array" ref="O109">IFERROR(
  _xlfn.XLOOKUP(D109, Move_List!$A:$A, Move_List!$D:$D) * _xlfn.IFS(
    ISNUMBER(SEARCH("Max", E109)),
      LOOKUP(_xlfn.XLOOKUP(D109, Move_List!$A:$A, Move_List!$D:$D), {0,60,80,110,150}, {2.5,1.83,1.63,1.27,1}),
    E109&lt;&gt;"",
      LOOKUP(_xlfn.XLOOKUP(D109, Move_List!$A:$A, Move_List!$D:$D), {0,60,80,90,100,110,120,150}, {2.5,2,2,1.94,1.8,1.68,1.58,1.33}),
    TRUE, 0
  ) * IF(_xlfn.XLOOKUP(D109, Move_List!$A:$A, Move_List!$C:$C)="Physical", K109, I109),
0)</f>
        <v>0</v>
      </c>
      <c r="P109" s="16">
        <f t="shared" si="6"/>
        <v>59</v>
      </c>
      <c r="Q109" s="16">
        <f t="shared" si="7"/>
        <v>1309.8</v>
      </c>
      <c r="R109" s="17" cm="1">
        <f t="array" ref="R109">IFERROR(Q109 / IF(OR(_xlfn.IFNA(_xlfn.XLOOKUP(E109, Move_List!$A:$A, Move_List!$C:$C), "")={"Dynamax","Mega"}), G109*1.2, G109), 0)</f>
        <v>21.83</v>
      </c>
    </row>
    <row r="110" spans="1:18" ht="12.75">
      <c r="A110" s="6" t="s">
        <v>320</v>
      </c>
      <c r="B110" s="5" t="s">
        <v>321</v>
      </c>
      <c r="C110" s="5" t="str">
        <f>_xlfn.XLOOKUP(A110,Stars!A:A,Stars!C:C)</f>
        <v>3-star</v>
      </c>
      <c r="D110" s="19" t="s">
        <v>1301</v>
      </c>
      <c r="E110" s="19"/>
      <c r="F110" s="15">
        <v>1</v>
      </c>
      <c r="G110" s="5">
        <v>50</v>
      </c>
      <c r="H110" s="5">
        <v>38</v>
      </c>
      <c r="I110" s="5">
        <v>47</v>
      </c>
      <c r="J110" s="5">
        <v>41</v>
      </c>
      <c r="K110" s="5">
        <v>27</v>
      </c>
      <c r="L110" s="5">
        <v>27</v>
      </c>
      <c r="M110" s="5">
        <v>68</v>
      </c>
      <c r="N110" s="16" cm="1">
        <f t="array" ref="N110">IFERROR(_xlfn.XLOOKUP(D110, Move_List!$A:$A, Move_List!$D:$D) * _xlfn.IFS(UPPER(TRIM(_xlfn.XLOOKUP(D110, Move_List!$A:$A, Move_List!$C:$C)))="PHYSICAL", K110, UPPER(TRIM(_xlfn.XLOOKUP(D110, Move_List!$A:$A, Move_List!$C:$C)))="SPECIAL", I110, TRUE, 0), 0)</f>
        <v>2350</v>
      </c>
      <c r="O110" s="16" cm="1">
        <f t="array" ref="O110">IFERROR(
  _xlfn.XLOOKUP(D110, Move_List!$A:$A, Move_List!$D:$D) * _xlfn.IFS(
    ISNUMBER(SEARCH("Max", E110)),
      LOOKUP(_xlfn.XLOOKUP(D110, Move_List!$A:$A, Move_List!$D:$D), {0,60,80,110,150}, {2.5,1.83,1.63,1.27,1}),
    E110&lt;&gt;"",
      LOOKUP(_xlfn.XLOOKUP(D110, Move_List!$A:$A, Move_List!$D:$D), {0,60,80,90,100,110,120,150}, {2.5,2,2,1.94,1.8,1.68,1.58,1.33}),
    TRUE, 0
  ) * IF(_xlfn.XLOOKUP(D110, Move_List!$A:$A, Move_List!$C:$C)="Physical", K110, I110),
0)</f>
        <v>0</v>
      </c>
      <c r="P110" s="16">
        <f t="shared" si="6"/>
        <v>45.333333333333336</v>
      </c>
      <c r="Q110" s="16">
        <f t="shared" si="7"/>
        <v>1065.3333333333335</v>
      </c>
      <c r="R110" s="17" cm="1">
        <f t="array" ref="R110">IFERROR(Q110 / IF(OR(_xlfn.IFNA(_xlfn.XLOOKUP(E110, Move_List!$A:$A, Move_List!$C:$C), "")={"Dynamax","Mega"}), G110*1.2, G110), 0)</f>
        <v>21.306666666666668</v>
      </c>
    </row>
    <row r="111" spans="1:18" ht="12.75">
      <c r="A111" s="6" t="s">
        <v>299</v>
      </c>
      <c r="B111" s="5" t="s">
        <v>300</v>
      </c>
      <c r="C111" s="5" t="str">
        <f>_xlfn.XLOOKUP(A111,Stars!A:A,Stars!C:C)</f>
        <v>3-star</v>
      </c>
      <c r="D111" s="19" t="s">
        <v>416</v>
      </c>
      <c r="E111" s="19"/>
      <c r="F111" s="15">
        <v>1</v>
      </c>
      <c r="G111" s="5">
        <v>68</v>
      </c>
      <c r="H111" s="5">
        <v>62</v>
      </c>
      <c r="I111" s="5">
        <v>74</v>
      </c>
      <c r="J111" s="5">
        <v>62</v>
      </c>
      <c r="K111" s="5">
        <v>35</v>
      </c>
      <c r="L111" s="5">
        <v>24</v>
      </c>
      <c r="M111" s="5">
        <v>79</v>
      </c>
      <c r="N111" s="16" cm="1">
        <f t="array" ref="N111">IFERROR(_xlfn.XLOOKUP(D111, Move_List!$A:$A, Move_List!$D:$D) * _xlfn.IFS(UPPER(TRIM(_xlfn.XLOOKUP(D111, Move_List!$A:$A, Move_List!$C:$C)))="PHYSICAL", K111, UPPER(TRIM(_xlfn.XLOOKUP(D111, Move_List!$A:$A, Move_List!$C:$C)))="SPECIAL", I111, TRUE, 0), 0)</f>
        <v>2625</v>
      </c>
      <c r="O111" s="16" cm="1">
        <f t="array" ref="O111">IFERROR(
  _xlfn.XLOOKUP(D111, Move_List!$A:$A, Move_List!$D:$D) * _xlfn.IFS(
    ISNUMBER(SEARCH("Max", E111)),
      LOOKUP(_xlfn.XLOOKUP(D111, Move_List!$A:$A, Move_List!$D:$D), {0,60,80,110,150}, {2.5,1.83,1.63,1.27,1}),
    E111&lt;&gt;"",
      LOOKUP(_xlfn.XLOOKUP(D111, Move_List!$A:$A, Move_List!$D:$D), {0,60,80,90,100,110,120,150}, {2.5,2,2,1.94,1.8,1.68,1.58,1.33}),
    TRUE, 0
  ) * IF(_xlfn.XLOOKUP(D111, Move_List!$A:$A, Move_List!$C:$C)="Physical", K111, I111),
0)</f>
        <v>0</v>
      </c>
      <c r="P111" s="16">
        <f t="shared" si="6"/>
        <v>55</v>
      </c>
      <c r="Q111" s="16">
        <f t="shared" si="7"/>
        <v>1443.7500000000002</v>
      </c>
      <c r="R111" s="17" cm="1">
        <f t="array" ref="R111">IFERROR(Q111 / IF(OR(_xlfn.IFNA(_xlfn.XLOOKUP(E111, Move_List!$A:$A, Move_List!$C:$C), "")={"Dynamax","Mega"}), G111*1.2, G111), 0)</f>
        <v>21.231617647058826</v>
      </c>
    </row>
    <row r="112" spans="1:18" ht="12.75">
      <c r="A112" s="6" t="s">
        <v>270</v>
      </c>
      <c r="B112" s="5" t="s">
        <v>58</v>
      </c>
      <c r="C112" s="5" t="str">
        <f>_xlfn.XLOOKUP(A112,Stars!A:A,Stars!C:C)</f>
        <v>4-star</v>
      </c>
      <c r="D112" s="19" t="s">
        <v>534</v>
      </c>
      <c r="E112" s="19"/>
      <c r="F112" s="15">
        <v>1</v>
      </c>
      <c r="G112" s="5">
        <v>90</v>
      </c>
      <c r="H112" s="5">
        <v>51</v>
      </c>
      <c r="I112" s="5">
        <v>73</v>
      </c>
      <c r="J112" s="5">
        <v>84</v>
      </c>
      <c r="K112" s="5">
        <v>99</v>
      </c>
      <c r="L112" s="5">
        <v>48</v>
      </c>
      <c r="M112" s="5">
        <v>92</v>
      </c>
      <c r="N112" s="16" cm="1">
        <f t="array" ref="N112">IFERROR(_xlfn.XLOOKUP(D112, Move_List!$A:$A, Move_List!$D:$D) * _xlfn.IFS(UPPER(TRIM(_xlfn.XLOOKUP(D112, Move_List!$A:$A, Move_List!$C:$C)))="PHYSICAL", K112, UPPER(TRIM(_xlfn.XLOOKUP(D112, Move_List!$A:$A, Move_List!$C:$C)))="SPECIAL", I112, TRUE, 0), 0)</f>
        <v>2555</v>
      </c>
      <c r="O112" s="16" cm="1">
        <f t="array" ref="O112">IFERROR(
  _xlfn.XLOOKUP(D112, Move_List!$A:$A, Move_List!$D:$D) * _xlfn.IFS(
    ISNUMBER(SEARCH("Max", E112)),
      LOOKUP(_xlfn.XLOOKUP(D112, Move_List!$A:$A, Move_List!$D:$D), {0,60,80,110,150}, {2.5,1.83,1.63,1.27,1}),
    E112&lt;&gt;"",
      LOOKUP(_xlfn.XLOOKUP(D112, Move_List!$A:$A, Move_List!$D:$D), {0,60,80,90,100,110,120,150}, {2.5,2,2,1.94,1.8,1.68,1.58,1.33}),
    TRUE, 0
  ) * IF(_xlfn.XLOOKUP(D112, Move_List!$A:$A, Move_List!$C:$C)="Physical", K112, I112),
0)</f>
        <v>0</v>
      </c>
      <c r="P112" s="16">
        <f t="shared" si="6"/>
        <v>74.666666666666671</v>
      </c>
      <c r="Q112" s="16">
        <f t="shared" si="7"/>
        <v>1907.7333333333333</v>
      </c>
      <c r="R112" s="17" cm="1">
        <f t="array" ref="R112">IFERROR(Q112 / IF(OR(_xlfn.IFNA(_xlfn.XLOOKUP(E112, Move_List!$A:$A, Move_List!$C:$C), "")={"Dynamax","Mega"}), G112*1.2, G112), 0)</f>
        <v>21.197037037037038</v>
      </c>
    </row>
    <row r="113" spans="1:18" ht="12.75">
      <c r="A113" s="6" t="s">
        <v>292</v>
      </c>
      <c r="B113" s="5" t="s">
        <v>293</v>
      </c>
      <c r="C113" s="5" t="str">
        <f>_xlfn.XLOOKUP(A113,Stars!A:A,Stars!C:C)</f>
        <v>3-star</v>
      </c>
      <c r="D113" s="19" t="s">
        <v>750</v>
      </c>
      <c r="E113" s="19"/>
      <c r="F113" s="15">
        <v>0.9</v>
      </c>
      <c r="G113" s="5">
        <v>58</v>
      </c>
      <c r="H113" s="5">
        <v>51</v>
      </c>
      <c r="I113" s="5">
        <v>38</v>
      </c>
      <c r="J113" s="5">
        <v>38</v>
      </c>
      <c r="K113" s="5">
        <v>51</v>
      </c>
      <c r="L113" s="5">
        <v>38</v>
      </c>
      <c r="M113" s="5">
        <v>76</v>
      </c>
      <c r="N113" s="16" cm="1">
        <f t="array" ref="N113">IFERROR(_xlfn.XLOOKUP(D113, Move_List!$A:$A, Move_List!$D:$D) * _xlfn.IFS(UPPER(TRIM(_xlfn.XLOOKUP(D113, Move_List!$A:$A, Move_List!$C:$C)))="PHYSICAL", K113, UPPER(TRIM(_xlfn.XLOOKUP(D113, Move_List!$A:$A, Move_List!$C:$C)))="SPECIAL", I113, TRUE, 0), 0)</f>
        <v>2280</v>
      </c>
      <c r="O113" s="16" cm="1">
        <f t="array" ref="O113">IFERROR(
  _xlfn.XLOOKUP(D113, Move_List!$A:$A, Move_List!$D:$D) * _xlfn.IFS(
    ISNUMBER(SEARCH("Max", E113)),
      LOOKUP(_xlfn.XLOOKUP(D113, Move_List!$A:$A, Move_List!$D:$D), {0,60,80,110,150}, {2.5,1.83,1.63,1.27,1}),
    E113&lt;&gt;"",
      LOOKUP(_xlfn.XLOOKUP(D113, Move_List!$A:$A, Move_List!$D:$D), {0,60,80,90,100,110,120,150}, {2.5,2,2,1.94,1.8,1.68,1.58,1.33}),
    TRUE, 0
  ) * IF(_xlfn.XLOOKUP(D113, Move_List!$A:$A, Move_List!$C:$C)="Physical", K113, I113),
0)</f>
        <v>0</v>
      </c>
      <c r="P113" s="16">
        <f t="shared" si="6"/>
        <v>50.666666666666664</v>
      </c>
      <c r="Q113" s="16">
        <f t="shared" si="7"/>
        <v>1155.1999999999998</v>
      </c>
      <c r="R113" s="17" cm="1">
        <f t="array" ref="R113">IFERROR(Q113 / IF(OR(_xlfn.IFNA(_xlfn.XLOOKUP(E113, Move_List!$A:$A, Move_List!$C:$C), "")={"Dynamax","Mega"}), G113*1.2, G113), 0)</f>
        <v>19.91724137931034</v>
      </c>
    </row>
    <row r="114" spans="1:18" ht="12.75">
      <c r="A114" s="4" t="s">
        <v>162</v>
      </c>
      <c r="B114" s="5" t="s">
        <v>163</v>
      </c>
      <c r="C114" s="5" t="str">
        <f>_xlfn.XLOOKUP(A114,Stars!A:A,Stars!C:C)</f>
        <v>2-star</v>
      </c>
      <c r="D114" s="5" t="s">
        <v>1098</v>
      </c>
      <c r="E114" s="5"/>
      <c r="F114" s="15">
        <v>1</v>
      </c>
      <c r="G114" s="16">
        <v>42</v>
      </c>
      <c r="H114" s="16">
        <v>28</v>
      </c>
      <c r="I114" s="16">
        <v>32</v>
      </c>
      <c r="J114" s="16">
        <v>27</v>
      </c>
      <c r="K114" s="16">
        <v>36</v>
      </c>
      <c r="L114" s="16">
        <v>27</v>
      </c>
      <c r="M114" s="16">
        <v>58</v>
      </c>
      <c r="N114" s="16" cm="1">
        <f t="array" ref="N114">IFERROR(_xlfn.XLOOKUP(D114, Move_List!$A:$A, Move_List!$D:$D) * _xlfn.IFS(UPPER(TRIM(_xlfn.XLOOKUP(D114, Move_List!$A:$A, Move_List!$C:$C)))="PHYSICAL", K114, UPPER(TRIM(_xlfn.XLOOKUP(D114, Move_List!$A:$A, Move_List!$C:$C)))="SPECIAL", I114, TRUE, 0), 0)</f>
        <v>2160</v>
      </c>
      <c r="O114" s="16" cm="1">
        <f t="array" ref="O114">IFERROR(
  _xlfn.XLOOKUP(D114, Move_List!$A:$A, Move_List!$D:$D) * _xlfn.IFS(
    ISNUMBER(SEARCH("Max", E114)),
      LOOKUP(_xlfn.XLOOKUP(D114, Move_List!$A:$A, Move_List!$D:$D), {0,60,80,110,150}, {2.5,1.83,1.63,1.27,1}),
    E114&lt;&gt;"",
      LOOKUP(_xlfn.XLOOKUP(D114, Move_List!$A:$A, Move_List!$D:$D), {0,60,80,90,100,110,120,150}, {2.5,2,2,1.94,1.8,1.68,1.58,1.33}),
    TRUE, 0
  ) * IF(_xlfn.XLOOKUP(D114, Move_List!$A:$A, Move_List!$C:$C)="Physical", K114, I114),
0)</f>
        <v>0</v>
      </c>
      <c r="P114" s="16">
        <f t="shared" si="6"/>
        <v>37.333333333333336</v>
      </c>
      <c r="Q114" s="16">
        <f t="shared" si="7"/>
        <v>806.40000000000009</v>
      </c>
      <c r="R114" s="17" cm="1">
        <f t="array" ref="R114">IFERROR(Q114 / IF(OR(_xlfn.IFNA(_xlfn.XLOOKUP(E114, Move_List!$A:$A, Move_List!$C:$C), "")={"Dynamax","Mega"}), G114*1.2, G114), 0)</f>
        <v>19.200000000000003</v>
      </c>
    </row>
    <row r="115" spans="1:18" ht="12.75">
      <c r="A115" s="6" t="s">
        <v>282</v>
      </c>
      <c r="B115" s="5" t="s">
        <v>283</v>
      </c>
      <c r="C115" s="5" t="str">
        <f>_xlfn.XLOOKUP(A115,Stars!A:A,Stars!C:C)</f>
        <v>2-star</v>
      </c>
      <c r="D115" s="19" t="s">
        <v>1059</v>
      </c>
      <c r="E115" s="19"/>
      <c r="F115" s="15">
        <v>1</v>
      </c>
      <c r="G115" s="5">
        <v>40</v>
      </c>
      <c r="H115" s="5">
        <v>24</v>
      </c>
      <c r="I115" s="5">
        <v>6</v>
      </c>
      <c r="J115" s="5">
        <v>21</v>
      </c>
      <c r="K115" s="5">
        <v>41</v>
      </c>
      <c r="L115" s="5">
        <v>50</v>
      </c>
      <c r="M115" s="5">
        <v>58</v>
      </c>
      <c r="N115" s="16" cm="1">
        <f t="array" ref="N115">IFERROR(_xlfn.XLOOKUP(D115, Move_List!$A:$A, Move_List!$D:$D) * _xlfn.IFS(UPPER(TRIM(_xlfn.XLOOKUP(D115, Move_List!$A:$A, Move_List!$C:$C)))="PHYSICAL", K115, UPPER(TRIM(_xlfn.XLOOKUP(D115, Move_List!$A:$A, Move_List!$C:$C)))="SPECIAL", I115, TRUE, 0), 0)</f>
        <v>1640</v>
      </c>
      <c r="O115" s="16" cm="1">
        <f t="array" ref="O115">IFERROR(
  _xlfn.XLOOKUP(D115, Move_List!$A:$A, Move_List!$D:$D) * _xlfn.IFS(
    ISNUMBER(SEARCH("Max", E115)),
      LOOKUP(_xlfn.XLOOKUP(D115, Move_List!$A:$A, Move_List!$D:$D), {0,60,80,110,150}, {2.5,1.83,1.63,1.27,1}),
    E115&lt;&gt;"",
      LOOKUP(_xlfn.XLOOKUP(D115, Move_List!$A:$A, Move_List!$D:$D), {0,60,80,90,100,110,120,150}, {2.5,2,2,1.94,1.8,1.68,1.58,1.33}),
    TRUE, 0
  ) * IF(_xlfn.XLOOKUP(D115, Move_List!$A:$A, Move_List!$C:$C)="Physical", K115, I115),
0)</f>
        <v>0</v>
      </c>
      <c r="P115" s="16">
        <f t="shared" si="6"/>
        <v>43</v>
      </c>
      <c r="Q115" s="16">
        <f t="shared" si="7"/>
        <v>705.2</v>
      </c>
      <c r="R115" s="17" cm="1">
        <f t="array" ref="R115">IFERROR(Q115 / IF(OR(_xlfn.IFNA(_xlfn.XLOOKUP(E115, Move_List!$A:$A, Move_List!$C:$C), "")={"Dynamax","Mega"}), G115*1.2, G115), 0)</f>
        <v>17.630000000000003</v>
      </c>
    </row>
    <row r="116" spans="1:18" ht="12.75">
      <c r="A116" s="6" t="s">
        <v>251</v>
      </c>
      <c r="B116" s="5" t="s">
        <v>252</v>
      </c>
      <c r="C116" s="5" t="str">
        <f>_xlfn.XLOOKUP(A116,Stars!A:A,Stars!C:C)</f>
        <v>2-star</v>
      </c>
      <c r="D116" s="19" t="s">
        <v>456</v>
      </c>
      <c r="E116" s="19"/>
      <c r="F116" s="15">
        <v>1</v>
      </c>
      <c r="G116" s="5">
        <v>48</v>
      </c>
      <c r="H116" s="5">
        <v>35</v>
      </c>
      <c r="I116" s="5">
        <v>24</v>
      </c>
      <c r="J116" s="5">
        <v>30</v>
      </c>
      <c r="K116" s="5">
        <v>47</v>
      </c>
      <c r="L116" s="5">
        <v>30</v>
      </c>
      <c r="M116" s="5">
        <v>74</v>
      </c>
      <c r="N116" s="16" cm="1">
        <f t="array" ref="N116">IFERROR(_xlfn.XLOOKUP(D116, Move_List!$A:$A, Move_List!$D:$D) * _xlfn.IFS(UPPER(TRIM(_xlfn.XLOOKUP(D116, Move_List!$A:$A, Move_List!$C:$C)))="PHYSICAL", K116, UPPER(TRIM(_xlfn.XLOOKUP(D116, Move_List!$A:$A, Move_List!$C:$C)))="SPECIAL", I116, TRUE, 0), 0)</f>
        <v>1880</v>
      </c>
      <c r="O116" s="16" cm="1">
        <f t="array" ref="O116">IFERROR(
  _xlfn.XLOOKUP(D116, Move_List!$A:$A, Move_List!$D:$D) * _xlfn.IFS(
    ISNUMBER(SEARCH("Max", E116)),
      LOOKUP(_xlfn.XLOOKUP(D116, Move_List!$A:$A, Move_List!$D:$D), {0,60,80,110,150}, {2.5,1.83,1.63,1.27,1}),
    E116&lt;&gt;"",
      LOOKUP(_xlfn.XLOOKUP(D116, Move_List!$A:$A, Move_List!$D:$D), {0,60,80,90,100,110,120,150}, {2.5,2,2,1.94,1.8,1.68,1.58,1.33}),
    TRUE, 0
  ) * IF(_xlfn.XLOOKUP(D116, Move_List!$A:$A, Move_List!$C:$C)="Physical", K116, I116),
0)</f>
        <v>0</v>
      </c>
      <c r="P116" s="16">
        <f t="shared" si="6"/>
        <v>44.666666666666664</v>
      </c>
      <c r="Q116" s="16">
        <f t="shared" si="7"/>
        <v>839.73333333333335</v>
      </c>
      <c r="R116" s="17" cm="1">
        <f t="array" ref="R116">IFERROR(Q116 / IF(OR(_xlfn.IFNA(_xlfn.XLOOKUP(E116, Move_List!$A:$A, Move_List!$C:$C), "")={"Dynamax","Mega"}), G116*1.2, G116), 0)</f>
        <v>17.494444444444444</v>
      </c>
    </row>
    <row r="117" spans="1:18" ht="12.75">
      <c r="A117" s="6" t="s">
        <v>262</v>
      </c>
      <c r="B117" s="5" t="s">
        <v>263</v>
      </c>
      <c r="C117" s="5" t="str">
        <f>_xlfn.XLOOKUP(A117,Stars!A:A,Stars!C:C)</f>
        <v>3-star</v>
      </c>
      <c r="D117" s="19" t="s">
        <v>1357</v>
      </c>
      <c r="E117" s="19"/>
      <c r="F117" s="15">
        <v>1</v>
      </c>
      <c r="G117" s="5">
        <v>64</v>
      </c>
      <c r="H117" s="5">
        <v>55</v>
      </c>
      <c r="I117" s="5">
        <v>53</v>
      </c>
      <c r="J117" s="5">
        <v>37</v>
      </c>
      <c r="K117" s="5">
        <v>53</v>
      </c>
      <c r="L117" s="5">
        <v>37</v>
      </c>
      <c r="M117" s="5">
        <v>80</v>
      </c>
      <c r="N117" s="16" cm="1">
        <f t="array" ref="N117">IFERROR(_xlfn.XLOOKUP(D117, Move_List!$A:$A, Move_List!$D:$D) * _xlfn.IFS(UPPER(TRIM(_xlfn.XLOOKUP(D117, Move_List!$A:$A, Move_List!$C:$C)))="PHYSICAL", K117, UPPER(TRIM(_xlfn.XLOOKUP(D117, Move_List!$A:$A, Move_List!$C:$C)))="SPECIAL", I117, TRUE, 0), 0)</f>
        <v>2120</v>
      </c>
      <c r="O117" s="16" cm="1">
        <f t="array" ref="O117">IFERROR(
  _xlfn.XLOOKUP(D117, Move_List!$A:$A, Move_List!$D:$D) * _xlfn.IFS(
    ISNUMBER(SEARCH("Max", E117)),
      LOOKUP(_xlfn.XLOOKUP(D117, Move_List!$A:$A, Move_List!$D:$D), {0,60,80,110,150}, {2.5,1.83,1.63,1.27,1}),
    E117&lt;&gt;"",
      LOOKUP(_xlfn.XLOOKUP(D117, Move_List!$A:$A, Move_List!$D:$D), {0,60,80,90,100,110,120,150}, {2.5,2,2,1.94,1.8,1.68,1.58,1.33}),
    TRUE, 0
  ) * IF(_xlfn.XLOOKUP(D117, Move_List!$A:$A, Move_List!$C:$C)="Physical", K117, I117),
0)</f>
        <v>0</v>
      </c>
      <c r="P117" s="16">
        <f t="shared" si="6"/>
        <v>51.333333333333336</v>
      </c>
      <c r="Q117" s="16">
        <f t="shared" si="7"/>
        <v>1088.2666666666667</v>
      </c>
      <c r="R117" s="17" cm="1">
        <f t="array" ref="R117">IFERROR(Q117 / IF(OR(_xlfn.IFNA(_xlfn.XLOOKUP(E117, Move_List!$A:$A, Move_List!$C:$C), "")={"Dynamax","Mega"}), G117*1.2, G117), 0)</f>
        <v>17.004166666666666</v>
      </c>
    </row>
    <row r="118" spans="1:18" ht="12.75">
      <c r="A118" s="4" t="s">
        <v>98</v>
      </c>
      <c r="B118" s="5" t="s">
        <v>99</v>
      </c>
      <c r="C118" s="5" t="str">
        <f>_xlfn.XLOOKUP(A118,Stars!A:A,Stars!C:C)</f>
        <v>2-star</v>
      </c>
      <c r="D118" s="5" t="s">
        <v>487</v>
      </c>
      <c r="E118" s="5"/>
      <c r="F118" s="15">
        <v>1</v>
      </c>
      <c r="G118" s="16">
        <v>48</v>
      </c>
      <c r="H118" s="16">
        <v>25</v>
      </c>
      <c r="I118" s="16">
        <v>40</v>
      </c>
      <c r="J118" s="16">
        <v>27</v>
      </c>
      <c r="K118" s="16">
        <v>30</v>
      </c>
      <c r="L118" s="16">
        <v>38</v>
      </c>
      <c r="M118" s="16">
        <v>75</v>
      </c>
      <c r="N118" s="16" cm="1">
        <f t="array" ref="N118">IFERROR(_xlfn.XLOOKUP(D118, Move_List!$A:$A, Move_List!$D:$D) * _xlfn.IFS(UPPER(TRIM(_xlfn.XLOOKUP(D118, Move_List!$A:$A, Move_List!$C:$C)))="PHYSICAL", K118, UPPER(TRIM(_xlfn.XLOOKUP(D118, Move_List!$A:$A, Move_List!$C:$C)))="SPECIAL", I118, TRUE, 0), 0)</f>
        <v>1600</v>
      </c>
      <c r="O118" s="16" cm="1">
        <f t="array" ref="O118">IFERROR(
  _xlfn.XLOOKUP(D118, Move_List!$A:$A, Move_List!$D:$D) * _xlfn.IFS(
    ISNUMBER(SEARCH("Max", E118)),
      LOOKUP(_xlfn.XLOOKUP(D118, Move_List!$A:$A, Move_List!$D:$D), {0,60,80,110,150}, {2.5,1.83,1.63,1.27,1}),
    E118&lt;&gt;"",
      LOOKUP(_xlfn.XLOOKUP(D118, Move_List!$A:$A, Move_List!$D:$D), {0,60,80,90,100,110,120,150}, {2.5,2,2,1.94,1.8,1.68,1.58,1.33}),
    TRUE, 0
  ) * IF(_xlfn.XLOOKUP(D118, Move_List!$A:$A, Move_List!$C:$C)="Physical", K118, I118),
0)</f>
        <v>0</v>
      </c>
      <c r="P118" s="16">
        <f t="shared" si="6"/>
        <v>46.666666666666664</v>
      </c>
      <c r="Q118" s="16">
        <f t="shared" si="7"/>
        <v>746.66666666666663</v>
      </c>
      <c r="R118" s="17" cm="1">
        <f t="array" ref="R118">IFERROR(Q118 / IF(OR(_xlfn.IFNA(_xlfn.XLOOKUP(E118, Move_List!$A:$A, Move_List!$C:$C), "")={"Dynamax","Mega"}), G118*1.2, G118), 0)</f>
        <v>15.555555555555555</v>
      </c>
    </row>
    <row r="119" spans="1:18" ht="12.75">
      <c r="A119" s="4" t="s">
        <v>106</v>
      </c>
      <c r="B119" s="5" t="s">
        <v>107</v>
      </c>
      <c r="C119" s="5" t="str">
        <f>_xlfn.XLOOKUP(A119,Stars!A:A,Stars!C:C)</f>
        <v>2-star</v>
      </c>
      <c r="D119" s="5" t="s">
        <v>1575</v>
      </c>
      <c r="E119" s="5"/>
      <c r="F119" s="15">
        <v>1</v>
      </c>
      <c r="G119" s="16">
        <v>42</v>
      </c>
      <c r="H119" s="16">
        <v>40</v>
      </c>
      <c r="I119" s="16">
        <v>26</v>
      </c>
      <c r="J119" s="16">
        <v>26</v>
      </c>
      <c r="K119" s="16">
        <v>40</v>
      </c>
      <c r="L119" s="16">
        <v>32</v>
      </c>
      <c r="M119" s="16">
        <v>64</v>
      </c>
      <c r="N119" s="16" cm="1">
        <f t="array" ref="N119">IFERROR(_xlfn.XLOOKUP(D119, Move_List!$A:$A, Move_List!$D:$D) * _xlfn.IFS(UPPER(TRIM(_xlfn.XLOOKUP(D119, Move_List!$A:$A, Move_List!$C:$C)))="PHYSICAL", K119, UPPER(TRIM(_xlfn.XLOOKUP(D119, Move_List!$A:$A, Move_List!$C:$C)))="SPECIAL", I119, TRUE, 0), 0)</f>
        <v>1600</v>
      </c>
      <c r="O119" s="16" cm="1">
        <f t="array" ref="O119">IFERROR(
  _xlfn.XLOOKUP(D119, Move_List!$A:$A, Move_List!$D:$D) * _xlfn.IFS(
    ISNUMBER(SEARCH("Max", E119)),
      LOOKUP(_xlfn.XLOOKUP(D119, Move_List!$A:$A, Move_List!$D:$D), {0,60,80,110,150}, {2.5,1.83,1.63,1.27,1}),
    E119&lt;&gt;"",
      LOOKUP(_xlfn.XLOOKUP(D119, Move_List!$A:$A, Move_List!$D:$D), {0,60,80,90,100,110,120,150}, {2.5,2,2,1.94,1.8,1.68,1.58,1.33}),
    TRUE, 0
  ) * IF(_xlfn.XLOOKUP(D119, Move_List!$A:$A, Move_List!$C:$C)="Physical", K119, I119),
0)</f>
        <v>0</v>
      </c>
      <c r="P119" s="16">
        <f t="shared" si="6"/>
        <v>40.666666666666664</v>
      </c>
      <c r="Q119" s="16">
        <f t="shared" si="7"/>
        <v>650.66666666666663</v>
      </c>
      <c r="R119" s="17" cm="1">
        <f t="array" ref="R119">IFERROR(Q119 / IF(OR(_xlfn.IFNA(_xlfn.XLOOKUP(E119, Move_List!$A:$A, Move_List!$C:$C), "")={"Dynamax","Mega"}), G119*1.2, G119), 0)</f>
        <v>15.49206349206349</v>
      </c>
    </row>
    <row r="120" spans="1:18" ht="12.75">
      <c r="A120" s="6" t="s">
        <v>255</v>
      </c>
      <c r="B120" s="5" t="s">
        <v>256</v>
      </c>
      <c r="C120" s="5" t="str">
        <f>_xlfn.XLOOKUP(A120,Stars!A:A,Stars!C:C)</f>
        <v>2-star</v>
      </c>
      <c r="D120" s="19" t="s">
        <v>1424</v>
      </c>
      <c r="E120" s="19"/>
      <c r="F120" s="15">
        <v>1</v>
      </c>
      <c r="G120" s="5">
        <v>44</v>
      </c>
      <c r="H120" s="5">
        <v>20</v>
      </c>
      <c r="I120" s="5">
        <v>27</v>
      </c>
      <c r="J120" s="5">
        <v>32</v>
      </c>
      <c r="K120" s="5">
        <v>39</v>
      </c>
      <c r="L120" s="5">
        <v>37</v>
      </c>
      <c r="M120" s="5">
        <v>62</v>
      </c>
      <c r="N120" s="16" cm="1">
        <f t="array" ref="N120">IFERROR(_xlfn.XLOOKUP(D120, Move_List!$A:$A, Move_List!$D:$D) * _xlfn.IFS(UPPER(TRIM(_xlfn.XLOOKUP(D120, Move_List!$A:$A, Move_List!$C:$C)))="PHYSICAL", K120, UPPER(TRIM(_xlfn.XLOOKUP(D120, Move_List!$A:$A, Move_List!$C:$C)))="SPECIAL", I120, TRUE, 0), 0)</f>
        <v>1560</v>
      </c>
      <c r="O120" s="16" cm="1">
        <f t="array" ref="O120">IFERROR(
  _xlfn.XLOOKUP(D120, Move_List!$A:$A, Move_List!$D:$D) * _xlfn.IFS(
    ISNUMBER(SEARCH("Max", E120)),
      LOOKUP(_xlfn.XLOOKUP(D120, Move_List!$A:$A, Move_List!$D:$D), {0,60,80,110,150}, {2.5,1.83,1.63,1.27,1}),
    E120&lt;&gt;"",
      LOOKUP(_xlfn.XLOOKUP(D120, Move_List!$A:$A, Move_List!$D:$D), {0,60,80,90,100,110,120,150}, {2.5,2,2,1.94,1.8,1.68,1.58,1.33}),
    TRUE, 0
  ) * IF(_xlfn.XLOOKUP(D120, Move_List!$A:$A, Move_List!$C:$C)="Physical", K120, I120),
0)</f>
        <v>0</v>
      </c>
      <c r="P120" s="16">
        <f t="shared" si="6"/>
        <v>43.666666666666664</v>
      </c>
      <c r="Q120" s="16">
        <f t="shared" si="7"/>
        <v>681.19999999999993</v>
      </c>
      <c r="R120" s="17" cm="1">
        <f t="array" ref="R120">IFERROR(Q120 / IF(OR(_xlfn.IFNA(_xlfn.XLOOKUP(E120, Move_List!$A:$A, Move_List!$C:$C), "")={"Dynamax","Mega"}), G120*1.2, G120), 0)</f>
        <v>15.481818181818181</v>
      </c>
    </row>
    <row r="121" spans="1:18" ht="12.75">
      <c r="A121" s="4" t="s">
        <v>92</v>
      </c>
      <c r="B121" s="18" t="s">
        <v>94</v>
      </c>
      <c r="C121" s="5" t="str">
        <f>_xlfn.XLOOKUP(A121,Stars!A:A,Stars!C:C)</f>
        <v>2-star</v>
      </c>
      <c r="D121" s="5" t="s">
        <v>1424</v>
      </c>
      <c r="E121" s="5"/>
      <c r="F121" s="15">
        <v>1</v>
      </c>
      <c r="G121" s="16">
        <v>48</v>
      </c>
      <c r="H121" s="16">
        <v>41</v>
      </c>
      <c r="I121" s="16">
        <v>30</v>
      </c>
      <c r="J121" s="16">
        <v>30</v>
      </c>
      <c r="K121" s="16">
        <v>39</v>
      </c>
      <c r="L121" s="16">
        <v>35</v>
      </c>
      <c r="M121" s="16">
        <v>60</v>
      </c>
      <c r="N121" s="16" cm="1">
        <f t="array" ref="N121">IFERROR(_xlfn.XLOOKUP(D121, Move_List!$A:$A, Move_List!$D:$D) * _xlfn.IFS(UPPER(TRIM(_xlfn.XLOOKUP(D121, Move_List!$A:$A, Move_List!$C:$C)))="PHYSICAL", K121, UPPER(TRIM(_xlfn.XLOOKUP(D121, Move_List!$A:$A, Move_List!$C:$C)))="SPECIAL", I121, TRUE, 0), 0)</f>
        <v>1560</v>
      </c>
      <c r="O121" s="16" cm="1">
        <f t="array" ref="O121">IFERROR(
  _xlfn.XLOOKUP(D121, Move_List!$A:$A, Move_List!$D:$D) * _xlfn.IFS(
    ISNUMBER(SEARCH("Max", E121)),
      LOOKUP(_xlfn.XLOOKUP(D121, Move_List!$A:$A, Move_List!$D:$D), {0,60,80,110,150}, {2.5,1.83,1.63,1.27,1}),
    E121&lt;&gt;"",
      LOOKUP(_xlfn.XLOOKUP(D121, Move_List!$A:$A, Move_List!$D:$D), {0,60,80,90,100,110,120,150}, {2.5,2,2,1.94,1.8,1.68,1.58,1.33}),
    TRUE, 0
  ) * IF(_xlfn.XLOOKUP(D121, Move_List!$A:$A, Move_List!$C:$C)="Physical", K121, I121),
0)</f>
        <v>0</v>
      </c>
      <c r="P121" s="16">
        <f t="shared" si="6"/>
        <v>41.666666666666664</v>
      </c>
      <c r="Q121" s="16">
        <f t="shared" si="7"/>
        <v>649.99999999999989</v>
      </c>
      <c r="R121" s="17" cm="1">
        <f t="array" ref="R121">IFERROR(Q121 / IF(OR(_xlfn.IFNA(_xlfn.XLOOKUP(E121, Move_List!$A:$A, Move_List!$C:$C), "")={"Dynamax","Mega"}), G121*1.2, G121), 0)</f>
        <v>13.541666666666664</v>
      </c>
    </row>
    <row r="122" spans="1:18" ht="12.75">
      <c r="A122" s="6" t="s">
        <v>265</v>
      </c>
      <c r="B122" s="5" t="s">
        <v>13</v>
      </c>
      <c r="C122" s="5" t="str">
        <f>_xlfn.XLOOKUP(A122,Stars!A:A,Stars!C:C)</f>
        <v>2-star</v>
      </c>
      <c r="D122" s="19" t="s">
        <v>491</v>
      </c>
      <c r="E122" s="19"/>
      <c r="F122" s="15">
        <v>1</v>
      </c>
      <c r="G122" s="5">
        <v>44</v>
      </c>
      <c r="H122" s="5">
        <v>25</v>
      </c>
      <c r="I122" s="5">
        <v>35</v>
      </c>
      <c r="J122" s="5">
        <v>33</v>
      </c>
      <c r="K122" s="5">
        <v>30</v>
      </c>
      <c r="L122" s="5">
        <v>31</v>
      </c>
      <c r="M122" s="5">
        <v>61</v>
      </c>
      <c r="N122" s="16" cm="1">
        <f t="array" ref="N122">IFERROR(_xlfn.XLOOKUP(D122, Move_List!$A:$A, Move_List!$D:$D) * _xlfn.IFS(UPPER(TRIM(_xlfn.XLOOKUP(D122, Move_List!$A:$A, Move_List!$C:$C)))="PHYSICAL", K122, UPPER(TRIM(_xlfn.XLOOKUP(D122, Move_List!$A:$A, Move_List!$C:$C)))="SPECIAL", I122, TRUE, 0), 0)</f>
        <v>1400</v>
      </c>
      <c r="O122" s="16" cm="1">
        <f t="array" ref="O122">IFERROR(
  _xlfn.XLOOKUP(D122, Move_List!$A:$A, Move_List!$D:$D) * _xlfn.IFS(
    ISNUMBER(SEARCH("Max", E122)),
      LOOKUP(_xlfn.XLOOKUP(D122, Move_List!$A:$A, Move_List!$D:$D), {0,60,80,110,150}, {2.5,1.83,1.63,1.27,1}),
    E122&lt;&gt;"",
      LOOKUP(_xlfn.XLOOKUP(D122, Move_List!$A:$A, Move_List!$D:$D), {0,60,80,90,100,110,120,150}, {2.5,2,2,1.94,1.8,1.68,1.58,1.33}),
    TRUE, 0
  ) * IF(_xlfn.XLOOKUP(D122, Move_List!$A:$A, Move_List!$C:$C)="Physical", K122, I122),
0)</f>
        <v>0</v>
      </c>
      <c r="P122" s="16">
        <f t="shared" si="6"/>
        <v>41.666666666666664</v>
      </c>
      <c r="Q122" s="16">
        <f t="shared" si="7"/>
        <v>583.33333333333326</v>
      </c>
      <c r="R122" s="17" cm="1">
        <f t="array" ref="R122">IFERROR(Q122 / IF(OR(_xlfn.IFNA(_xlfn.XLOOKUP(E122, Move_List!$A:$A, Move_List!$C:$C), "")={"Dynamax","Mega"}), G122*1.2, G122), 0)</f>
        <v>13.257575757575756</v>
      </c>
    </row>
    <row r="123" spans="1:18" ht="12.75">
      <c r="A123" s="4" t="s">
        <v>117</v>
      </c>
      <c r="B123" s="5" t="s">
        <v>118</v>
      </c>
      <c r="C123" s="5" t="str">
        <f>_xlfn.XLOOKUP(A123,Stars!A:A,Stars!C:C)</f>
        <v>2-star</v>
      </c>
      <c r="D123" s="5" t="s">
        <v>491</v>
      </c>
      <c r="E123" s="5"/>
      <c r="F123" s="15">
        <v>1</v>
      </c>
      <c r="G123" s="16">
        <v>42</v>
      </c>
      <c r="H123" s="16">
        <v>39</v>
      </c>
      <c r="I123" s="16">
        <v>39</v>
      </c>
      <c r="J123" s="16">
        <v>24</v>
      </c>
      <c r="K123" s="16">
        <v>24</v>
      </c>
      <c r="L123" s="16">
        <v>24</v>
      </c>
      <c r="M123" s="16">
        <v>58</v>
      </c>
      <c r="N123" s="16" cm="1">
        <f t="array" ref="N123">IFERROR(_xlfn.XLOOKUP(D123, Move_List!$A:$A, Move_List!$D:$D) * _xlfn.IFS(UPPER(TRIM(_xlfn.XLOOKUP(D123, Move_List!$A:$A, Move_List!$C:$C)))="PHYSICAL", K123, UPPER(TRIM(_xlfn.XLOOKUP(D123, Move_List!$A:$A, Move_List!$C:$C)))="SPECIAL", I123, TRUE, 0), 0)</f>
        <v>1560</v>
      </c>
      <c r="O123" s="16" cm="1">
        <f t="array" ref="O123">IFERROR(
  _xlfn.XLOOKUP(D123, Move_List!$A:$A, Move_List!$D:$D) * _xlfn.IFS(
    ISNUMBER(SEARCH("Max", E123)),
      LOOKUP(_xlfn.XLOOKUP(D123, Move_List!$A:$A, Move_List!$D:$D), {0,60,80,110,150}, {2.5,1.83,1.63,1.27,1}),
    E123&lt;&gt;"",
      LOOKUP(_xlfn.XLOOKUP(D123, Move_List!$A:$A, Move_List!$D:$D), {0,60,80,90,100,110,120,150}, {2.5,2,2,1.94,1.8,1.68,1.58,1.33}),
    TRUE, 0
  ) * IF(_xlfn.XLOOKUP(D123, Move_List!$A:$A, Move_List!$C:$C)="Physical", K123, I123),
0)</f>
        <v>0</v>
      </c>
      <c r="P123" s="16">
        <f t="shared" si="6"/>
        <v>35.333333333333336</v>
      </c>
      <c r="Q123" s="16">
        <f t="shared" si="7"/>
        <v>551.20000000000005</v>
      </c>
      <c r="R123" s="17" cm="1">
        <f t="array" ref="R123">IFERROR(Q123 / IF(OR(_xlfn.IFNA(_xlfn.XLOOKUP(E123, Move_List!$A:$A, Move_List!$C:$C), "")={"Dynamax","Mega"}), G123*1.2, G123), 0)</f>
        <v>13.123809523809525</v>
      </c>
    </row>
    <row r="124" spans="1:18" ht="12.75">
      <c r="A124" s="4" t="s">
        <v>170</v>
      </c>
      <c r="B124" s="5" t="s">
        <v>171</v>
      </c>
      <c r="C124" s="5" t="str">
        <f>_xlfn.XLOOKUP(A124,Stars!A:A,Stars!C:C)</f>
        <v>2-star</v>
      </c>
      <c r="D124" s="5" t="s">
        <v>505</v>
      </c>
      <c r="E124" s="5"/>
      <c r="F124" s="15">
        <v>1</v>
      </c>
      <c r="G124" s="16">
        <v>40</v>
      </c>
      <c r="H124" s="16">
        <v>41</v>
      </c>
      <c r="I124" s="16">
        <v>21</v>
      </c>
      <c r="J124" s="16">
        <v>21</v>
      </c>
      <c r="K124" s="16">
        <v>46</v>
      </c>
      <c r="L124" s="16">
        <v>26</v>
      </c>
      <c r="M124" s="16">
        <v>50</v>
      </c>
      <c r="N124" s="16" cm="1">
        <f t="array" ref="N124">IFERROR(_xlfn.XLOOKUP(D124, Move_List!$A:$A, Move_List!$D:$D) * _xlfn.IFS(UPPER(TRIM(_xlfn.XLOOKUP(D124, Move_List!$A:$A, Move_List!$C:$C)))="PHYSICAL", K124, UPPER(TRIM(_xlfn.XLOOKUP(D124, Move_List!$A:$A, Move_List!$C:$C)))="SPECIAL", I124, TRUE, 0), 0)</f>
        <v>1610</v>
      </c>
      <c r="O124" s="16" cm="1">
        <f t="array" ref="O124">IFERROR(
  _xlfn.XLOOKUP(D124, Move_List!$A:$A, Move_List!$D:$D) * _xlfn.IFS(
    ISNUMBER(SEARCH("Max", E124)),
      LOOKUP(_xlfn.XLOOKUP(D124, Move_List!$A:$A, Move_List!$D:$D), {0,60,80,110,150}, {2.5,1.83,1.63,1.27,1}),
    E124&lt;&gt;"",
      LOOKUP(_xlfn.XLOOKUP(D124, Move_List!$A:$A, Move_List!$D:$D), {0,60,80,90,100,110,120,150}, {2.5,2,2,1.94,1.8,1.68,1.58,1.33}),
    TRUE, 0
  ) * IF(_xlfn.XLOOKUP(D124, Move_List!$A:$A, Move_List!$C:$C)="Physical", K124, I124),
0)</f>
        <v>0</v>
      </c>
      <c r="P124" s="16">
        <f t="shared" si="6"/>
        <v>32.333333333333336</v>
      </c>
      <c r="Q124" s="16">
        <f t="shared" si="7"/>
        <v>520.56666666666672</v>
      </c>
      <c r="R124" s="17" cm="1">
        <f t="array" ref="R124">IFERROR(Q124 / IF(OR(_xlfn.IFNA(_xlfn.XLOOKUP(E124, Move_List!$A:$A, Move_List!$C:$C), "")={"Dynamax","Mega"}), G124*1.2, G124), 0)</f>
        <v>13.014166666666668</v>
      </c>
    </row>
    <row r="125" spans="1:18" ht="12.75">
      <c r="A125" s="6" t="s">
        <v>249</v>
      </c>
      <c r="B125" s="5" t="s">
        <v>250</v>
      </c>
      <c r="C125" s="5" t="str">
        <f>_xlfn.XLOOKUP(A125,Stars!A:A,Stars!C:C)</f>
        <v>2-star</v>
      </c>
      <c r="D125" s="19" t="s">
        <v>487</v>
      </c>
      <c r="E125" s="19"/>
      <c r="F125" s="15">
        <v>1</v>
      </c>
      <c r="G125" s="5">
        <v>40</v>
      </c>
      <c r="H125" s="5">
        <v>24</v>
      </c>
      <c r="I125" s="5">
        <v>33</v>
      </c>
      <c r="J125" s="5">
        <v>27</v>
      </c>
      <c r="K125" s="5">
        <v>33</v>
      </c>
      <c r="L125" s="5">
        <v>27</v>
      </c>
      <c r="M125" s="5">
        <v>60</v>
      </c>
      <c r="N125" s="16" cm="1">
        <f t="array" ref="N125">IFERROR(_xlfn.XLOOKUP(D125, Move_List!$A:$A, Move_List!$D:$D) * _xlfn.IFS(UPPER(TRIM(_xlfn.XLOOKUP(D125, Move_List!$A:$A, Move_List!$C:$C)))="PHYSICAL", K125, UPPER(TRIM(_xlfn.XLOOKUP(D125, Move_List!$A:$A, Move_List!$C:$C)))="SPECIAL", I125, TRUE, 0), 0)</f>
        <v>1320</v>
      </c>
      <c r="O125" s="16" cm="1">
        <f t="array" ref="O125">IFERROR(
  _xlfn.XLOOKUP(D125, Move_List!$A:$A, Move_List!$D:$D) * _xlfn.IFS(
    ISNUMBER(SEARCH("Max", E125)),
      LOOKUP(_xlfn.XLOOKUP(D125, Move_List!$A:$A, Move_List!$D:$D), {0,60,80,110,150}, {2.5,1.83,1.63,1.27,1}),
    E125&lt;&gt;"",
      LOOKUP(_xlfn.XLOOKUP(D125, Move_List!$A:$A, Move_List!$D:$D), {0,60,80,90,100,110,120,150}, {2.5,2,2,1.94,1.8,1.68,1.58,1.33}),
    TRUE, 0
  ) * IF(_xlfn.XLOOKUP(D125, Move_List!$A:$A, Move_List!$C:$C)="Physical", K125, I125),
0)</f>
        <v>0</v>
      </c>
      <c r="P125" s="16">
        <f t="shared" si="6"/>
        <v>38</v>
      </c>
      <c r="Q125" s="16">
        <f t="shared" si="7"/>
        <v>501.6</v>
      </c>
      <c r="R125" s="17" cm="1">
        <f t="array" ref="R125">IFERROR(Q125 / IF(OR(_xlfn.IFNA(_xlfn.XLOOKUP(E125, Move_List!$A:$A, Move_List!$C:$C), "")={"Dynamax","Mega"}), G125*1.2, G125), 0)</f>
        <v>12.540000000000001</v>
      </c>
    </row>
    <row r="126" spans="1:18" ht="12.75">
      <c r="A126" s="4" t="s">
        <v>173</v>
      </c>
      <c r="B126" s="5" t="s">
        <v>174</v>
      </c>
      <c r="C126" s="5" t="str">
        <f>_xlfn.XLOOKUP(A126,Stars!A:A,Stars!C:C)</f>
        <v>2-star</v>
      </c>
      <c r="D126" s="5" t="s">
        <v>1424</v>
      </c>
      <c r="E126" s="5"/>
      <c r="F126" s="15">
        <v>1</v>
      </c>
      <c r="G126" s="16">
        <v>44</v>
      </c>
      <c r="H126" s="16">
        <v>7</v>
      </c>
      <c r="I126" s="16">
        <v>28</v>
      </c>
      <c r="J126" s="16">
        <v>41</v>
      </c>
      <c r="K126" s="16">
        <v>28</v>
      </c>
      <c r="L126" s="16">
        <v>41</v>
      </c>
      <c r="M126" s="16">
        <v>64</v>
      </c>
      <c r="N126" s="16" cm="1">
        <f t="array" ref="N126">IFERROR(_xlfn.XLOOKUP(D126, Move_List!$A:$A, Move_List!$D:$D) * _xlfn.IFS(UPPER(TRIM(_xlfn.XLOOKUP(D126, Move_List!$A:$A, Move_List!$C:$C)))="PHYSICAL", K126, UPPER(TRIM(_xlfn.XLOOKUP(D126, Move_List!$A:$A, Move_List!$C:$C)))="SPECIAL", I126, TRUE, 0), 0)</f>
        <v>1120</v>
      </c>
      <c r="O126" s="16" cm="1">
        <f t="array" ref="O126">IFERROR(
  _xlfn.XLOOKUP(D126, Move_List!$A:$A, Move_List!$D:$D) * _xlfn.IFS(
    ISNUMBER(SEARCH("Max", E126)),
      LOOKUP(_xlfn.XLOOKUP(D126, Move_List!$A:$A, Move_List!$D:$D), {0,60,80,110,150}, {2.5,1.83,1.63,1.27,1}),
    E126&lt;&gt;"",
      LOOKUP(_xlfn.XLOOKUP(D126, Move_List!$A:$A, Move_List!$D:$D), {0,60,80,90,100,110,120,150}, {2.5,2,2,1.94,1.8,1.68,1.58,1.33}),
    TRUE, 0
  ) * IF(_xlfn.XLOOKUP(D126, Move_List!$A:$A, Move_List!$C:$C)="Physical", K126, I126),
0)</f>
        <v>0</v>
      </c>
      <c r="P126" s="16">
        <f t="shared" si="6"/>
        <v>48.666666666666664</v>
      </c>
      <c r="Q126" s="16">
        <f t="shared" si="7"/>
        <v>545.06666666666661</v>
      </c>
      <c r="R126" s="17" cm="1">
        <f t="array" ref="R126">IFERROR(Q126 / IF(OR(_xlfn.IFNA(_xlfn.XLOOKUP(E126, Move_List!$A:$A, Move_List!$C:$C), "")={"Dynamax","Mega"}), G126*1.2, G126), 0)</f>
        <v>12.387878787878787</v>
      </c>
    </row>
    <row r="127" spans="1:18" ht="12.75">
      <c r="A127" s="6" t="s">
        <v>260</v>
      </c>
      <c r="B127" s="5" t="s">
        <v>261</v>
      </c>
      <c r="C127" s="5" t="str">
        <f>_xlfn.XLOOKUP(A127,Stars!A:A,Stars!C:C)</f>
        <v>2-star</v>
      </c>
      <c r="D127" s="19" t="s">
        <v>487</v>
      </c>
      <c r="E127" s="19"/>
      <c r="F127" s="15">
        <v>1</v>
      </c>
      <c r="G127" s="5">
        <v>42</v>
      </c>
      <c r="H127" s="5">
        <v>35</v>
      </c>
      <c r="I127" s="5">
        <v>34</v>
      </c>
      <c r="J127" s="5">
        <v>27</v>
      </c>
      <c r="K127" s="5">
        <v>34</v>
      </c>
      <c r="L127" s="5">
        <v>27</v>
      </c>
      <c r="M127" s="5">
        <v>57</v>
      </c>
      <c r="N127" s="16" cm="1">
        <f t="array" ref="N127">IFERROR(_xlfn.XLOOKUP(D127, Move_List!$A:$A, Move_List!$D:$D) * _xlfn.IFS(UPPER(TRIM(_xlfn.XLOOKUP(D127, Move_List!$A:$A, Move_List!$C:$C)))="PHYSICAL", K127, UPPER(TRIM(_xlfn.XLOOKUP(D127, Move_List!$A:$A, Move_List!$C:$C)))="SPECIAL", I127, TRUE, 0), 0)</f>
        <v>1360</v>
      </c>
      <c r="O127" s="16" cm="1">
        <f t="array" ref="O127">IFERROR(
  _xlfn.XLOOKUP(D127, Move_List!$A:$A, Move_List!$D:$D) * _xlfn.IFS(
    ISNUMBER(SEARCH("Max", E127)),
      LOOKUP(_xlfn.XLOOKUP(D127, Move_List!$A:$A, Move_List!$D:$D), {0,60,80,110,150}, {2.5,1.83,1.63,1.27,1}),
    E127&lt;&gt;"",
      LOOKUP(_xlfn.XLOOKUP(D127, Move_List!$A:$A, Move_List!$D:$D), {0,60,80,90,100,110,120,150}, {2.5,2,2,1.94,1.8,1.68,1.58,1.33}),
    TRUE, 0
  ) * IF(_xlfn.XLOOKUP(D127, Move_List!$A:$A, Move_List!$C:$C)="Physical", K127, I127),
0)</f>
        <v>0</v>
      </c>
      <c r="P127" s="16">
        <f t="shared" si="6"/>
        <v>37</v>
      </c>
      <c r="Q127" s="16">
        <f t="shared" si="7"/>
        <v>503.2</v>
      </c>
      <c r="R127" s="17" cm="1">
        <f t="array" ref="R127">IFERROR(Q127 / IF(OR(_xlfn.IFNA(_xlfn.XLOOKUP(E127, Move_List!$A:$A, Move_List!$C:$C), "")={"Dynamax","Mega"}), G127*1.2, G127), 0)</f>
        <v>11.980952380952381</v>
      </c>
    </row>
    <row r="128" spans="1:18" ht="12.75">
      <c r="A128" s="4" t="s">
        <v>183</v>
      </c>
      <c r="B128" s="5" t="s">
        <v>184</v>
      </c>
      <c r="C128" s="5" t="str">
        <f>_xlfn.XLOOKUP(A128,Stars!A:A,Stars!C:C)</f>
        <v>2-star</v>
      </c>
      <c r="D128" s="5" t="s">
        <v>681</v>
      </c>
      <c r="E128" s="5"/>
      <c r="F128" s="15">
        <v>1</v>
      </c>
      <c r="G128" s="16">
        <v>30</v>
      </c>
      <c r="H128" s="16">
        <v>14</v>
      </c>
      <c r="I128" s="16">
        <v>29</v>
      </c>
      <c r="J128" s="16">
        <v>20</v>
      </c>
      <c r="K128" s="16">
        <v>17</v>
      </c>
      <c r="L128" s="16">
        <v>22</v>
      </c>
      <c r="M128" s="16">
        <v>50</v>
      </c>
      <c r="N128" s="16" cm="1">
        <f t="array" ref="N128">IFERROR(_xlfn.XLOOKUP(D128, Move_List!$A:$A, Move_List!$D:$D) * _xlfn.IFS(UPPER(TRIM(_xlfn.XLOOKUP(D128, Move_List!$A:$A, Move_List!$C:$C)))="PHYSICAL", K128, UPPER(TRIM(_xlfn.XLOOKUP(D128, Move_List!$A:$A, Move_List!$C:$C)))="SPECIAL", I128, TRUE, 0), 0)</f>
        <v>1160</v>
      </c>
      <c r="O128" s="16" cm="1">
        <f t="array" ref="O128">IFERROR(
  _xlfn.XLOOKUP(D128, Move_List!$A:$A, Move_List!$D:$D) * _xlfn.IFS(
    ISNUMBER(SEARCH("Max", E128)),
      LOOKUP(_xlfn.XLOOKUP(D128, Move_List!$A:$A, Move_List!$D:$D), {0,60,80,110,150}, {2.5,1.83,1.63,1.27,1}),
    E128&lt;&gt;"",
      LOOKUP(_xlfn.XLOOKUP(D128, Move_List!$A:$A, Move_List!$D:$D), {0,60,80,90,100,110,120,150}, {2.5,2,2,1.94,1.8,1.68,1.58,1.33}),
    TRUE, 0
  ) * IF(_xlfn.XLOOKUP(D128, Move_List!$A:$A, Move_List!$C:$C)="Physical", K128, I128),
0)</f>
        <v>0</v>
      </c>
      <c r="P128" s="16">
        <f t="shared" si="6"/>
        <v>30.666666666666668</v>
      </c>
      <c r="Q128" s="16">
        <f t="shared" si="7"/>
        <v>355.73333333333335</v>
      </c>
      <c r="R128" s="17" cm="1">
        <f t="array" ref="R128">IFERROR(Q128 / IF(OR(_xlfn.IFNA(_xlfn.XLOOKUP(E128, Move_List!$A:$A, Move_List!$C:$C), "")={"Dynamax","Mega"}), G128*1.2, G128), 0)</f>
        <v>11.857777777777779</v>
      </c>
    </row>
    <row r="129" spans="1:18" ht="12.75">
      <c r="A129" s="4" t="s">
        <v>102</v>
      </c>
      <c r="B129" s="5" t="s">
        <v>103</v>
      </c>
      <c r="C129" s="5" t="str">
        <f>_xlfn.XLOOKUP(A129,Stars!A:A,Stars!C:C)</f>
        <v>2-star</v>
      </c>
      <c r="D129" s="5" t="s">
        <v>491</v>
      </c>
      <c r="E129" s="5"/>
      <c r="F129" s="15">
        <v>1</v>
      </c>
      <c r="G129" s="16">
        <v>48</v>
      </c>
      <c r="H129" s="16">
        <v>33</v>
      </c>
      <c r="I129" s="16">
        <v>33</v>
      </c>
      <c r="J129" s="16">
        <v>30</v>
      </c>
      <c r="K129" s="16">
        <v>41</v>
      </c>
      <c r="L129" s="16">
        <v>30</v>
      </c>
      <c r="M129" s="16">
        <v>68</v>
      </c>
      <c r="N129" s="16" cm="1">
        <f t="array" ref="N129">IFERROR(_xlfn.XLOOKUP(D129, Move_List!$A:$A, Move_List!$D:$D) * _xlfn.IFS(UPPER(TRIM(_xlfn.XLOOKUP(D129, Move_List!$A:$A, Move_List!$C:$C)))="PHYSICAL", K129, UPPER(TRIM(_xlfn.XLOOKUP(D129, Move_List!$A:$A, Move_List!$C:$C)))="SPECIAL", I129, TRUE, 0), 0)</f>
        <v>1320</v>
      </c>
      <c r="O129" s="16" cm="1">
        <f t="array" ref="O129">IFERROR(
  _xlfn.XLOOKUP(D129, Move_List!$A:$A, Move_List!$D:$D) * _xlfn.IFS(
    ISNUMBER(SEARCH("Max", E129)),
      LOOKUP(_xlfn.XLOOKUP(D129, Move_List!$A:$A, Move_List!$D:$D), {0,60,80,110,150}, {2.5,1.83,1.63,1.27,1}),
    E129&lt;&gt;"",
      LOOKUP(_xlfn.XLOOKUP(D129, Move_List!$A:$A, Move_List!$D:$D), {0,60,80,90,100,110,120,150}, {2.5,2,2,1.94,1.8,1.68,1.58,1.33}),
    TRUE, 0
  ) * IF(_xlfn.XLOOKUP(D129, Move_List!$A:$A, Move_List!$C:$C)="Physical", K129, I129),
0)</f>
        <v>0</v>
      </c>
      <c r="P129" s="16">
        <f t="shared" si="6"/>
        <v>42.666666666666664</v>
      </c>
      <c r="Q129" s="16">
        <f t="shared" si="7"/>
        <v>563.19999999999993</v>
      </c>
      <c r="R129" s="17" cm="1">
        <f t="array" ref="R129">IFERROR(Q129 / IF(OR(_xlfn.IFNA(_xlfn.XLOOKUP(E129, Move_List!$A:$A, Move_List!$C:$C), "")={"Dynamax","Mega"}), G129*1.2, G129), 0)</f>
        <v>11.733333333333333</v>
      </c>
    </row>
    <row r="130" spans="1:18" ht="12.75">
      <c r="A130" s="6" t="s">
        <v>295</v>
      </c>
      <c r="B130" s="5" t="s">
        <v>296</v>
      </c>
      <c r="C130" s="5" t="str">
        <f>_xlfn.XLOOKUP(A130,Stars!A:A,Stars!C:C)</f>
        <v>2-star</v>
      </c>
      <c r="D130" s="19" t="s">
        <v>491</v>
      </c>
      <c r="E130" s="19"/>
      <c r="F130" s="15">
        <v>1</v>
      </c>
      <c r="G130" s="5">
        <v>38</v>
      </c>
      <c r="H130" s="5">
        <v>50</v>
      </c>
      <c r="I130" s="5">
        <v>34</v>
      </c>
      <c r="J130" s="5">
        <v>19</v>
      </c>
      <c r="K130" s="5">
        <v>19</v>
      </c>
      <c r="L130" s="5">
        <v>19</v>
      </c>
      <c r="M130" s="5">
        <v>55</v>
      </c>
      <c r="N130" s="16" cm="1">
        <f t="array" ref="N130">IFERROR(_xlfn.XLOOKUP(D130, Move_List!$A:$A, Move_List!$D:$D) * _xlfn.IFS(UPPER(TRIM(_xlfn.XLOOKUP(D130, Move_List!$A:$A, Move_List!$C:$C)))="PHYSICAL", K130, UPPER(TRIM(_xlfn.XLOOKUP(D130, Move_List!$A:$A, Move_List!$C:$C)))="SPECIAL", I130, TRUE, 0), 0)</f>
        <v>1360</v>
      </c>
      <c r="O130" s="16" cm="1">
        <f t="array" ref="O130">IFERROR(
  _xlfn.XLOOKUP(D130, Move_List!$A:$A, Move_List!$D:$D) * _xlfn.IFS(
    ISNUMBER(SEARCH("Max", E130)),
      LOOKUP(_xlfn.XLOOKUP(D130, Move_List!$A:$A, Move_List!$D:$D), {0,60,80,110,150}, {2.5,1.83,1.63,1.27,1}),
    E130&lt;&gt;"",
      LOOKUP(_xlfn.XLOOKUP(D130, Move_List!$A:$A, Move_List!$D:$D), {0,60,80,90,100,110,120,150}, {2.5,2,2,1.94,1.8,1.68,1.58,1.33}),
    TRUE, 0
  ) * IF(_xlfn.XLOOKUP(D130, Move_List!$A:$A, Move_List!$C:$C)="Physical", K130, I130),
0)</f>
        <v>0</v>
      </c>
      <c r="P130" s="16">
        <f t="shared" ref="P130:P144" si="8">(J130 + L130 + M130) / 3</f>
        <v>31</v>
      </c>
      <c r="Q130" s="16">
        <f t="shared" ref="Q130:Q144" si="9">IF(O130&gt;0, (N130+O130)/2, N130) * (P130 / 100)</f>
        <v>421.6</v>
      </c>
      <c r="R130" s="17" cm="1">
        <f t="array" ref="R130">IFERROR(Q130 / IF(OR(_xlfn.IFNA(_xlfn.XLOOKUP(E130, Move_List!$A:$A, Move_List!$C:$C), "")={"Dynamax","Mega"}), G130*1.2, G130), 0)</f>
        <v>11.094736842105263</v>
      </c>
    </row>
    <row r="131" spans="1:18" ht="12.75">
      <c r="A131" s="6" t="s">
        <v>253</v>
      </c>
      <c r="B131" s="5" t="s">
        <v>254</v>
      </c>
      <c r="C131" s="5" t="str">
        <f>_xlfn.XLOOKUP(A131,Stars!A:A,Stars!C:C)</f>
        <v>2-star</v>
      </c>
      <c r="D131" s="19" t="s">
        <v>420</v>
      </c>
      <c r="E131" s="19"/>
      <c r="F131" s="15">
        <v>1</v>
      </c>
      <c r="G131" s="5">
        <v>40</v>
      </c>
      <c r="H131" s="5">
        <v>38</v>
      </c>
      <c r="I131" s="5">
        <v>27</v>
      </c>
      <c r="J131" s="5">
        <v>19</v>
      </c>
      <c r="K131" s="5">
        <v>33</v>
      </c>
      <c r="L131" s="5">
        <v>16</v>
      </c>
      <c r="M131" s="5">
        <v>63</v>
      </c>
      <c r="N131" s="16" cm="1">
        <f t="array" ref="N131">IFERROR(_xlfn.XLOOKUP(D131, Move_List!$A:$A, Move_List!$D:$D) * _xlfn.IFS(UPPER(TRIM(_xlfn.XLOOKUP(D131, Move_List!$A:$A, Move_List!$C:$C)))="PHYSICAL", K131, UPPER(TRIM(_xlfn.XLOOKUP(D131, Move_List!$A:$A, Move_List!$C:$C)))="SPECIAL", I131, TRUE, 0), 0)</f>
        <v>1320</v>
      </c>
      <c r="O131" s="16" cm="1">
        <f t="array" ref="O131">IFERROR(
  _xlfn.XLOOKUP(D131, Move_List!$A:$A, Move_List!$D:$D) * _xlfn.IFS(
    ISNUMBER(SEARCH("Max", E131)),
      LOOKUP(_xlfn.XLOOKUP(D131, Move_List!$A:$A, Move_List!$D:$D), {0,60,80,110,150}, {2.5,1.83,1.63,1.27,1}),
    E131&lt;&gt;"",
      LOOKUP(_xlfn.XLOOKUP(D131, Move_List!$A:$A, Move_List!$D:$D), {0,60,80,90,100,110,120,150}, {2.5,2,2,1.94,1.8,1.68,1.58,1.33}),
    TRUE, 0
  ) * IF(_xlfn.XLOOKUP(D131, Move_List!$A:$A, Move_List!$C:$C)="Physical", K131, I131),
0)</f>
        <v>0</v>
      </c>
      <c r="P131" s="16">
        <f t="shared" si="8"/>
        <v>32.666666666666664</v>
      </c>
      <c r="Q131" s="16">
        <f t="shared" si="9"/>
        <v>431.2</v>
      </c>
      <c r="R131" s="17" cm="1">
        <f t="array" ref="R131">IFERROR(Q131 / IF(OR(_xlfn.IFNA(_xlfn.XLOOKUP(E131, Move_List!$A:$A, Move_List!$C:$C), "")={"Dynamax","Mega"}), G131*1.2, G131), 0)</f>
        <v>10.78</v>
      </c>
    </row>
    <row r="132" spans="1:18" ht="12.75">
      <c r="A132" s="6" t="s">
        <v>286</v>
      </c>
      <c r="B132" s="5" t="s">
        <v>287</v>
      </c>
      <c r="C132" s="5" t="str">
        <f>_xlfn.XLOOKUP(A132,Stars!A:A,Stars!C:C)</f>
        <v>2-star</v>
      </c>
      <c r="D132" s="19" t="s">
        <v>548</v>
      </c>
      <c r="E132" s="19"/>
      <c r="F132" s="15">
        <v>1</v>
      </c>
      <c r="G132" s="5">
        <v>42</v>
      </c>
      <c r="H132" s="5">
        <v>16</v>
      </c>
      <c r="I132" s="5">
        <v>17</v>
      </c>
      <c r="J132" s="5">
        <v>48</v>
      </c>
      <c r="K132" s="5">
        <v>17</v>
      </c>
      <c r="L132" s="5">
        <v>48</v>
      </c>
      <c r="M132" s="5">
        <v>63</v>
      </c>
      <c r="N132" s="16" cm="1">
        <f t="array" ref="N132">IFERROR(_xlfn.XLOOKUP(D132, Move_List!$A:$A, Move_List!$D:$D) * _xlfn.IFS(UPPER(TRIM(_xlfn.XLOOKUP(D132, Move_List!$A:$A, Move_List!$C:$C)))="PHYSICAL", K132, UPPER(TRIM(_xlfn.XLOOKUP(D132, Move_List!$A:$A, Move_List!$C:$C)))="SPECIAL", I132, TRUE, 0), 0)</f>
        <v>850</v>
      </c>
      <c r="O132" s="16" cm="1">
        <f t="array" ref="O132">IFERROR(
  _xlfn.XLOOKUP(D132, Move_List!$A:$A, Move_List!$D:$D) * _xlfn.IFS(
    ISNUMBER(SEARCH("Max", E132)),
      LOOKUP(_xlfn.XLOOKUP(D132, Move_List!$A:$A, Move_List!$D:$D), {0,60,80,110,150}, {2.5,1.83,1.63,1.27,1}),
    E132&lt;&gt;"",
      LOOKUP(_xlfn.XLOOKUP(D132, Move_List!$A:$A, Move_List!$D:$D), {0,60,80,90,100,110,120,150}, {2.5,2,2,1.94,1.8,1.68,1.58,1.33}),
    TRUE, 0
  ) * IF(_xlfn.XLOOKUP(D132, Move_List!$A:$A, Move_List!$C:$C)="Physical", K132, I132),
0)</f>
        <v>0</v>
      </c>
      <c r="P132" s="16">
        <f t="shared" si="8"/>
        <v>53</v>
      </c>
      <c r="Q132" s="16">
        <f t="shared" si="9"/>
        <v>450.5</v>
      </c>
      <c r="R132" s="17" cm="1">
        <f t="array" ref="R132">IFERROR(Q132 / IF(OR(_xlfn.IFNA(_xlfn.XLOOKUP(E132, Move_List!$A:$A, Move_List!$C:$C), "")={"Dynamax","Mega"}), G132*1.2, G132), 0)</f>
        <v>10.726190476190476</v>
      </c>
    </row>
    <row r="133" spans="1:18" ht="12.75">
      <c r="A133" s="6" t="s">
        <v>318</v>
      </c>
      <c r="B133" s="5" t="s">
        <v>319</v>
      </c>
      <c r="C133" s="5" t="str">
        <f>_xlfn.XLOOKUP(A133,Stars!A:A,Stars!C:C)</f>
        <v>2-star</v>
      </c>
      <c r="D133" s="19" t="s">
        <v>1296</v>
      </c>
      <c r="E133" s="19"/>
      <c r="F133" s="15">
        <v>1</v>
      </c>
      <c r="G133" s="5">
        <v>32</v>
      </c>
      <c r="H133" s="5">
        <v>25</v>
      </c>
      <c r="I133" s="5">
        <v>29</v>
      </c>
      <c r="J133" s="5">
        <v>22</v>
      </c>
      <c r="K133" s="5">
        <v>17</v>
      </c>
      <c r="L133" s="5">
        <v>17</v>
      </c>
      <c r="M133" s="5">
        <v>49</v>
      </c>
      <c r="N133" s="16" cm="1">
        <f t="array" ref="N133">IFERROR(_xlfn.XLOOKUP(D133, Move_List!$A:$A, Move_List!$D:$D) * _xlfn.IFS(UPPER(TRIM(_xlfn.XLOOKUP(D133, Move_List!$A:$A, Move_List!$C:$C)))="PHYSICAL", K133, UPPER(TRIM(_xlfn.XLOOKUP(D133, Move_List!$A:$A, Move_List!$C:$C)))="SPECIAL", I133, TRUE, 0), 0)</f>
        <v>1160</v>
      </c>
      <c r="O133" s="16" cm="1">
        <f t="array" ref="O133">IFERROR(
  _xlfn.XLOOKUP(D133, Move_List!$A:$A, Move_List!$D:$D) * _xlfn.IFS(
    ISNUMBER(SEARCH("Max", E133)),
      LOOKUP(_xlfn.XLOOKUP(D133, Move_List!$A:$A, Move_List!$D:$D), {0,60,80,110,150}, {2.5,1.83,1.63,1.27,1}),
    E133&lt;&gt;"",
      LOOKUP(_xlfn.XLOOKUP(D133, Move_List!$A:$A, Move_List!$D:$D), {0,60,80,90,100,110,120,150}, {2.5,2,2,1.94,1.8,1.68,1.58,1.33}),
    TRUE, 0
  ) * IF(_xlfn.XLOOKUP(D133, Move_List!$A:$A, Move_List!$C:$C)="Physical", K133, I133),
0)</f>
        <v>0</v>
      </c>
      <c r="P133" s="16">
        <f t="shared" si="8"/>
        <v>29.333333333333332</v>
      </c>
      <c r="Q133" s="16">
        <f t="shared" si="9"/>
        <v>340.26666666666665</v>
      </c>
      <c r="R133" s="17" cm="1">
        <f t="array" ref="R133">IFERROR(Q133 / IF(OR(_xlfn.IFNA(_xlfn.XLOOKUP(E133, Move_List!$A:$A, Move_List!$C:$C), "")={"Dynamax","Mega"}), G133*1.2, G133), 0)</f>
        <v>10.633333333333333</v>
      </c>
    </row>
    <row r="134" spans="1:18" ht="12.75">
      <c r="A134" s="4" t="s">
        <v>148</v>
      </c>
      <c r="B134" s="5" t="s">
        <v>149</v>
      </c>
      <c r="C134" s="5" t="str">
        <f>_xlfn.XLOOKUP(A134,Stars!A:A,Stars!C:C)</f>
        <v>2-star</v>
      </c>
      <c r="D134" s="5" t="s">
        <v>491</v>
      </c>
      <c r="E134" s="5"/>
      <c r="F134" s="15">
        <v>1</v>
      </c>
      <c r="G134" s="16">
        <v>42</v>
      </c>
      <c r="H134" s="16">
        <v>9</v>
      </c>
      <c r="I134" s="16">
        <v>24</v>
      </c>
      <c r="J134" s="16">
        <v>24</v>
      </c>
      <c r="K134" s="16">
        <v>37</v>
      </c>
      <c r="L134" s="16">
        <v>37</v>
      </c>
      <c r="M134" s="16">
        <v>77</v>
      </c>
      <c r="N134" s="16" cm="1">
        <f t="array" ref="N134">IFERROR(_xlfn.XLOOKUP(D134, Move_List!$A:$A, Move_List!$D:$D) * _xlfn.IFS(UPPER(TRIM(_xlfn.XLOOKUP(D134, Move_List!$A:$A, Move_List!$C:$C)))="PHYSICAL", K134, UPPER(TRIM(_xlfn.XLOOKUP(D134, Move_List!$A:$A, Move_List!$C:$C)))="SPECIAL", I134, TRUE, 0), 0)</f>
        <v>960</v>
      </c>
      <c r="O134" s="16" cm="1">
        <f t="array" ref="O134">IFERROR(
  _xlfn.XLOOKUP(D134, Move_List!$A:$A, Move_List!$D:$D) * _xlfn.IFS(
    ISNUMBER(SEARCH("Max", E134)),
      LOOKUP(_xlfn.XLOOKUP(D134, Move_List!$A:$A, Move_List!$D:$D), {0,60,80,110,150}, {2.5,1.83,1.63,1.27,1}),
    E134&lt;&gt;"",
      LOOKUP(_xlfn.XLOOKUP(D134, Move_List!$A:$A, Move_List!$D:$D), {0,60,80,90,100,110,120,150}, {2.5,2,2,1.94,1.8,1.68,1.58,1.33}),
    TRUE, 0
  ) * IF(_xlfn.XLOOKUP(D134, Move_List!$A:$A, Move_List!$C:$C)="Physical", K134, I134),
0)</f>
        <v>0</v>
      </c>
      <c r="P134" s="16">
        <f t="shared" si="8"/>
        <v>46</v>
      </c>
      <c r="Q134" s="16">
        <f t="shared" si="9"/>
        <v>441.6</v>
      </c>
      <c r="R134" s="17" cm="1">
        <f t="array" ref="R134">IFERROR(Q134 / IF(OR(_xlfn.IFNA(_xlfn.XLOOKUP(E134, Move_List!$A:$A, Move_List!$C:$C), "")={"Dynamax","Mega"}), G134*1.2, G134), 0)</f>
        <v>10.514285714285714</v>
      </c>
    </row>
    <row r="135" spans="1:18" ht="12.75">
      <c r="A135" s="6" t="s">
        <v>307</v>
      </c>
      <c r="B135" s="5" t="s">
        <v>308</v>
      </c>
      <c r="C135" s="5" t="str">
        <f>_xlfn.XLOOKUP(A135,Stars!A:A,Stars!C:C)</f>
        <v>3-star</v>
      </c>
      <c r="D135" s="19" t="s">
        <v>897</v>
      </c>
      <c r="E135" s="19"/>
      <c r="F135" s="15">
        <v>1</v>
      </c>
      <c r="G135" s="5">
        <v>56</v>
      </c>
      <c r="H135" s="5">
        <v>48</v>
      </c>
      <c r="I135" s="5">
        <v>42</v>
      </c>
      <c r="J135" s="5">
        <v>32</v>
      </c>
      <c r="K135" s="5">
        <v>36</v>
      </c>
      <c r="L135" s="5">
        <v>25</v>
      </c>
      <c r="M135" s="5">
        <v>96</v>
      </c>
      <c r="N135" s="16" cm="1">
        <f t="array" ref="N135">IFERROR(_xlfn.XLOOKUP(D135, Move_List!$A:$A, Move_List!$D:$D) * _xlfn.IFS(UPPER(TRIM(_xlfn.XLOOKUP(D135, Move_List!$A:$A, Move_List!$C:$C)))="PHYSICAL", K135, UPPER(TRIM(_xlfn.XLOOKUP(D135, Move_List!$A:$A, Move_List!$C:$C)))="SPECIAL", I135, TRUE, 0), 0)</f>
        <v>1080</v>
      </c>
      <c r="O135" s="16" cm="1">
        <f t="array" ref="O135">IFERROR(
  _xlfn.XLOOKUP(D135, Move_List!$A:$A, Move_List!$D:$D) * _xlfn.IFS(
    ISNUMBER(SEARCH("Max", E135)),
      LOOKUP(_xlfn.XLOOKUP(D135, Move_List!$A:$A, Move_List!$D:$D), {0,60,80,110,150}, {2.5,1.83,1.63,1.27,1}),
    E135&lt;&gt;"",
      LOOKUP(_xlfn.XLOOKUP(D135, Move_List!$A:$A, Move_List!$D:$D), {0,60,80,90,100,110,120,150}, {2.5,2,2,1.94,1.8,1.68,1.58,1.33}),
    TRUE, 0
  ) * IF(_xlfn.XLOOKUP(D135, Move_List!$A:$A, Move_List!$C:$C)="Physical", K135, I135),
0)</f>
        <v>0</v>
      </c>
      <c r="P135" s="16">
        <f t="shared" si="8"/>
        <v>51</v>
      </c>
      <c r="Q135" s="16">
        <f t="shared" si="9"/>
        <v>550.79999999999995</v>
      </c>
      <c r="R135" s="17" cm="1">
        <f t="array" ref="R135">IFERROR(Q135 / IF(OR(_xlfn.IFNA(_xlfn.XLOOKUP(E135, Move_List!$A:$A, Move_List!$C:$C), "")={"Dynamax","Mega"}), G135*1.2, G135), 0)</f>
        <v>9.8357142857142854</v>
      </c>
    </row>
    <row r="136" spans="1:18" ht="12.75">
      <c r="A136" s="4" t="s">
        <v>157</v>
      </c>
      <c r="B136" s="5" t="s">
        <v>158</v>
      </c>
      <c r="C136" s="5" t="str">
        <f>_xlfn.XLOOKUP(A136,Stars!A:A,Stars!C:C)</f>
        <v>2-star</v>
      </c>
      <c r="D136" s="5" t="s">
        <v>986</v>
      </c>
      <c r="E136" s="5"/>
      <c r="F136" s="15">
        <v>1</v>
      </c>
      <c r="G136" s="16">
        <v>36</v>
      </c>
      <c r="H136" s="16">
        <v>35</v>
      </c>
      <c r="I136" s="16">
        <v>20</v>
      </c>
      <c r="J136" s="16">
        <v>25</v>
      </c>
      <c r="K136" s="16">
        <v>20</v>
      </c>
      <c r="L136" s="16">
        <v>25</v>
      </c>
      <c r="M136" s="16">
        <v>54</v>
      </c>
      <c r="N136" s="16" cm="1">
        <f t="array" ref="N136">IFERROR(_xlfn.XLOOKUP(D136, Move_List!$A:$A, Move_List!$D:$D) * _xlfn.IFS(UPPER(TRIM(_xlfn.XLOOKUP(D136, Move_List!$A:$A, Move_List!$C:$C)))="PHYSICAL", K136, UPPER(TRIM(_xlfn.XLOOKUP(D136, Move_List!$A:$A, Move_List!$C:$C)))="SPECIAL", I136, TRUE, 0), 0)</f>
        <v>1000</v>
      </c>
      <c r="O136" s="16" cm="1">
        <f t="array" ref="O136">IFERROR(
  _xlfn.XLOOKUP(D136, Move_List!$A:$A, Move_List!$D:$D) * _xlfn.IFS(
    ISNUMBER(SEARCH("Max", E136)),
      LOOKUP(_xlfn.XLOOKUP(D136, Move_List!$A:$A, Move_List!$D:$D), {0,60,80,110,150}, {2.5,1.83,1.63,1.27,1}),
    E136&lt;&gt;"",
      LOOKUP(_xlfn.XLOOKUP(D136, Move_List!$A:$A, Move_List!$D:$D), {0,60,80,90,100,110,120,150}, {2.5,2,2,1.94,1.8,1.68,1.58,1.33}),
    TRUE, 0
  ) * IF(_xlfn.XLOOKUP(D136, Move_List!$A:$A, Move_List!$C:$C)="Physical", K136, I136),
0)</f>
        <v>0</v>
      </c>
      <c r="P136" s="16">
        <f t="shared" si="8"/>
        <v>34.666666666666664</v>
      </c>
      <c r="Q136" s="16">
        <f t="shared" si="9"/>
        <v>346.66666666666663</v>
      </c>
      <c r="R136" s="17" cm="1">
        <f t="array" ref="R136">IFERROR(Q136 / IF(OR(_xlfn.IFNA(_xlfn.XLOOKUP(E136, Move_List!$A:$A, Move_List!$C:$C), "")={"Dynamax","Mega"}), G136*1.2, G136), 0)</f>
        <v>9.629629629629628</v>
      </c>
    </row>
    <row r="137" spans="1:18" ht="12.75">
      <c r="A137" s="4" t="s">
        <v>112</v>
      </c>
      <c r="B137" s="5" t="s">
        <v>113</v>
      </c>
      <c r="C137" s="5" t="str">
        <f>_xlfn.XLOOKUP(A137,Stars!A:A,Stars!C:C)</f>
        <v>2-star</v>
      </c>
      <c r="D137" s="5" t="s">
        <v>487</v>
      </c>
      <c r="E137" s="5"/>
      <c r="F137" s="15">
        <v>1</v>
      </c>
      <c r="G137" s="16">
        <v>42</v>
      </c>
      <c r="H137" s="16">
        <v>38</v>
      </c>
      <c r="I137" s="16">
        <v>24</v>
      </c>
      <c r="J137" s="16">
        <v>24</v>
      </c>
      <c r="K137" s="16">
        <v>40</v>
      </c>
      <c r="L137" s="16">
        <v>24</v>
      </c>
      <c r="M137" s="16">
        <v>58</v>
      </c>
      <c r="N137" s="16" cm="1">
        <f t="array" ref="N137">IFERROR(_xlfn.XLOOKUP(D137, Move_List!$A:$A, Move_List!$D:$D) * _xlfn.IFS(UPPER(TRIM(_xlfn.XLOOKUP(D137, Move_List!$A:$A, Move_List!$C:$C)))="PHYSICAL", K137, UPPER(TRIM(_xlfn.XLOOKUP(D137, Move_List!$A:$A, Move_List!$C:$C)))="SPECIAL", I137, TRUE, 0), 0)</f>
        <v>960</v>
      </c>
      <c r="O137" s="16" cm="1">
        <f t="array" ref="O137">IFERROR(
  _xlfn.XLOOKUP(D137, Move_List!$A:$A, Move_List!$D:$D) * _xlfn.IFS(
    ISNUMBER(SEARCH("Max", E137)),
      LOOKUP(_xlfn.XLOOKUP(D137, Move_List!$A:$A, Move_List!$D:$D), {0,60,80,110,150}, {2.5,1.83,1.63,1.27,1}),
    E137&lt;&gt;"",
      LOOKUP(_xlfn.XLOOKUP(D137, Move_List!$A:$A, Move_List!$D:$D), {0,60,80,90,100,110,120,150}, {2.5,2,2,1.94,1.8,1.68,1.58,1.33}),
    TRUE, 0
  ) * IF(_xlfn.XLOOKUP(D137, Move_List!$A:$A, Move_List!$C:$C)="Physical", K137, I137),
0)</f>
        <v>0</v>
      </c>
      <c r="P137" s="16">
        <f t="shared" si="8"/>
        <v>35.333333333333336</v>
      </c>
      <c r="Q137" s="16">
        <f t="shared" si="9"/>
        <v>339.2</v>
      </c>
      <c r="R137" s="17" cm="1">
        <f t="array" ref="R137">IFERROR(Q137 / IF(OR(_xlfn.IFNA(_xlfn.XLOOKUP(E137, Move_List!$A:$A, Move_List!$C:$C), "")={"Dynamax","Mega"}), G137*1.2, G137), 0)</f>
        <v>8.0761904761904759</v>
      </c>
    </row>
    <row r="138" spans="1:18" ht="12.75">
      <c r="A138" s="6" t="s">
        <v>277</v>
      </c>
      <c r="B138" s="5" t="s">
        <v>278</v>
      </c>
      <c r="C138" s="5" t="str">
        <f>_xlfn.XLOOKUP(A138,Stars!A:A,Stars!C:C)</f>
        <v>2-star</v>
      </c>
      <c r="D138" s="19" t="s">
        <v>430</v>
      </c>
      <c r="E138" s="19"/>
      <c r="F138" s="15">
        <v>1</v>
      </c>
      <c r="G138" s="5">
        <v>36</v>
      </c>
      <c r="H138" s="5">
        <v>31</v>
      </c>
      <c r="I138" s="5">
        <v>21</v>
      </c>
      <c r="J138" s="5">
        <v>21</v>
      </c>
      <c r="K138" s="5">
        <v>36</v>
      </c>
      <c r="L138" s="5">
        <v>24</v>
      </c>
      <c r="M138" s="5">
        <v>53</v>
      </c>
      <c r="N138" s="16" cm="1">
        <f t="array" ref="N138">IFERROR(_xlfn.XLOOKUP(D138, Move_List!$A:$A, Move_List!$D:$D) * _xlfn.IFS(UPPER(TRIM(_xlfn.XLOOKUP(D138, Move_List!$A:$A, Move_List!$C:$C)))="PHYSICAL", K138, UPPER(TRIM(_xlfn.XLOOKUP(D138, Move_List!$A:$A, Move_List!$C:$C)))="SPECIAL", I138, TRUE, 0), 0)</f>
        <v>840</v>
      </c>
      <c r="O138" s="16" cm="1">
        <f t="array" ref="O138">IFERROR(
  _xlfn.XLOOKUP(D138, Move_List!$A:$A, Move_List!$D:$D) * _xlfn.IFS(
    ISNUMBER(SEARCH("Max", E138)),
      LOOKUP(_xlfn.XLOOKUP(D138, Move_List!$A:$A, Move_List!$D:$D), {0,60,80,110,150}, {2.5,1.83,1.63,1.27,1}),
    E138&lt;&gt;"",
      LOOKUP(_xlfn.XLOOKUP(D138, Move_List!$A:$A, Move_List!$D:$D), {0,60,80,90,100,110,120,150}, {2.5,2,2,1.94,1.8,1.68,1.58,1.33}),
    TRUE, 0
  ) * IF(_xlfn.XLOOKUP(D138, Move_List!$A:$A, Move_List!$C:$C)="Physical", K138, I138),
0)</f>
        <v>0</v>
      </c>
      <c r="P138" s="16">
        <f t="shared" si="8"/>
        <v>32.666666666666664</v>
      </c>
      <c r="Q138" s="16">
        <f t="shared" si="9"/>
        <v>274.39999999999998</v>
      </c>
      <c r="R138" s="17" cm="1">
        <f t="array" ref="R138">IFERROR(Q138 / IF(OR(_xlfn.IFNA(_xlfn.XLOOKUP(E138, Move_List!$A:$A, Move_List!$C:$C), "")={"Dynamax","Mega"}), G138*1.2, G138), 0)</f>
        <v>7.6222222222222218</v>
      </c>
    </row>
    <row r="139" spans="1:18" ht="12.75">
      <c r="A139" s="4" t="s">
        <v>152</v>
      </c>
      <c r="B139" s="5" t="s">
        <v>153</v>
      </c>
      <c r="C139" s="5" t="str">
        <f>_xlfn.XLOOKUP(A139,Stars!A:A,Stars!C:C)</f>
        <v>3-star</v>
      </c>
      <c r="D139" s="5" t="s">
        <v>691</v>
      </c>
      <c r="E139" s="5"/>
      <c r="F139" s="15">
        <v>1</v>
      </c>
      <c r="G139" s="16">
        <v>62</v>
      </c>
      <c r="H139" s="16">
        <v>33</v>
      </c>
      <c r="I139" s="16">
        <v>33</v>
      </c>
      <c r="J139" s="16">
        <v>40</v>
      </c>
      <c r="K139" s="16">
        <v>69</v>
      </c>
      <c r="L139" s="16">
        <v>49</v>
      </c>
      <c r="M139" s="16">
        <v>86</v>
      </c>
      <c r="N139" s="16" cm="1">
        <f t="array" ref="N139">IFERROR(_xlfn.XLOOKUP(D139, Move_List!$A:$A, Move_List!$D:$D) * _xlfn.IFS(UPPER(TRIM(_xlfn.XLOOKUP(D139, Move_List!$A:$A, Move_List!$C:$C)))="PHYSICAL", K139, UPPER(TRIM(_xlfn.XLOOKUP(D139, Move_List!$A:$A, Move_List!$C:$C)))="SPECIAL", I139, TRUE, 0), 0)</f>
        <v>660</v>
      </c>
      <c r="O139" s="16" cm="1">
        <f t="array" ref="O139">IFERROR(
  _xlfn.XLOOKUP(D139, Move_List!$A:$A, Move_List!$D:$D) * _xlfn.IFS(
    ISNUMBER(SEARCH("Max", E139)),
      LOOKUP(_xlfn.XLOOKUP(D139, Move_List!$A:$A, Move_List!$D:$D), {0,60,80,110,150}, {2.5,1.83,1.63,1.27,1}),
    E139&lt;&gt;"",
      LOOKUP(_xlfn.XLOOKUP(D139, Move_List!$A:$A, Move_List!$D:$D), {0,60,80,90,100,110,120,150}, {2.5,2,2,1.94,1.8,1.68,1.58,1.33}),
    TRUE, 0
  ) * IF(_xlfn.XLOOKUP(D139, Move_List!$A:$A, Move_List!$C:$C)="Physical", K139, I139),
0)</f>
        <v>0</v>
      </c>
      <c r="P139" s="16">
        <f t="shared" si="8"/>
        <v>58.333333333333336</v>
      </c>
      <c r="Q139" s="16">
        <f t="shared" si="9"/>
        <v>385</v>
      </c>
      <c r="R139" s="17" cm="1">
        <f t="array" ref="R139">IFERROR(Q139 / IF(OR(_xlfn.IFNA(_xlfn.XLOOKUP(E139, Move_List!$A:$A, Move_List!$C:$C), "")={"Dynamax","Mega"}), G139*1.2, G139), 0)</f>
        <v>6.209677419354839</v>
      </c>
    </row>
    <row r="140" spans="1:18" ht="12.75">
      <c r="A140" s="6" t="s">
        <v>312</v>
      </c>
      <c r="B140" s="5" t="s">
        <v>313</v>
      </c>
      <c r="C140" s="5" t="str">
        <f>_xlfn.XLOOKUP(A140,Stars!A:A,Stars!C:C)</f>
        <v>3-star</v>
      </c>
      <c r="D140" s="19" t="s">
        <v>467</v>
      </c>
      <c r="E140" s="19"/>
      <c r="F140" s="15">
        <v>1</v>
      </c>
      <c r="G140" s="5">
        <v>54</v>
      </c>
      <c r="H140" s="5">
        <v>34</v>
      </c>
      <c r="I140" s="5">
        <v>33</v>
      </c>
      <c r="J140" s="5">
        <v>39</v>
      </c>
      <c r="K140" s="5">
        <v>39</v>
      </c>
      <c r="L140" s="5">
        <v>45</v>
      </c>
      <c r="M140" s="5">
        <v>76</v>
      </c>
      <c r="N140" s="16" cm="1">
        <f t="array" ref="N140">IFERROR(_xlfn.XLOOKUP(D140, Move_List!$A:$A, Move_List!$D:$D) * _xlfn.IFS(UPPER(TRIM(_xlfn.XLOOKUP(D140, Move_List!$A:$A, Move_List!$C:$C)))="PHYSICAL", K140, UPPER(TRIM(_xlfn.XLOOKUP(D140, Move_List!$A:$A, Move_List!$C:$C)))="SPECIAL", I140, TRUE, 0), 0)</f>
        <v>585</v>
      </c>
      <c r="O140" s="16" cm="1">
        <f t="array" ref="O140">IFERROR(
  _xlfn.XLOOKUP(D140, Move_List!$A:$A, Move_List!$D:$D) * _xlfn.IFS(
    ISNUMBER(SEARCH("Max", E140)),
      LOOKUP(_xlfn.XLOOKUP(D140, Move_List!$A:$A, Move_List!$D:$D), {0,60,80,110,150}, {2.5,1.83,1.63,1.27,1}),
    E140&lt;&gt;"",
      LOOKUP(_xlfn.XLOOKUP(D140, Move_List!$A:$A, Move_List!$D:$D), {0,60,80,90,100,110,120,150}, {2.5,2,2,1.94,1.8,1.68,1.58,1.33}),
    TRUE, 0
  ) * IF(_xlfn.XLOOKUP(D140, Move_List!$A:$A, Move_List!$C:$C)="Physical", K140, I140),
0)</f>
        <v>0</v>
      </c>
      <c r="P140" s="16">
        <f t="shared" si="8"/>
        <v>53.333333333333336</v>
      </c>
      <c r="Q140" s="16">
        <f t="shared" si="9"/>
        <v>312</v>
      </c>
      <c r="R140" s="17" cm="1">
        <f t="array" ref="R140">IFERROR(Q140 / IF(OR(_xlfn.IFNA(_xlfn.XLOOKUP(E140, Move_List!$A:$A, Move_List!$C:$C), "")={"Dynamax","Mega"}), G140*1.2, G140), 0)</f>
        <v>5.7777777777777777</v>
      </c>
    </row>
    <row r="141" spans="1:18" ht="12.75">
      <c r="A141" s="4" t="s">
        <v>122</v>
      </c>
      <c r="B141" s="5" t="s">
        <v>123</v>
      </c>
      <c r="C141" s="5" t="str">
        <f>_xlfn.XLOOKUP(A141,Stars!A:A,Stars!C:C)</f>
        <v>2-star</v>
      </c>
      <c r="D141" s="5" t="s">
        <v>1354</v>
      </c>
      <c r="E141" s="5"/>
      <c r="F141" s="15">
        <v>1</v>
      </c>
      <c r="G141" s="16">
        <v>52</v>
      </c>
      <c r="H141" s="16">
        <v>55</v>
      </c>
      <c r="I141" s="16">
        <v>44</v>
      </c>
      <c r="J141" s="16">
        <v>38</v>
      </c>
      <c r="K141" s="16">
        <v>32</v>
      </c>
      <c r="L141" s="16">
        <v>32</v>
      </c>
      <c r="M141" s="16">
        <v>66</v>
      </c>
      <c r="N141" s="16" cm="1">
        <f t="array" ref="N141">IFERROR(_xlfn.XLOOKUP(D141, Move_List!$A:$A, Move_List!$D:$D) * _xlfn.IFS(UPPER(TRIM(_xlfn.XLOOKUP(D141, Move_List!$A:$A, Move_List!$C:$C)))="PHYSICAL", K141, UPPER(TRIM(_xlfn.XLOOKUP(D141, Move_List!$A:$A, Move_List!$C:$C)))="SPECIAL", I141, TRUE, 0), 0)</f>
        <v>640</v>
      </c>
      <c r="O141" s="16" cm="1">
        <f t="array" ref="O141">IFERROR(
  _xlfn.XLOOKUP(D141, Move_List!$A:$A, Move_List!$D:$D) * _xlfn.IFS(
    ISNUMBER(SEARCH("Max", E141)),
      LOOKUP(_xlfn.XLOOKUP(D141, Move_List!$A:$A, Move_List!$D:$D), {0,60,80,110,150}, {2.5,1.83,1.63,1.27,1}),
    E141&lt;&gt;"",
      LOOKUP(_xlfn.XLOOKUP(D141, Move_List!$A:$A, Move_List!$D:$D), {0,60,80,90,100,110,120,150}, {2.5,2,2,1.94,1.8,1.68,1.58,1.33}),
    TRUE, 0
  ) * IF(_xlfn.XLOOKUP(D141, Move_List!$A:$A, Move_List!$C:$C)="Physical", K141, I141),
0)</f>
        <v>0</v>
      </c>
      <c r="P141" s="16">
        <f t="shared" si="8"/>
        <v>45.333333333333336</v>
      </c>
      <c r="Q141" s="16">
        <f t="shared" si="9"/>
        <v>290.13333333333333</v>
      </c>
      <c r="R141" s="17" cm="1">
        <f t="array" ref="R141">IFERROR(Q141 / IF(OR(_xlfn.IFNA(_xlfn.XLOOKUP(E141, Move_List!$A:$A, Move_List!$C:$C), "")={"Dynamax","Mega"}), G141*1.2, G141), 0)</f>
        <v>5.5794871794871792</v>
      </c>
    </row>
    <row r="142" spans="1:18" ht="12.75">
      <c r="A142" s="6" t="s">
        <v>273</v>
      </c>
      <c r="B142" s="5" t="s">
        <v>274</v>
      </c>
      <c r="C142" s="5" t="str">
        <f>_xlfn.XLOOKUP(A142,Stars!A:A,Stars!C:C)</f>
        <v>2-star</v>
      </c>
      <c r="D142" s="19" t="s">
        <v>1354</v>
      </c>
      <c r="E142" s="19"/>
      <c r="F142" s="15">
        <v>1</v>
      </c>
      <c r="G142" s="5">
        <v>38</v>
      </c>
      <c r="H142" s="5">
        <v>16</v>
      </c>
      <c r="I142" s="5">
        <v>24</v>
      </c>
      <c r="J142" s="5">
        <v>29</v>
      </c>
      <c r="K142" s="5">
        <v>26</v>
      </c>
      <c r="L142" s="5">
        <v>29</v>
      </c>
      <c r="M142" s="5">
        <v>62</v>
      </c>
      <c r="N142" s="16" cm="1">
        <f t="array" ref="N142">IFERROR(_xlfn.XLOOKUP(D142, Move_List!$A:$A, Move_List!$D:$D) * _xlfn.IFS(UPPER(TRIM(_xlfn.XLOOKUP(D142, Move_List!$A:$A, Move_List!$C:$C)))="PHYSICAL", K142, UPPER(TRIM(_xlfn.XLOOKUP(D142, Move_List!$A:$A, Move_List!$C:$C)))="SPECIAL", I142, TRUE, 0), 0)</f>
        <v>520</v>
      </c>
      <c r="O142" s="16" cm="1">
        <f t="array" ref="O142">IFERROR(
  _xlfn.XLOOKUP(D142, Move_List!$A:$A, Move_List!$D:$D) * _xlfn.IFS(
    ISNUMBER(SEARCH("Max", E142)),
      LOOKUP(_xlfn.XLOOKUP(D142, Move_List!$A:$A, Move_List!$D:$D), {0,60,80,110,150}, {2.5,1.83,1.63,1.27,1}),
    E142&lt;&gt;"",
      LOOKUP(_xlfn.XLOOKUP(D142, Move_List!$A:$A, Move_List!$D:$D), {0,60,80,90,100,110,120,150}, {2.5,2,2,1.94,1.8,1.68,1.58,1.33}),
    TRUE, 0
  ) * IF(_xlfn.XLOOKUP(D142, Move_List!$A:$A, Move_List!$C:$C)="Physical", K142, I142),
0)</f>
        <v>0</v>
      </c>
      <c r="P142" s="16">
        <f t="shared" si="8"/>
        <v>40</v>
      </c>
      <c r="Q142" s="16">
        <f t="shared" si="9"/>
        <v>208</v>
      </c>
      <c r="R142" s="17" cm="1">
        <f t="array" ref="R142">IFERROR(Q142 / IF(OR(_xlfn.IFNA(_xlfn.XLOOKUP(E142, Move_List!$A:$A, Move_List!$C:$C), "")={"Dynamax","Mega"}), G142*1.2, G142), 0)</f>
        <v>5.4736842105263159</v>
      </c>
    </row>
    <row r="143" spans="1:18" ht="12.75">
      <c r="A143" s="6" t="s">
        <v>290</v>
      </c>
      <c r="B143" s="5" t="s">
        <v>291</v>
      </c>
      <c r="C143" s="5" t="str">
        <f>_xlfn.XLOOKUP(A143,Stars!A:A,Stars!C:C)</f>
        <v>2-star</v>
      </c>
      <c r="D143" s="19" t="s">
        <v>691</v>
      </c>
      <c r="E143" s="19"/>
      <c r="F143" s="15">
        <v>0.85</v>
      </c>
      <c r="G143" s="5">
        <v>40</v>
      </c>
      <c r="H143" s="5">
        <v>6</v>
      </c>
      <c r="I143" s="5">
        <v>27</v>
      </c>
      <c r="J143" s="5">
        <v>27</v>
      </c>
      <c r="K143" s="5">
        <v>55</v>
      </c>
      <c r="L143" s="5">
        <v>27</v>
      </c>
      <c r="M143" s="5">
        <v>57</v>
      </c>
      <c r="N143" s="16" cm="1">
        <f t="array" ref="N143">IFERROR(_xlfn.XLOOKUP(D143, Move_List!$A:$A, Move_List!$D:$D) * _xlfn.IFS(UPPER(TRIM(_xlfn.XLOOKUP(D143, Move_List!$A:$A, Move_List!$C:$C)))="PHYSICAL", K143, UPPER(TRIM(_xlfn.XLOOKUP(D143, Move_List!$A:$A, Move_List!$C:$C)))="SPECIAL", I143, TRUE, 0), 0)</f>
        <v>540</v>
      </c>
      <c r="O143" s="16" cm="1">
        <f t="array" ref="O143">IFERROR(
  _xlfn.XLOOKUP(D143, Move_List!$A:$A, Move_List!$D:$D) * _xlfn.IFS(
    ISNUMBER(SEARCH("Max", E143)),
      LOOKUP(_xlfn.XLOOKUP(D143, Move_List!$A:$A, Move_List!$D:$D), {0,60,80,110,150}, {2.5,1.83,1.63,1.27,1}),
    E143&lt;&gt;"",
      LOOKUP(_xlfn.XLOOKUP(D143, Move_List!$A:$A, Move_List!$D:$D), {0,60,80,90,100,110,120,150}, {2.5,2,2,1.94,1.8,1.68,1.58,1.33}),
    TRUE, 0
  ) * IF(_xlfn.XLOOKUP(D143, Move_List!$A:$A, Move_List!$C:$C)="Physical", K143, I143),
0)</f>
        <v>0</v>
      </c>
      <c r="P143" s="16">
        <f t="shared" si="8"/>
        <v>37</v>
      </c>
      <c r="Q143" s="16">
        <f t="shared" si="9"/>
        <v>199.8</v>
      </c>
      <c r="R143" s="17" cm="1">
        <f t="array" ref="R143">IFERROR(Q143 / IF(OR(_xlfn.IFNA(_xlfn.XLOOKUP(E143, Move_List!$A:$A, Move_List!$C:$C), "")={"Dynamax","Mega"}), G143*1.2, G143), 0)</f>
        <v>4.9950000000000001</v>
      </c>
    </row>
    <row r="144" spans="1:18" ht="12.75">
      <c r="A144" s="4" t="s">
        <v>144</v>
      </c>
      <c r="B144" s="5" t="s">
        <v>145</v>
      </c>
      <c r="C144" s="5" t="str">
        <f>_xlfn.XLOOKUP(A144,Stars!A:A,Stars!C:C)</f>
        <v>2-star</v>
      </c>
      <c r="D144" s="5" t="s">
        <v>691</v>
      </c>
      <c r="E144" s="5"/>
      <c r="F144" s="15">
        <v>1</v>
      </c>
      <c r="G144" s="16">
        <v>42</v>
      </c>
      <c r="H144" s="16">
        <v>22</v>
      </c>
      <c r="I144" s="16">
        <v>22</v>
      </c>
      <c r="J144" s="16">
        <v>30</v>
      </c>
      <c r="K144" s="16">
        <v>42</v>
      </c>
      <c r="L144" s="16">
        <v>30</v>
      </c>
      <c r="M144" s="16">
        <v>64</v>
      </c>
      <c r="N144" s="16" cm="1">
        <f t="array" ref="N144">IFERROR(_xlfn.XLOOKUP(D144, Move_List!$A:$A, Move_List!$D:$D) * _xlfn.IFS(UPPER(TRIM(_xlfn.XLOOKUP(D144, Move_List!$A:$A, Move_List!$C:$C)))="PHYSICAL", K144, UPPER(TRIM(_xlfn.XLOOKUP(D144, Move_List!$A:$A, Move_List!$C:$C)))="SPECIAL", I144, TRUE, 0), 0)</f>
        <v>440</v>
      </c>
      <c r="O144" s="16" cm="1">
        <f t="array" ref="O144">IFERROR(
  _xlfn.XLOOKUP(D144, Move_List!$A:$A, Move_List!$D:$D) * _xlfn.IFS(
    ISNUMBER(SEARCH("Max", E144)),
      LOOKUP(_xlfn.XLOOKUP(D144, Move_List!$A:$A, Move_List!$D:$D), {0,60,80,110,150}, {2.5,1.83,1.63,1.27,1}),
    E144&lt;&gt;"",
      LOOKUP(_xlfn.XLOOKUP(D144, Move_List!$A:$A, Move_List!$D:$D), {0,60,80,90,100,110,120,150}, {2.5,2,2,1.94,1.8,1.68,1.58,1.33}),
    TRUE, 0
  ) * IF(_xlfn.XLOOKUP(D144, Move_List!$A:$A, Move_List!$C:$C)="Physical", K144, I144),
0)</f>
        <v>0</v>
      </c>
      <c r="P144" s="16">
        <f t="shared" si="8"/>
        <v>41.333333333333336</v>
      </c>
      <c r="Q144" s="16">
        <f t="shared" si="9"/>
        <v>181.86666666666667</v>
      </c>
      <c r="R144" s="17" cm="1">
        <f t="array" ref="R144">IFERROR(Q144 / IF(OR(_xlfn.IFNA(_xlfn.XLOOKUP(E144, Move_List!$A:$A, Move_List!$C:$C), "")={"Dynamax","Mega"}), G144*1.2, G144), 0)</f>
        <v>4.3301587301587308</v>
      </c>
    </row>
    <row r="145" spans="1:18" ht="12.75">
      <c r="A145" s="22"/>
      <c r="G145" s="21"/>
      <c r="H145" s="21"/>
      <c r="I145" s="21"/>
      <c r="J145" s="21"/>
      <c r="K145" s="21"/>
      <c r="L145" s="21"/>
      <c r="M145" s="21"/>
      <c r="N145" s="21"/>
      <c r="O145" s="21"/>
      <c r="P145" s="16"/>
      <c r="Q145" s="16"/>
      <c r="R145" s="23"/>
    </row>
    <row r="146" spans="1:18" ht="12.75">
      <c r="A146" s="22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3"/>
    </row>
    <row r="147" spans="1:18" ht="12.75">
      <c r="A147" s="22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3"/>
    </row>
    <row r="148" spans="1:18" ht="12.75">
      <c r="A148" s="22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3"/>
    </row>
    <row r="149" spans="1:18" ht="12.75">
      <c r="A149" s="22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3"/>
    </row>
    <row r="150" spans="1:18" ht="12.75">
      <c r="A150" s="22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3"/>
    </row>
    <row r="151" spans="1:18" ht="12.75">
      <c r="A151" s="22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3"/>
    </row>
    <row r="152" spans="1:18" ht="12.75">
      <c r="A152" s="22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3"/>
    </row>
    <row r="153" spans="1:18" ht="12.75">
      <c r="A153" s="22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3"/>
    </row>
    <row r="154" spans="1:18" ht="12.75">
      <c r="A154" s="22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3"/>
    </row>
    <row r="155" spans="1:18" ht="12.75">
      <c r="A155" s="22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3"/>
    </row>
    <row r="156" spans="1:18" ht="12.75">
      <c r="A156" s="22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3"/>
    </row>
    <row r="157" spans="1:18" ht="12.75">
      <c r="A157" s="22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3"/>
    </row>
    <row r="158" spans="1:18" ht="12.75">
      <c r="A158" s="22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3"/>
    </row>
    <row r="159" spans="1:18" ht="12.75">
      <c r="A159" s="22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3"/>
    </row>
    <row r="160" spans="1:18" ht="12.75">
      <c r="A160" s="22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3"/>
    </row>
    <row r="161" spans="1:18" ht="12.75">
      <c r="A161" s="22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3"/>
    </row>
    <row r="162" spans="1:18" ht="12.75">
      <c r="A162" s="22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3"/>
    </row>
    <row r="163" spans="1:18" ht="12.75">
      <c r="A163" s="22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3"/>
    </row>
    <row r="164" spans="1:18" ht="12.75">
      <c r="A164" s="22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3"/>
    </row>
    <row r="165" spans="1:18" ht="12.75">
      <c r="A165" s="22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3"/>
    </row>
    <row r="166" spans="1:18" ht="12.75">
      <c r="A166" s="22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3"/>
    </row>
    <row r="167" spans="1:18" ht="12.75">
      <c r="A167" s="22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3"/>
    </row>
    <row r="168" spans="1:18" ht="12.75">
      <c r="A168" s="22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3"/>
    </row>
    <row r="169" spans="1:18" ht="12.75">
      <c r="A169" s="22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3"/>
    </row>
    <row r="170" spans="1:18" ht="12.75">
      <c r="A170" s="22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3"/>
    </row>
    <row r="171" spans="1:18" ht="12.75">
      <c r="A171" s="22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3"/>
    </row>
    <row r="172" spans="1:18" ht="12.75">
      <c r="A172" s="22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3"/>
    </row>
    <row r="173" spans="1:18" ht="12.75">
      <c r="A173" s="22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3"/>
    </row>
    <row r="174" spans="1:18" ht="12.75">
      <c r="A174" s="22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3"/>
    </row>
    <row r="175" spans="1:18" ht="12.75">
      <c r="A175" s="22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3"/>
    </row>
    <row r="176" spans="1:18" ht="12.75">
      <c r="A176" s="22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3"/>
    </row>
    <row r="177" spans="1:18" ht="12.75">
      <c r="A177" s="22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3"/>
    </row>
    <row r="178" spans="1:18" ht="12.75">
      <c r="A178" s="22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3"/>
    </row>
    <row r="179" spans="1:18" ht="12.75">
      <c r="A179" s="22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3"/>
    </row>
    <row r="180" spans="1:18" ht="12.75">
      <c r="A180" s="22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3"/>
    </row>
    <row r="181" spans="1:18" ht="12.75">
      <c r="A181" s="22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3"/>
    </row>
    <row r="182" spans="1:18" ht="12.75">
      <c r="A182" s="22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3"/>
    </row>
    <row r="183" spans="1:18" ht="12.75">
      <c r="A183" s="22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3"/>
    </row>
    <row r="184" spans="1:18" ht="12.75">
      <c r="A184" s="22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3"/>
    </row>
    <row r="185" spans="1:18" ht="12.75">
      <c r="A185" s="22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3"/>
    </row>
    <row r="186" spans="1:18" ht="12.75">
      <c r="A186" s="22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3"/>
    </row>
    <row r="187" spans="1:18" ht="12.75">
      <c r="A187" s="22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3"/>
    </row>
    <row r="188" spans="1:18" ht="12.75">
      <c r="A188" s="22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3"/>
    </row>
    <row r="189" spans="1:18" ht="12.75">
      <c r="A189" s="22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3"/>
    </row>
    <row r="190" spans="1:18" ht="12.75">
      <c r="A190" s="22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3"/>
    </row>
    <row r="191" spans="1:18" ht="12.75">
      <c r="A191" s="22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3"/>
    </row>
    <row r="192" spans="1:18" ht="12.75">
      <c r="A192" s="22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3"/>
    </row>
    <row r="193" spans="1:18" ht="12.75">
      <c r="A193" s="22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3"/>
    </row>
    <row r="194" spans="1:18" ht="12.75">
      <c r="A194" s="22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3"/>
    </row>
    <row r="195" spans="1:18" ht="12.75">
      <c r="A195" s="22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3"/>
    </row>
    <row r="196" spans="1:18" ht="12.75">
      <c r="A196" s="22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3"/>
    </row>
    <row r="197" spans="1:18" ht="12.75">
      <c r="A197" s="22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3"/>
    </row>
    <row r="198" spans="1:18" ht="12.75">
      <c r="A198" s="22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3"/>
    </row>
    <row r="199" spans="1:18" ht="12.75">
      <c r="A199" s="22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3"/>
    </row>
    <row r="200" spans="1:18" ht="12.75">
      <c r="A200" s="22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3"/>
    </row>
    <row r="201" spans="1:18" ht="12.75">
      <c r="A201" s="22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3"/>
    </row>
    <row r="202" spans="1:18" ht="12.75">
      <c r="A202" s="22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3"/>
    </row>
    <row r="203" spans="1:18" ht="12.75">
      <c r="A203" s="22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3"/>
    </row>
    <row r="204" spans="1:18" ht="12.75">
      <c r="A204" s="22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3"/>
    </row>
    <row r="205" spans="1:18" ht="12.75">
      <c r="A205" s="22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3"/>
    </row>
    <row r="206" spans="1:18" ht="12.75">
      <c r="A206" s="22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3"/>
    </row>
    <row r="207" spans="1:18" ht="12.75">
      <c r="A207" s="22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3"/>
    </row>
    <row r="208" spans="1:18" ht="12.75">
      <c r="A208" s="22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3"/>
    </row>
    <row r="209" spans="1:18" ht="12.75">
      <c r="A209" s="22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3"/>
    </row>
    <row r="210" spans="1:18" ht="12.75">
      <c r="A210" s="22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3"/>
    </row>
    <row r="211" spans="1:18" ht="12.75">
      <c r="A211" s="22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3"/>
    </row>
    <row r="212" spans="1:18" ht="12.75">
      <c r="A212" s="22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3"/>
    </row>
    <row r="213" spans="1:18" ht="12.75">
      <c r="A213" s="22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3"/>
    </row>
    <row r="214" spans="1:18" ht="12.75">
      <c r="A214" s="22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3"/>
    </row>
    <row r="215" spans="1:18" ht="12.75">
      <c r="A215" s="22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3"/>
    </row>
    <row r="216" spans="1:18" ht="12.75">
      <c r="A216" s="22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3"/>
    </row>
    <row r="217" spans="1:18" ht="12.75">
      <c r="A217" s="22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3"/>
    </row>
    <row r="218" spans="1:18" ht="12.75">
      <c r="A218" s="22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3"/>
    </row>
    <row r="219" spans="1:18" ht="12.75">
      <c r="A219" s="22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3"/>
    </row>
    <row r="220" spans="1:18" ht="12.75">
      <c r="A220" s="22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3"/>
    </row>
    <row r="221" spans="1:18" ht="12.75">
      <c r="A221" s="22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3"/>
    </row>
    <row r="222" spans="1:18" ht="12.75">
      <c r="A222" s="22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3"/>
    </row>
    <row r="223" spans="1:18" ht="12.75">
      <c r="A223" s="22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3"/>
    </row>
    <row r="224" spans="1:18" ht="12.75">
      <c r="A224" s="22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3"/>
    </row>
    <row r="225" spans="1:18" ht="12.75">
      <c r="A225" s="22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3"/>
    </row>
    <row r="226" spans="1:18" ht="12.75">
      <c r="A226" s="22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3"/>
    </row>
    <row r="227" spans="1:18" ht="12.75">
      <c r="A227" s="22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3"/>
    </row>
    <row r="228" spans="1:18" ht="12.75">
      <c r="A228" s="22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3"/>
    </row>
    <row r="229" spans="1:18" ht="12.75">
      <c r="A229" s="22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3"/>
    </row>
    <row r="230" spans="1:18" ht="12.75">
      <c r="A230" s="22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3"/>
    </row>
    <row r="231" spans="1:18" ht="12.75">
      <c r="A231" s="22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3"/>
    </row>
    <row r="232" spans="1:18" ht="12.75">
      <c r="A232" s="22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3"/>
    </row>
    <row r="233" spans="1:18" ht="12.75">
      <c r="A233" s="22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3"/>
    </row>
    <row r="234" spans="1:18" ht="12.75">
      <c r="A234" s="22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3"/>
    </row>
    <row r="235" spans="1:18" ht="12.75">
      <c r="A235" s="22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3"/>
    </row>
    <row r="236" spans="1:18" ht="12.75">
      <c r="A236" s="22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3"/>
    </row>
    <row r="237" spans="1:18" ht="12.75">
      <c r="A237" s="22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3"/>
    </row>
    <row r="238" spans="1:18" ht="12.75">
      <c r="A238" s="22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3"/>
    </row>
    <row r="239" spans="1:18" ht="12.75">
      <c r="A239" s="22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3"/>
    </row>
    <row r="240" spans="1:18" ht="12.75">
      <c r="A240" s="22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3"/>
    </row>
    <row r="241" spans="1:18" ht="12.75">
      <c r="A241" s="22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3"/>
    </row>
    <row r="242" spans="1:18" ht="12.75">
      <c r="A242" s="22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3"/>
    </row>
    <row r="243" spans="1:18" ht="12.75">
      <c r="A243" s="22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3"/>
    </row>
    <row r="244" spans="1:18" ht="12.75">
      <c r="A244" s="22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3"/>
    </row>
    <row r="245" spans="1:18" ht="12.75">
      <c r="A245" s="22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3"/>
    </row>
    <row r="246" spans="1:18" ht="12.75">
      <c r="A246" s="22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3"/>
    </row>
    <row r="247" spans="1:18" ht="12.75">
      <c r="A247" s="22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3"/>
    </row>
    <row r="248" spans="1:18" ht="12.75">
      <c r="A248" s="22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3"/>
    </row>
    <row r="249" spans="1:18" ht="12.75">
      <c r="A249" s="22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3"/>
    </row>
    <row r="250" spans="1:18" ht="12.75">
      <c r="A250" s="22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3"/>
    </row>
    <row r="251" spans="1:18" ht="12.75">
      <c r="A251" s="22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3"/>
    </row>
    <row r="252" spans="1:18" ht="12.75">
      <c r="A252" s="22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3"/>
    </row>
    <row r="253" spans="1:18" ht="12.75">
      <c r="A253" s="22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3"/>
    </row>
    <row r="254" spans="1:18" ht="12.75">
      <c r="A254" s="22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3"/>
    </row>
    <row r="255" spans="1:18" ht="12.75">
      <c r="A255" s="22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3"/>
    </row>
    <row r="256" spans="1:18" ht="12.75">
      <c r="A256" s="22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3"/>
    </row>
    <row r="257" spans="1:18" ht="12.75">
      <c r="A257" s="22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3"/>
    </row>
    <row r="258" spans="1:18" ht="12.75">
      <c r="A258" s="22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3"/>
    </row>
    <row r="259" spans="1:18" ht="12.75">
      <c r="A259" s="22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3"/>
    </row>
    <row r="260" spans="1:18" ht="12.75">
      <c r="A260" s="22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3"/>
    </row>
    <row r="261" spans="1:18" ht="12.75">
      <c r="A261" s="22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3"/>
    </row>
    <row r="262" spans="1:18" ht="12.75">
      <c r="A262" s="22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3"/>
    </row>
    <row r="263" spans="1:18" ht="12.75">
      <c r="A263" s="22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3"/>
    </row>
    <row r="264" spans="1:18" ht="12.75">
      <c r="A264" s="22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3"/>
    </row>
    <row r="265" spans="1:18" ht="12.75">
      <c r="A265" s="22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3"/>
    </row>
    <row r="266" spans="1:18" ht="12.75">
      <c r="A266" s="22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3"/>
    </row>
    <row r="267" spans="1:18" ht="12.75">
      <c r="A267" s="22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3"/>
    </row>
    <row r="268" spans="1:18" ht="12.75">
      <c r="A268" s="22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3"/>
    </row>
    <row r="269" spans="1:18" ht="12.75">
      <c r="A269" s="22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3"/>
    </row>
    <row r="270" spans="1:18" ht="12.75">
      <c r="A270" s="22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3"/>
    </row>
    <row r="271" spans="1:18" ht="12.75">
      <c r="A271" s="22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3"/>
    </row>
    <row r="272" spans="1:18" ht="12.75">
      <c r="A272" s="22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3"/>
    </row>
    <row r="273" spans="1:18" ht="12.75">
      <c r="A273" s="22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3"/>
    </row>
    <row r="274" spans="1:18" ht="12.75">
      <c r="A274" s="22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3"/>
    </row>
    <row r="275" spans="1:18" ht="12.75">
      <c r="A275" s="22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3"/>
    </row>
    <row r="276" spans="1:18" ht="12.75">
      <c r="A276" s="22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3"/>
    </row>
    <row r="277" spans="1:18" ht="12.75">
      <c r="A277" s="22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3"/>
    </row>
    <row r="278" spans="1:18" ht="12.75">
      <c r="A278" s="22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3"/>
    </row>
    <row r="279" spans="1:18" ht="12.75">
      <c r="A279" s="22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3"/>
    </row>
    <row r="280" spans="1:18" ht="12.75">
      <c r="A280" s="22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3"/>
    </row>
    <row r="281" spans="1:18" ht="12.75">
      <c r="A281" s="22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3"/>
    </row>
    <row r="282" spans="1:18" ht="12.75">
      <c r="A282" s="22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3"/>
    </row>
    <row r="283" spans="1:18" ht="12.75">
      <c r="A283" s="22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3"/>
    </row>
    <row r="284" spans="1:18" ht="12.75">
      <c r="A284" s="22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3"/>
    </row>
    <row r="285" spans="1:18" ht="12.75">
      <c r="A285" s="22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3"/>
    </row>
    <row r="286" spans="1:18" ht="12.75">
      <c r="A286" s="22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3"/>
    </row>
    <row r="287" spans="1:18" ht="12.75">
      <c r="A287" s="22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3"/>
    </row>
    <row r="288" spans="1:18" ht="12.75">
      <c r="A288" s="22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3"/>
    </row>
    <row r="289" spans="1:18" ht="12.75">
      <c r="A289" s="22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3"/>
    </row>
    <row r="290" spans="1:18" ht="12.75">
      <c r="A290" s="22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3"/>
    </row>
    <row r="291" spans="1:18" ht="12.75">
      <c r="A291" s="22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3"/>
    </row>
    <row r="292" spans="1:18" ht="12.75">
      <c r="A292" s="22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3"/>
    </row>
    <row r="293" spans="1:18" ht="12.75">
      <c r="A293" s="22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3"/>
    </row>
    <row r="294" spans="1:18" ht="12.75">
      <c r="A294" s="22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3"/>
    </row>
    <row r="295" spans="1:18" ht="12.75">
      <c r="A295" s="22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3"/>
    </row>
    <row r="296" spans="1:18" ht="12.75">
      <c r="A296" s="22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3"/>
    </row>
    <row r="297" spans="1:18" ht="12.75">
      <c r="A297" s="22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3"/>
    </row>
    <row r="298" spans="1:18" ht="12.75">
      <c r="A298" s="22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3"/>
    </row>
    <row r="299" spans="1:18" ht="12.75">
      <c r="A299" s="22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3"/>
    </row>
    <row r="300" spans="1:18" ht="12.75">
      <c r="A300" s="22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3"/>
    </row>
    <row r="301" spans="1:18" ht="12.75">
      <c r="A301" s="22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3"/>
    </row>
    <row r="302" spans="1:18" ht="12.75">
      <c r="A302" s="22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3"/>
    </row>
    <row r="303" spans="1:18" ht="12.75">
      <c r="A303" s="22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3"/>
    </row>
    <row r="304" spans="1:18" ht="12.75">
      <c r="A304" s="22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3"/>
    </row>
    <row r="305" spans="1:18" ht="12.75">
      <c r="A305" s="22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3"/>
    </row>
    <row r="306" spans="1:18" ht="12.75">
      <c r="A306" s="22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3"/>
    </row>
    <row r="307" spans="1:18" ht="12.75">
      <c r="A307" s="22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3"/>
    </row>
    <row r="308" spans="1:18" ht="12.75">
      <c r="A308" s="22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3"/>
    </row>
    <row r="309" spans="1:18" ht="12.75">
      <c r="A309" s="22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3"/>
    </row>
    <row r="310" spans="1:18" ht="12.75">
      <c r="A310" s="22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3"/>
    </row>
    <row r="311" spans="1:18" ht="12.75">
      <c r="A311" s="22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3"/>
    </row>
    <row r="312" spans="1:18" ht="12.75">
      <c r="A312" s="22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3"/>
    </row>
    <row r="313" spans="1:18" ht="12.75">
      <c r="A313" s="22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3"/>
    </row>
    <row r="314" spans="1:18" ht="12.75">
      <c r="A314" s="22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3"/>
    </row>
    <row r="315" spans="1:18" ht="12.75">
      <c r="A315" s="22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3"/>
    </row>
    <row r="316" spans="1:18" ht="12.75">
      <c r="A316" s="22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3"/>
    </row>
    <row r="317" spans="1:18" ht="12.75">
      <c r="A317" s="22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3"/>
    </row>
    <row r="318" spans="1:18" ht="12.75">
      <c r="A318" s="22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3"/>
    </row>
    <row r="319" spans="1:18" ht="12.75">
      <c r="A319" s="22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3"/>
    </row>
    <row r="320" spans="1:18" ht="12.75">
      <c r="A320" s="22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3"/>
    </row>
    <row r="321" spans="1:18" ht="12.75">
      <c r="A321" s="22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3"/>
    </row>
    <row r="322" spans="1:18" ht="12.75">
      <c r="A322" s="22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3"/>
    </row>
    <row r="323" spans="1:18" ht="12.75">
      <c r="A323" s="22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3"/>
    </row>
    <row r="324" spans="1:18" ht="12.75">
      <c r="A324" s="22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3"/>
    </row>
    <row r="325" spans="1:18" ht="12.75">
      <c r="A325" s="22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3"/>
    </row>
    <row r="326" spans="1:18" ht="12.75">
      <c r="A326" s="22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3"/>
    </row>
    <row r="327" spans="1:18" ht="12.75">
      <c r="A327" s="22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3"/>
    </row>
    <row r="328" spans="1:18" ht="12.75">
      <c r="A328" s="22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3"/>
    </row>
    <row r="329" spans="1:18" ht="12.75">
      <c r="A329" s="22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3"/>
    </row>
    <row r="330" spans="1:18" ht="12.75">
      <c r="A330" s="22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3"/>
    </row>
    <row r="331" spans="1:18" ht="12.75">
      <c r="A331" s="22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3"/>
    </row>
    <row r="332" spans="1:18" ht="12.75">
      <c r="A332" s="22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3"/>
    </row>
    <row r="333" spans="1:18" ht="12.75">
      <c r="A333" s="22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3"/>
    </row>
    <row r="334" spans="1:18" ht="12.75">
      <c r="A334" s="22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3"/>
    </row>
    <row r="335" spans="1:18" ht="12.75">
      <c r="A335" s="22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3"/>
    </row>
    <row r="336" spans="1:18" ht="12.75">
      <c r="A336" s="22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3"/>
    </row>
    <row r="337" spans="1:18" ht="12.75">
      <c r="A337" s="22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3"/>
    </row>
    <row r="338" spans="1:18" ht="12.75">
      <c r="A338" s="22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3"/>
    </row>
    <row r="339" spans="1:18" ht="12.75">
      <c r="A339" s="22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3"/>
    </row>
    <row r="340" spans="1:18" ht="12.75">
      <c r="A340" s="22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3"/>
    </row>
    <row r="341" spans="1:18" ht="12.75">
      <c r="A341" s="22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3"/>
    </row>
    <row r="342" spans="1:18" ht="12.75">
      <c r="A342" s="22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3"/>
    </row>
    <row r="343" spans="1:18" ht="12.75">
      <c r="A343" s="22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3"/>
    </row>
    <row r="344" spans="1:18" ht="12.75">
      <c r="A344" s="22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3"/>
    </row>
    <row r="345" spans="1:18" ht="12.75">
      <c r="A345" s="22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3"/>
    </row>
    <row r="346" spans="1:18" ht="12.75">
      <c r="A346" s="22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3"/>
    </row>
    <row r="347" spans="1:18" ht="12.75">
      <c r="A347" s="22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3"/>
    </row>
    <row r="348" spans="1:18" ht="12.75">
      <c r="A348" s="22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3"/>
    </row>
    <row r="349" spans="1:18" ht="12.75">
      <c r="A349" s="22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3"/>
    </row>
    <row r="350" spans="1:18" ht="12.75">
      <c r="A350" s="22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3"/>
    </row>
    <row r="351" spans="1:18" ht="12.75">
      <c r="A351" s="22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3"/>
    </row>
    <row r="352" spans="1:18" ht="12.75">
      <c r="A352" s="22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3"/>
    </row>
    <row r="353" spans="1:18" ht="12.75">
      <c r="A353" s="22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3"/>
    </row>
    <row r="354" spans="1:18" ht="12.75">
      <c r="A354" s="22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3"/>
    </row>
    <row r="355" spans="1:18" ht="12.75">
      <c r="A355" s="22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3"/>
    </row>
    <row r="356" spans="1:18" ht="12.75">
      <c r="A356" s="22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3"/>
    </row>
    <row r="357" spans="1:18" ht="12.75">
      <c r="A357" s="22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3"/>
    </row>
    <row r="358" spans="1:18" ht="12.75">
      <c r="A358" s="22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3"/>
    </row>
    <row r="359" spans="1:18" ht="12.75">
      <c r="A359" s="22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3"/>
    </row>
    <row r="360" spans="1:18" ht="12.75">
      <c r="A360" s="22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3"/>
    </row>
    <row r="361" spans="1:18" ht="12.75">
      <c r="A361" s="22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3"/>
    </row>
    <row r="362" spans="1:18" ht="12.75">
      <c r="A362" s="22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3"/>
    </row>
    <row r="363" spans="1:18" ht="12.75">
      <c r="A363" s="22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3"/>
    </row>
    <row r="364" spans="1:18" ht="12.75">
      <c r="A364" s="22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3"/>
    </row>
    <row r="365" spans="1:18" ht="12.75">
      <c r="A365" s="22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3"/>
    </row>
    <row r="366" spans="1:18" ht="12.75">
      <c r="A366" s="22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3"/>
    </row>
    <row r="367" spans="1:18" ht="12.75">
      <c r="A367" s="22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3"/>
    </row>
    <row r="368" spans="1:18" ht="12.75">
      <c r="A368" s="22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3"/>
    </row>
    <row r="369" spans="1:18" ht="12.75">
      <c r="A369" s="22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3"/>
    </row>
    <row r="370" spans="1:18" ht="12.75">
      <c r="A370" s="22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3"/>
    </row>
    <row r="371" spans="1:18" ht="12.75">
      <c r="A371" s="22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3"/>
    </row>
    <row r="372" spans="1:18" ht="12.75">
      <c r="A372" s="22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3"/>
    </row>
    <row r="373" spans="1:18" ht="12.75">
      <c r="A373" s="22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3"/>
    </row>
    <row r="374" spans="1:18" ht="12.75">
      <c r="A374" s="22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3"/>
    </row>
    <row r="375" spans="1:18" ht="12.75">
      <c r="A375" s="22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3"/>
    </row>
    <row r="376" spans="1:18" ht="12.75">
      <c r="A376" s="22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3"/>
    </row>
    <row r="377" spans="1:18" ht="12.75">
      <c r="A377" s="22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3"/>
    </row>
    <row r="378" spans="1:18" ht="12.75">
      <c r="A378" s="22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3"/>
    </row>
    <row r="379" spans="1:18" ht="12.75">
      <c r="A379" s="22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3"/>
    </row>
    <row r="380" spans="1:18" ht="12.75">
      <c r="A380" s="22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3"/>
    </row>
    <row r="381" spans="1:18" ht="12.75">
      <c r="A381" s="22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3"/>
    </row>
    <row r="382" spans="1:18" ht="12.75">
      <c r="A382" s="22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3"/>
    </row>
    <row r="383" spans="1:18" ht="12.75">
      <c r="A383" s="22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3"/>
    </row>
    <row r="384" spans="1:18" ht="12.75">
      <c r="A384" s="22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3"/>
    </row>
    <row r="385" spans="1:18" ht="12.75">
      <c r="A385" s="22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3"/>
    </row>
    <row r="386" spans="1:18" ht="12.75">
      <c r="A386" s="22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3"/>
    </row>
    <row r="387" spans="1:18" ht="12.75">
      <c r="A387" s="22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3"/>
    </row>
    <row r="388" spans="1:18" ht="12.75">
      <c r="A388" s="22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3"/>
    </row>
    <row r="389" spans="1:18" ht="12.75">
      <c r="A389" s="22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3"/>
    </row>
    <row r="390" spans="1:18" ht="12.75">
      <c r="A390" s="22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3"/>
    </row>
    <row r="391" spans="1:18" ht="12.75">
      <c r="A391" s="22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3"/>
    </row>
    <row r="392" spans="1:18" ht="12.75">
      <c r="A392" s="22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3"/>
    </row>
    <row r="393" spans="1:18" ht="12.75">
      <c r="A393" s="22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3"/>
    </row>
    <row r="394" spans="1:18" ht="12.75">
      <c r="A394" s="22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3"/>
    </row>
    <row r="395" spans="1:18" ht="12.75">
      <c r="A395" s="22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3"/>
    </row>
    <row r="396" spans="1:18" ht="12.75">
      <c r="A396" s="22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3"/>
    </row>
    <row r="397" spans="1:18" ht="12.75">
      <c r="A397" s="22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3"/>
    </row>
    <row r="398" spans="1:18" ht="12.75">
      <c r="A398" s="22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3"/>
    </row>
    <row r="399" spans="1:18" ht="12.75">
      <c r="A399" s="22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3"/>
    </row>
    <row r="400" spans="1:18" ht="12.75">
      <c r="A400" s="22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3"/>
    </row>
    <row r="401" spans="1:18" ht="12.75">
      <c r="A401" s="22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3"/>
    </row>
    <row r="402" spans="1:18" ht="12.75">
      <c r="A402" s="22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3"/>
    </row>
    <row r="403" spans="1:18" ht="12.75">
      <c r="A403" s="22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3"/>
    </row>
    <row r="404" spans="1:18" ht="12.75">
      <c r="A404" s="22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3"/>
    </row>
    <row r="405" spans="1:18" ht="12.75">
      <c r="A405" s="22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3"/>
    </row>
    <row r="406" spans="1:18" ht="12.75">
      <c r="A406" s="22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3"/>
    </row>
    <row r="407" spans="1:18" ht="12.75">
      <c r="A407" s="22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3"/>
    </row>
    <row r="408" spans="1:18" ht="12.75">
      <c r="A408" s="22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3"/>
    </row>
    <row r="409" spans="1:18" ht="12.75">
      <c r="A409" s="22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3"/>
    </row>
    <row r="410" spans="1:18" ht="12.75">
      <c r="A410" s="22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3"/>
    </row>
    <row r="411" spans="1:18" ht="12.75">
      <c r="A411" s="22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3"/>
    </row>
    <row r="412" spans="1:18" ht="12.75">
      <c r="A412" s="22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3"/>
    </row>
    <row r="413" spans="1:18" ht="12.75">
      <c r="A413" s="22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3"/>
    </row>
    <row r="414" spans="1:18" ht="12.75">
      <c r="A414" s="22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3"/>
    </row>
    <row r="415" spans="1:18" ht="12.75">
      <c r="A415" s="22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3"/>
    </row>
    <row r="416" spans="1:18" ht="12.75">
      <c r="A416" s="22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3"/>
    </row>
    <row r="417" spans="1:18" ht="12.75">
      <c r="A417" s="22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3"/>
    </row>
    <row r="418" spans="1:18" ht="12.75">
      <c r="A418" s="22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3"/>
    </row>
    <row r="419" spans="1:18" ht="12.75">
      <c r="A419" s="22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3"/>
    </row>
    <row r="420" spans="1:18" ht="12.75">
      <c r="A420" s="22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3"/>
    </row>
    <row r="421" spans="1:18" ht="12.75">
      <c r="A421" s="22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3"/>
    </row>
    <row r="422" spans="1:18" ht="12.75">
      <c r="A422" s="22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3"/>
    </row>
    <row r="423" spans="1:18" ht="12.75">
      <c r="A423" s="22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3"/>
    </row>
    <row r="424" spans="1:18" ht="12.75">
      <c r="A424" s="22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3"/>
    </row>
    <row r="425" spans="1:18" ht="12.75">
      <c r="A425" s="22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3"/>
    </row>
    <row r="426" spans="1:18" ht="12.75">
      <c r="A426" s="22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3"/>
    </row>
    <row r="427" spans="1:18" ht="12.75">
      <c r="A427" s="22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3"/>
    </row>
    <row r="428" spans="1:18" ht="12.75">
      <c r="A428" s="22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3"/>
    </row>
    <row r="429" spans="1:18" ht="12.75">
      <c r="A429" s="22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3"/>
    </row>
    <row r="430" spans="1:18" ht="12.75">
      <c r="A430" s="22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3"/>
    </row>
    <row r="431" spans="1:18" ht="12.75">
      <c r="A431" s="22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3"/>
    </row>
    <row r="432" spans="1:18" ht="12.75">
      <c r="A432" s="22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3"/>
    </row>
    <row r="433" spans="1:18" ht="12.75">
      <c r="A433" s="22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3"/>
    </row>
    <row r="434" spans="1:18" ht="12.75">
      <c r="A434" s="22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3"/>
    </row>
    <row r="435" spans="1:18" ht="12.75">
      <c r="A435" s="22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3"/>
    </row>
    <row r="436" spans="1:18" ht="12.75">
      <c r="A436" s="22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3"/>
    </row>
    <row r="437" spans="1:18" ht="12.75">
      <c r="A437" s="22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3"/>
    </row>
    <row r="438" spans="1:18" ht="12.75">
      <c r="A438" s="22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3"/>
    </row>
    <row r="439" spans="1:18" ht="12.75">
      <c r="A439" s="22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3"/>
    </row>
    <row r="440" spans="1:18" ht="12.75">
      <c r="A440" s="22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3"/>
    </row>
    <row r="441" spans="1:18" ht="12.75">
      <c r="A441" s="22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3"/>
    </row>
    <row r="442" spans="1:18" ht="12.75">
      <c r="A442" s="22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3"/>
    </row>
    <row r="443" spans="1:18" ht="12.75">
      <c r="A443" s="22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3"/>
    </row>
    <row r="444" spans="1:18" ht="12.75">
      <c r="A444" s="22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3"/>
    </row>
    <row r="445" spans="1:18" ht="12.75">
      <c r="A445" s="22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3"/>
    </row>
    <row r="446" spans="1:18" ht="12.75">
      <c r="A446" s="22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3"/>
    </row>
    <row r="447" spans="1:18" ht="12.75">
      <c r="A447" s="22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3"/>
    </row>
    <row r="448" spans="1:18" ht="12.75">
      <c r="A448" s="22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3"/>
    </row>
    <row r="449" spans="1:18" ht="12.75">
      <c r="A449" s="22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3"/>
    </row>
    <row r="450" spans="1:18" ht="12.75">
      <c r="A450" s="22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3"/>
    </row>
    <row r="451" spans="1:18" ht="12.75">
      <c r="A451" s="22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3"/>
    </row>
    <row r="452" spans="1:18" ht="12.75">
      <c r="A452" s="22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3"/>
    </row>
    <row r="453" spans="1:18" ht="12.75">
      <c r="A453" s="22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3"/>
    </row>
    <row r="454" spans="1:18" ht="12.75">
      <c r="A454" s="22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3"/>
    </row>
    <row r="455" spans="1:18" ht="12.75">
      <c r="A455" s="22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3"/>
    </row>
    <row r="456" spans="1:18" ht="12.75">
      <c r="A456" s="22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3"/>
    </row>
    <row r="457" spans="1:18" ht="12.75">
      <c r="A457" s="22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3"/>
    </row>
    <row r="458" spans="1:18" ht="12.75">
      <c r="A458" s="22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3"/>
    </row>
    <row r="459" spans="1:18" ht="12.75">
      <c r="A459" s="22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3"/>
    </row>
    <row r="460" spans="1:18" ht="12.75">
      <c r="A460" s="22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3"/>
    </row>
    <row r="461" spans="1:18" ht="12.75">
      <c r="A461" s="22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3"/>
    </row>
    <row r="462" spans="1:18" ht="12.75">
      <c r="A462" s="22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3"/>
    </row>
    <row r="463" spans="1:18" ht="12.75">
      <c r="A463" s="22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3"/>
    </row>
    <row r="464" spans="1:18" ht="12.75">
      <c r="A464" s="22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3"/>
    </row>
    <row r="465" spans="1:18" ht="12.75">
      <c r="A465" s="22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3"/>
    </row>
    <row r="466" spans="1:18" ht="12.75">
      <c r="A466" s="22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3"/>
    </row>
    <row r="467" spans="1:18" ht="12.75">
      <c r="A467" s="22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3"/>
    </row>
    <row r="468" spans="1:18" ht="12.75">
      <c r="A468" s="22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3"/>
    </row>
    <row r="469" spans="1:18" ht="12.75">
      <c r="A469" s="22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3"/>
    </row>
    <row r="470" spans="1:18" ht="12.75">
      <c r="A470" s="22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3"/>
    </row>
    <row r="471" spans="1:18" ht="12.75">
      <c r="A471" s="22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3"/>
    </row>
    <row r="472" spans="1:18" ht="12.75">
      <c r="A472" s="22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3"/>
    </row>
    <row r="473" spans="1:18" ht="12.75">
      <c r="A473" s="22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3"/>
    </row>
    <row r="474" spans="1:18" ht="12.75">
      <c r="A474" s="22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3"/>
    </row>
    <row r="475" spans="1:18" ht="12.75">
      <c r="A475" s="22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3"/>
    </row>
    <row r="476" spans="1:18" ht="12.75">
      <c r="A476" s="22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3"/>
    </row>
    <row r="477" spans="1:18" ht="12.75">
      <c r="A477" s="22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3"/>
    </row>
    <row r="478" spans="1:18" ht="12.75">
      <c r="A478" s="22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3"/>
    </row>
    <row r="479" spans="1:18" ht="12.75">
      <c r="A479" s="22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3"/>
    </row>
    <row r="480" spans="1:18" ht="12.75">
      <c r="A480" s="22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3"/>
    </row>
    <row r="481" spans="1:18" ht="12.75">
      <c r="A481" s="22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3"/>
    </row>
    <row r="482" spans="1:18" ht="12.75">
      <c r="A482" s="22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3"/>
    </row>
    <row r="483" spans="1:18" ht="12.75">
      <c r="A483" s="22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3"/>
    </row>
    <row r="484" spans="1:18" ht="12.75">
      <c r="A484" s="22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3"/>
    </row>
    <row r="485" spans="1:18" ht="12.75">
      <c r="A485" s="22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3"/>
    </row>
    <row r="486" spans="1:18" ht="12.75">
      <c r="A486" s="22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3"/>
    </row>
    <row r="487" spans="1:18" ht="12.75">
      <c r="A487" s="22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3"/>
    </row>
    <row r="488" spans="1:18" ht="12.75">
      <c r="A488" s="22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3"/>
    </row>
    <row r="489" spans="1:18" ht="12.75">
      <c r="A489" s="22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3"/>
    </row>
    <row r="490" spans="1:18" ht="12.75">
      <c r="A490" s="22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3"/>
    </row>
    <row r="491" spans="1:18" ht="12.75">
      <c r="A491" s="22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3"/>
    </row>
    <row r="492" spans="1:18" ht="12.75">
      <c r="A492" s="22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3"/>
    </row>
    <row r="493" spans="1:18" ht="12.75">
      <c r="A493" s="22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3"/>
    </row>
    <row r="494" spans="1:18" ht="12.75">
      <c r="A494" s="22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3"/>
    </row>
    <row r="495" spans="1:18" ht="12.75">
      <c r="A495" s="22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3"/>
    </row>
    <row r="496" spans="1:18" ht="12.75">
      <c r="A496" s="22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3"/>
    </row>
    <row r="497" spans="1:18" ht="12.75">
      <c r="A497" s="22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3"/>
    </row>
    <row r="498" spans="1:18" ht="12.75">
      <c r="A498" s="22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3"/>
    </row>
    <row r="499" spans="1:18" ht="12.75">
      <c r="A499" s="22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3"/>
    </row>
    <row r="500" spans="1:18" ht="12.75">
      <c r="A500" s="22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3"/>
    </row>
    <row r="501" spans="1:18" ht="12.75">
      <c r="A501" s="22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3"/>
    </row>
    <row r="502" spans="1:18" ht="12.75">
      <c r="A502" s="22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3"/>
    </row>
    <row r="503" spans="1:18" ht="12.75">
      <c r="A503" s="22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3"/>
    </row>
    <row r="504" spans="1:18" ht="12.75">
      <c r="A504" s="22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3"/>
    </row>
    <row r="505" spans="1:18" ht="12.75">
      <c r="A505" s="22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3"/>
    </row>
    <row r="506" spans="1:18" ht="12.75">
      <c r="A506" s="22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3"/>
    </row>
    <row r="507" spans="1:18" ht="12.75">
      <c r="A507" s="22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3"/>
    </row>
    <row r="508" spans="1:18" ht="12.75">
      <c r="A508" s="22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3"/>
    </row>
    <row r="509" spans="1:18" ht="12.75">
      <c r="A509" s="22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3"/>
    </row>
    <row r="510" spans="1:18" ht="12.75">
      <c r="A510" s="22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3"/>
    </row>
    <row r="511" spans="1:18" ht="12.75">
      <c r="A511" s="22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3"/>
    </row>
    <row r="512" spans="1:18" ht="12.75">
      <c r="A512" s="22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3"/>
    </row>
    <row r="513" spans="1:18" ht="12.75">
      <c r="A513" s="22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3"/>
    </row>
    <row r="514" spans="1:18" ht="12.75">
      <c r="A514" s="22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3"/>
    </row>
    <row r="515" spans="1:18" ht="12.75">
      <c r="A515" s="22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3"/>
    </row>
    <row r="516" spans="1:18" ht="12.75">
      <c r="A516" s="22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3"/>
    </row>
    <row r="517" spans="1:18" ht="12.75">
      <c r="A517" s="22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3"/>
    </row>
    <row r="518" spans="1:18" ht="12.75">
      <c r="A518" s="22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3"/>
    </row>
    <row r="519" spans="1:18" ht="12.75">
      <c r="A519" s="22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3"/>
    </row>
    <row r="520" spans="1:18" ht="12.75">
      <c r="A520" s="22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3"/>
    </row>
    <row r="521" spans="1:18" ht="12.75">
      <c r="A521" s="22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3"/>
    </row>
    <row r="522" spans="1:18" ht="12.75">
      <c r="A522" s="22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3"/>
    </row>
    <row r="523" spans="1:18" ht="12.75">
      <c r="A523" s="22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3"/>
    </row>
    <row r="524" spans="1:18" ht="12.75">
      <c r="A524" s="22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3"/>
    </row>
    <row r="525" spans="1:18" ht="12.75">
      <c r="A525" s="22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3"/>
    </row>
    <row r="526" spans="1:18" ht="12.75">
      <c r="A526" s="22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3"/>
    </row>
    <row r="527" spans="1:18" ht="12.75">
      <c r="A527" s="22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3"/>
    </row>
    <row r="528" spans="1:18" ht="12.75">
      <c r="A528" s="22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3"/>
    </row>
    <row r="529" spans="1:18" ht="12.75">
      <c r="A529" s="22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3"/>
    </row>
    <row r="530" spans="1:18" ht="12.75">
      <c r="A530" s="22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3"/>
    </row>
    <row r="531" spans="1:18" ht="12.75">
      <c r="A531" s="22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3"/>
    </row>
    <row r="532" spans="1:18" ht="12.75">
      <c r="A532" s="22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3"/>
    </row>
    <row r="533" spans="1:18" ht="12.75">
      <c r="A533" s="22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3"/>
    </row>
    <row r="534" spans="1:18" ht="12.75">
      <c r="A534" s="22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3"/>
    </row>
    <row r="535" spans="1:18" ht="12.75">
      <c r="A535" s="22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3"/>
    </row>
    <row r="536" spans="1:18" ht="12.75">
      <c r="A536" s="22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3"/>
    </row>
    <row r="537" spans="1:18" ht="12.75">
      <c r="A537" s="22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3"/>
    </row>
    <row r="538" spans="1:18" ht="12.75">
      <c r="A538" s="22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3"/>
    </row>
    <row r="539" spans="1:18" ht="12.75">
      <c r="A539" s="22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3"/>
    </row>
    <row r="540" spans="1:18" ht="12.75">
      <c r="A540" s="22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3"/>
    </row>
    <row r="541" spans="1:18" ht="12.75">
      <c r="A541" s="22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3"/>
    </row>
    <row r="542" spans="1:18" ht="12.75">
      <c r="A542" s="22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3"/>
    </row>
    <row r="543" spans="1:18" ht="12.75">
      <c r="A543" s="22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3"/>
    </row>
    <row r="544" spans="1:18" ht="12.75">
      <c r="A544" s="22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3"/>
    </row>
    <row r="545" spans="1:18" ht="12.75">
      <c r="A545" s="22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3"/>
    </row>
    <row r="546" spans="1:18" ht="12.75">
      <c r="A546" s="22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3"/>
    </row>
    <row r="547" spans="1:18" ht="12.75">
      <c r="A547" s="22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3"/>
    </row>
    <row r="548" spans="1:18" ht="12.75">
      <c r="A548" s="22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3"/>
    </row>
    <row r="549" spans="1:18" ht="12.75">
      <c r="A549" s="22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3"/>
    </row>
    <row r="550" spans="1:18" ht="12.75">
      <c r="A550" s="22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3"/>
    </row>
    <row r="551" spans="1:18" ht="12.75">
      <c r="A551" s="22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3"/>
    </row>
    <row r="552" spans="1:18" ht="12.75">
      <c r="A552" s="22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3"/>
    </row>
    <row r="553" spans="1:18" ht="12.75">
      <c r="A553" s="22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3"/>
    </row>
    <row r="554" spans="1:18" ht="12.75">
      <c r="A554" s="22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3"/>
    </row>
    <row r="555" spans="1:18" ht="12.75">
      <c r="A555" s="22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3"/>
    </row>
    <row r="556" spans="1:18" ht="12.75">
      <c r="A556" s="22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3"/>
    </row>
    <row r="557" spans="1:18" ht="12.75">
      <c r="A557" s="22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3"/>
    </row>
    <row r="558" spans="1:18" ht="12.75">
      <c r="A558" s="22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3"/>
    </row>
    <row r="559" spans="1:18" ht="12.75">
      <c r="A559" s="22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3"/>
    </row>
    <row r="560" spans="1:18" ht="12.75">
      <c r="A560" s="22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3"/>
    </row>
    <row r="561" spans="1:18" ht="12.75">
      <c r="A561" s="22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3"/>
    </row>
    <row r="562" spans="1:18" ht="12.75">
      <c r="A562" s="22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3"/>
    </row>
    <row r="563" spans="1:18" ht="12.75">
      <c r="A563" s="22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3"/>
    </row>
    <row r="564" spans="1:18" ht="12.75">
      <c r="A564" s="22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3"/>
    </row>
    <row r="565" spans="1:18" ht="12.75">
      <c r="A565" s="22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3"/>
    </row>
    <row r="566" spans="1:18" ht="12.75">
      <c r="A566" s="22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3"/>
    </row>
    <row r="567" spans="1:18" ht="12.75">
      <c r="A567" s="22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3"/>
    </row>
    <row r="568" spans="1:18" ht="12.75">
      <c r="A568" s="22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3"/>
    </row>
    <row r="569" spans="1:18" ht="12.75">
      <c r="A569" s="22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3"/>
    </row>
    <row r="570" spans="1:18" ht="12.75">
      <c r="A570" s="22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3"/>
    </row>
    <row r="571" spans="1:18" ht="12.75">
      <c r="A571" s="22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3"/>
    </row>
    <row r="572" spans="1:18" ht="12.75">
      <c r="A572" s="22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3"/>
    </row>
    <row r="573" spans="1:18" ht="12.75">
      <c r="A573" s="22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3"/>
    </row>
    <row r="574" spans="1:18" ht="12.75">
      <c r="A574" s="22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3"/>
    </row>
    <row r="575" spans="1:18" ht="12.75">
      <c r="A575" s="22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3"/>
    </row>
    <row r="576" spans="1:18" ht="12.75">
      <c r="A576" s="22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3"/>
    </row>
    <row r="577" spans="1:18" ht="12.75">
      <c r="A577" s="22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3"/>
    </row>
    <row r="578" spans="1:18" ht="12.75">
      <c r="A578" s="22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3"/>
    </row>
    <row r="579" spans="1:18" ht="12.75">
      <c r="A579" s="22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3"/>
    </row>
    <row r="580" spans="1:18" ht="12.75">
      <c r="A580" s="22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3"/>
    </row>
    <row r="581" spans="1:18" ht="12.75">
      <c r="A581" s="22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3"/>
    </row>
    <row r="582" spans="1:18" ht="12.75">
      <c r="A582" s="22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3"/>
    </row>
    <row r="583" spans="1:18" ht="12.75">
      <c r="A583" s="22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3"/>
    </row>
    <row r="584" spans="1:18" ht="12.75">
      <c r="A584" s="22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3"/>
    </row>
    <row r="585" spans="1:18" ht="12.75">
      <c r="A585" s="22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3"/>
    </row>
    <row r="586" spans="1:18" ht="12.75">
      <c r="A586" s="22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3"/>
    </row>
    <row r="587" spans="1:18" ht="12.75">
      <c r="A587" s="22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3"/>
    </row>
    <row r="588" spans="1:18" ht="12.75">
      <c r="A588" s="22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3"/>
    </row>
    <row r="589" spans="1:18" ht="12.75">
      <c r="A589" s="22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3"/>
    </row>
    <row r="590" spans="1:18" ht="12.75">
      <c r="A590" s="22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3"/>
    </row>
    <row r="591" spans="1:18" ht="12.75">
      <c r="A591" s="22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3"/>
    </row>
    <row r="592" spans="1:18" ht="12.75">
      <c r="A592" s="22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3"/>
    </row>
    <row r="593" spans="1:18" ht="12.75">
      <c r="A593" s="22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3"/>
    </row>
    <row r="594" spans="1:18" ht="12.75">
      <c r="A594" s="22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3"/>
    </row>
    <row r="595" spans="1:18" ht="12.75">
      <c r="A595" s="22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3"/>
    </row>
    <row r="596" spans="1:18" ht="12.75">
      <c r="A596" s="22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3"/>
    </row>
    <row r="597" spans="1:18" ht="12.75">
      <c r="A597" s="22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3"/>
    </row>
    <row r="598" spans="1:18" ht="12.75">
      <c r="A598" s="22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3"/>
    </row>
    <row r="599" spans="1:18" ht="12.75">
      <c r="A599" s="22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3"/>
    </row>
    <row r="600" spans="1:18" ht="12.75">
      <c r="A600" s="22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3"/>
    </row>
    <row r="601" spans="1:18" ht="12.75">
      <c r="A601" s="22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3"/>
    </row>
    <row r="602" spans="1:18" ht="12.75">
      <c r="A602" s="22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3"/>
    </row>
    <row r="603" spans="1:18" ht="12.75">
      <c r="A603" s="22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3"/>
    </row>
    <row r="604" spans="1:18" ht="12.75">
      <c r="A604" s="22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3"/>
    </row>
    <row r="605" spans="1:18" ht="12.75">
      <c r="A605" s="22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3"/>
    </row>
    <row r="606" spans="1:18" ht="12.75">
      <c r="A606" s="22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3"/>
    </row>
    <row r="607" spans="1:18" ht="12.75">
      <c r="A607" s="22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3"/>
    </row>
    <row r="608" spans="1:18" ht="12.75">
      <c r="A608" s="22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3"/>
    </row>
    <row r="609" spans="1:18" ht="12.75">
      <c r="A609" s="22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3"/>
    </row>
    <row r="610" spans="1:18" ht="12.75">
      <c r="A610" s="22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3"/>
    </row>
    <row r="611" spans="1:18" ht="12.75">
      <c r="A611" s="22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3"/>
    </row>
    <row r="612" spans="1:18" ht="12.75">
      <c r="A612" s="22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3"/>
    </row>
    <row r="613" spans="1:18" ht="12.75">
      <c r="A613" s="22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3"/>
    </row>
    <row r="614" spans="1:18" ht="12.75">
      <c r="A614" s="22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3"/>
    </row>
    <row r="615" spans="1:18" ht="12.75">
      <c r="A615" s="22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3"/>
    </row>
    <row r="616" spans="1:18" ht="12.75">
      <c r="A616" s="22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3"/>
    </row>
    <row r="617" spans="1:18" ht="12.75">
      <c r="A617" s="22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3"/>
    </row>
    <row r="618" spans="1:18" ht="12.75">
      <c r="A618" s="22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3"/>
    </row>
    <row r="619" spans="1:18" ht="12.75">
      <c r="A619" s="22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3"/>
    </row>
    <row r="620" spans="1:18" ht="12.75">
      <c r="A620" s="22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3"/>
    </row>
    <row r="621" spans="1:18" ht="12.75">
      <c r="A621" s="22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3"/>
    </row>
    <row r="622" spans="1:18" ht="12.75">
      <c r="A622" s="22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3"/>
    </row>
    <row r="623" spans="1:18" ht="12.75">
      <c r="A623" s="22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3"/>
    </row>
    <row r="624" spans="1:18" ht="12.75">
      <c r="A624" s="22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3"/>
    </row>
    <row r="625" spans="1:18" ht="12.75">
      <c r="A625" s="22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3"/>
    </row>
    <row r="626" spans="1:18" ht="12.75">
      <c r="A626" s="22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3"/>
    </row>
    <row r="627" spans="1:18" ht="12.75">
      <c r="A627" s="22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3"/>
    </row>
    <row r="628" spans="1:18" ht="12.75">
      <c r="A628" s="22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3"/>
    </row>
    <row r="629" spans="1:18" ht="12.75">
      <c r="A629" s="22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3"/>
    </row>
    <row r="630" spans="1:18" ht="12.75">
      <c r="A630" s="22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3"/>
    </row>
    <row r="631" spans="1:18" ht="12.75">
      <c r="A631" s="22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3"/>
    </row>
    <row r="632" spans="1:18" ht="12.75">
      <c r="A632" s="22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3"/>
    </row>
    <row r="633" spans="1:18" ht="12.75">
      <c r="A633" s="22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3"/>
    </row>
    <row r="634" spans="1:18" ht="12.75">
      <c r="A634" s="22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3"/>
    </row>
    <row r="635" spans="1:18" ht="12.75">
      <c r="A635" s="22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3"/>
    </row>
    <row r="636" spans="1:18" ht="12.75">
      <c r="A636" s="22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3"/>
    </row>
    <row r="637" spans="1:18" ht="12.75">
      <c r="A637" s="22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3"/>
    </row>
    <row r="638" spans="1:18" ht="12.75">
      <c r="A638" s="22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3"/>
    </row>
    <row r="639" spans="1:18" ht="12.75">
      <c r="A639" s="22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3"/>
    </row>
    <row r="640" spans="1:18" ht="12.75">
      <c r="A640" s="22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3"/>
    </row>
    <row r="641" spans="1:18" ht="12.75">
      <c r="A641" s="22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3"/>
    </row>
    <row r="642" spans="1:18" ht="12.75">
      <c r="A642" s="22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3"/>
    </row>
    <row r="643" spans="1:18" ht="12.75">
      <c r="A643" s="22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3"/>
    </row>
    <row r="644" spans="1:18" ht="12.75">
      <c r="A644" s="22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3"/>
    </row>
    <row r="645" spans="1:18" ht="12.75">
      <c r="A645" s="22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3"/>
    </row>
    <row r="646" spans="1:18" ht="12.75">
      <c r="A646" s="22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3"/>
    </row>
    <row r="647" spans="1:18" ht="12.75">
      <c r="A647" s="22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3"/>
    </row>
    <row r="648" spans="1:18" ht="12.75">
      <c r="A648" s="22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3"/>
    </row>
    <row r="649" spans="1:18" ht="12.75">
      <c r="A649" s="22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3"/>
    </row>
    <row r="650" spans="1:18" ht="12.75">
      <c r="A650" s="22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3"/>
    </row>
    <row r="651" spans="1:18" ht="12.75">
      <c r="A651" s="22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3"/>
    </row>
    <row r="652" spans="1:18" ht="12.75">
      <c r="A652" s="22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3"/>
    </row>
    <row r="653" spans="1:18" ht="12.75">
      <c r="A653" s="22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3"/>
    </row>
    <row r="654" spans="1:18" ht="12.75">
      <c r="A654" s="22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3"/>
    </row>
    <row r="655" spans="1:18" ht="12.75">
      <c r="A655" s="22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3"/>
    </row>
    <row r="656" spans="1:18" ht="12.75">
      <c r="A656" s="22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3"/>
    </row>
    <row r="657" spans="1:18" ht="12.75">
      <c r="A657" s="22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3"/>
    </row>
    <row r="658" spans="1:18" ht="12.75">
      <c r="A658" s="22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3"/>
    </row>
    <row r="659" spans="1:18" ht="12.75">
      <c r="A659" s="22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3"/>
    </row>
    <row r="660" spans="1:18" ht="12.75">
      <c r="A660" s="22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3"/>
    </row>
    <row r="661" spans="1:18" ht="12.75">
      <c r="A661" s="22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3"/>
    </row>
    <row r="662" spans="1:18" ht="12.75">
      <c r="A662" s="22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3"/>
    </row>
    <row r="663" spans="1:18" ht="12.75">
      <c r="A663" s="22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3"/>
    </row>
    <row r="664" spans="1:18" ht="12.75">
      <c r="A664" s="22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3"/>
    </row>
    <row r="665" spans="1:18" ht="12.75">
      <c r="A665" s="22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3"/>
    </row>
    <row r="666" spans="1:18" ht="12.75">
      <c r="A666" s="22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3"/>
    </row>
    <row r="667" spans="1:18" ht="12.75">
      <c r="A667" s="22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3"/>
    </row>
    <row r="668" spans="1:18" ht="12.75">
      <c r="A668" s="22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3"/>
    </row>
    <row r="669" spans="1:18" ht="12.75">
      <c r="A669" s="22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3"/>
    </row>
    <row r="670" spans="1:18" ht="12.75">
      <c r="A670" s="22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3"/>
    </row>
    <row r="671" spans="1:18" ht="12.75">
      <c r="A671" s="22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3"/>
    </row>
    <row r="672" spans="1:18" ht="12.75">
      <c r="A672" s="22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3"/>
    </row>
    <row r="673" spans="1:18" ht="12.75">
      <c r="A673" s="22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3"/>
    </row>
    <row r="674" spans="1:18" ht="12.75">
      <c r="A674" s="22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3"/>
    </row>
    <row r="675" spans="1:18" ht="12.75">
      <c r="A675" s="22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3"/>
    </row>
    <row r="676" spans="1:18" ht="12.75">
      <c r="A676" s="22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3"/>
    </row>
    <row r="677" spans="1:18" ht="12.75">
      <c r="A677" s="22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3"/>
    </row>
    <row r="678" spans="1:18" ht="12.75">
      <c r="A678" s="22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3"/>
    </row>
    <row r="679" spans="1:18" ht="12.75">
      <c r="A679" s="22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3"/>
    </row>
    <row r="680" spans="1:18" ht="12.75">
      <c r="A680" s="22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3"/>
    </row>
    <row r="681" spans="1:18" ht="12.75">
      <c r="A681" s="22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3"/>
    </row>
    <row r="682" spans="1:18" ht="12.75">
      <c r="A682" s="22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3"/>
    </row>
    <row r="683" spans="1:18" ht="12.75">
      <c r="A683" s="22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3"/>
    </row>
    <row r="684" spans="1:18" ht="12.75">
      <c r="A684" s="22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3"/>
    </row>
    <row r="685" spans="1:18" ht="12.75">
      <c r="A685" s="22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3"/>
    </row>
    <row r="686" spans="1:18" ht="12.75">
      <c r="A686" s="22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3"/>
    </row>
    <row r="687" spans="1:18" ht="12.75">
      <c r="A687" s="22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3"/>
    </row>
    <row r="688" spans="1:18" ht="12.75">
      <c r="A688" s="22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3"/>
    </row>
    <row r="689" spans="1:18" ht="12.75">
      <c r="A689" s="22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3"/>
    </row>
    <row r="690" spans="1:18" ht="12.75">
      <c r="A690" s="22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3"/>
    </row>
    <row r="691" spans="1:18" ht="12.75">
      <c r="A691" s="22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3"/>
    </row>
    <row r="692" spans="1:18" ht="12.75">
      <c r="A692" s="22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3"/>
    </row>
    <row r="693" spans="1:18" ht="12.75">
      <c r="A693" s="22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3"/>
    </row>
    <row r="694" spans="1:18" ht="12.75">
      <c r="A694" s="22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3"/>
    </row>
    <row r="695" spans="1:18" ht="12.75">
      <c r="A695" s="22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3"/>
    </row>
    <row r="696" spans="1:18" ht="12.75">
      <c r="A696" s="22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3"/>
    </row>
    <row r="697" spans="1:18" ht="12.75">
      <c r="A697" s="22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3"/>
    </row>
    <row r="698" spans="1:18" ht="12.75">
      <c r="A698" s="22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3"/>
    </row>
    <row r="699" spans="1:18" ht="12.75">
      <c r="A699" s="22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3"/>
    </row>
    <row r="700" spans="1:18" ht="12.75">
      <c r="A700" s="22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3"/>
    </row>
    <row r="701" spans="1:18" ht="12.75">
      <c r="A701" s="22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3"/>
    </row>
    <row r="702" spans="1:18" ht="12.75">
      <c r="A702" s="22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3"/>
    </row>
    <row r="703" spans="1:18" ht="12.75">
      <c r="A703" s="22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3"/>
    </row>
    <row r="704" spans="1:18" ht="12.75">
      <c r="A704" s="22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3"/>
    </row>
    <row r="705" spans="1:18" ht="12.75">
      <c r="A705" s="22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3"/>
    </row>
    <row r="706" spans="1:18" ht="12.75">
      <c r="A706" s="22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3"/>
    </row>
    <row r="707" spans="1:18" ht="12.75">
      <c r="A707" s="22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3"/>
    </row>
    <row r="708" spans="1:18" ht="12.75">
      <c r="A708" s="22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3"/>
    </row>
    <row r="709" spans="1:18" ht="12.75">
      <c r="A709" s="22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3"/>
    </row>
    <row r="710" spans="1:18" ht="12.75">
      <c r="A710" s="22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3"/>
    </row>
    <row r="711" spans="1:18" ht="12.75">
      <c r="A711" s="22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3"/>
    </row>
    <row r="712" spans="1:18" ht="12.75">
      <c r="A712" s="22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3"/>
    </row>
    <row r="713" spans="1:18" ht="12.75">
      <c r="A713" s="22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3"/>
    </row>
    <row r="714" spans="1:18" ht="12.75">
      <c r="A714" s="22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3"/>
    </row>
    <row r="715" spans="1:18" ht="12.75">
      <c r="A715" s="22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3"/>
    </row>
    <row r="716" spans="1:18" ht="12.75">
      <c r="A716" s="22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3"/>
    </row>
    <row r="717" spans="1:18" ht="12.75">
      <c r="A717" s="22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3"/>
    </row>
    <row r="718" spans="1:18" ht="12.75">
      <c r="A718" s="22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3"/>
    </row>
    <row r="719" spans="1:18" ht="12.75">
      <c r="A719" s="22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3"/>
    </row>
    <row r="720" spans="1:18" ht="12.75">
      <c r="A720" s="22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3"/>
    </row>
    <row r="721" spans="1:18" ht="12.75">
      <c r="A721" s="22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3"/>
    </row>
    <row r="722" spans="1:18" ht="12.75">
      <c r="A722" s="22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3"/>
    </row>
    <row r="723" spans="1:18" ht="12.75">
      <c r="A723" s="22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3"/>
    </row>
    <row r="724" spans="1:18" ht="12.75">
      <c r="A724" s="22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3"/>
    </row>
    <row r="725" spans="1:18" ht="12.75">
      <c r="A725" s="22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3"/>
    </row>
    <row r="726" spans="1:18" ht="12.75">
      <c r="A726" s="22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3"/>
    </row>
    <row r="727" spans="1:18" ht="12.75">
      <c r="A727" s="22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3"/>
    </row>
    <row r="728" spans="1:18" ht="12.75">
      <c r="A728" s="22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3"/>
    </row>
    <row r="729" spans="1:18" ht="12.75">
      <c r="A729" s="22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3"/>
    </row>
    <row r="730" spans="1:18" ht="12.75">
      <c r="A730" s="22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3"/>
    </row>
    <row r="731" spans="1:18" ht="12.75">
      <c r="A731" s="22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3"/>
    </row>
    <row r="732" spans="1:18" ht="12.75">
      <c r="A732" s="22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3"/>
    </row>
    <row r="733" spans="1:18" ht="12.75">
      <c r="A733" s="22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3"/>
    </row>
    <row r="734" spans="1:18" ht="12.75">
      <c r="A734" s="22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3"/>
    </row>
    <row r="735" spans="1:18" ht="12.75">
      <c r="A735" s="22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3"/>
    </row>
    <row r="736" spans="1:18" ht="12.75">
      <c r="A736" s="22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3"/>
    </row>
    <row r="737" spans="1:18" ht="12.75">
      <c r="A737" s="22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3"/>
    </row>
    <row r="738" spans="1:18" ht="12.75">
      <c r="A738" s="22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3"/>
    </row>
    <row r="739" spans="1:18" ht="12.75">
      <c r="A739" s="22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3"/>
    </row>
    <row r="740" spans="1:18" ht="12.75">
      <c r="A740" s="22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3"/>
    </row>
    <row r="741" spans="1:18" ht="12.75">
      <c r="A741" s="22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3"/>
    </row>
    <row r="742" spans="1:18" ht="12.75">
      <c r="A742" s="22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3"/>
    </row>
    <row r="743" spans="1:18" ht="12.75">
      <c r="A743" s="22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3"/>
    </row>
    <row r="744" spans="1:18" ht="12.75">
      <c r="A744" s="22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3"/>
    </row>
    <row r="745" spans="1:18" ht="12.75">
      <c r="A745" s="22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3"/>
    </row>
    <row r="746" spans="1:18" ht="12.75">
      <c r="A746" s="22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3"/>
    </row>
    <row r="747" spans="1:18" ht="12.75">
      <c r="A747" s="22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3"/>
    </row>
    <row r="748" spans="1:18" ht="12.75">
      <c r="A748" s="22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3"/>
    </row>
    <row r="749" spans="1:18" ht="12.75">
      <c r="A749" s="22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3"/>
    </row>
    <row r="750" spans="1:18" ht="12.75">
      <c r="A750" s="22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3"/>
    </row>
    <row r="751" spans="1:18" ht="12.75">
      <c r="A751" s="22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3"/>
    </row>
    <row r="752" spans="1:18" ht="12.75">
      <c r="A752" s="22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3"/>
    </row>
    <row r="753" spans="1:18" ht="12.75">
      <c r="A753" s="22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3"/>
    </row>
    <row r="754" spans="1:18" ht="12.75">
      <c r="A754" s="22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3"/>
    </row>
    <row r="755" spans="1:18" ht="12.75">
      <c r="A755" s="22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3"/>
    </row>
    <row r="756" spans="1:18" ht="12.75">
      <c r="A756" s="22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3"/>
    </row>
    <row r="757" spans="1:18" ht="12.75">
      <c r="A757" s="22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3"/>
    </row>
    <row r="758" spans="1:18" ht="12.75">
      <c r="A758" s="22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3"/>
    </row>
    <row r="759" spans="1:18" ht="12.75">
      <c r="A759" s="22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3"/>
    </row>
    <row r="760" spans="1:18" ht="12.75">
      <c r="A760" s="22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3"/>
    </row>
    <row r="761" spans="1:18" ht="12.75">
      <c r="A761" s="22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3"/>
    </row>
    <row r="762" spans="1:18" ht="12.75">
      <c r="A762" s="22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3"/>
    </row>
    <row r="763" spans="1:18" ht="12.75">
      <c r="A763" s="22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3"/>
    </row>
    <row r="764" spans="1:18" ht="12.75">
      <c r="A764" s="22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3"/>
    </row>
    <row r="765" spans="1:18" ht="12.75">
      <c r="A765" s="22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3"/>
    </row>
    <row r="766" spans="1:18" ht="12.75">
      <c r="A766" s="22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3"/>
    </row>
    <row r="767" spans="1:18" ht="12.75">
      <c r="A767" s="22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3"/>
    </row>
    <row r="768" spans="1:18" ht="12.75">
      <c r="A768" s="22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3"/>
    </row>
    <row r="769" spans="1:18" ht="12.75">
      <c r="A769" s="22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3"/>
    </row>
    <row r="770" spans="1:18" ht="12.75">
      <c r="A770" s="22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3"/>
    </row>
    <row r="771" spans="1:18" ht="12.75">
      <c r="A771" s="22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3"/>
    </row>
    <row r="772" spans="1:18" ht="12.75">
      <c r="A772" s="22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3"/>
    </row>
    <row r="773" spans="1:18" ht="12.75">
      <c r="A773" s="22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3"/>
    </row>
    <row r="774" spans="1:18" ht="12.75">
      <c r="A774" s="22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3"/>
    </row>
    <row r="775" spans="1:18" ht="12.75">
      <c r="A775" s="22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3"/>
    </row>
    <row r="776" spans="1:18" ht="12.75">
      <c r="A776" s="22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3"/>
    </row>
    <row r="777" spans="1:18" ht="12.75">
      <c r="A777" s="22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3"/>
    </row>
    <row r="778" spans="1:18" ht="12.75">
      <c r="A778" s="22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3"/>
    </row>
    <row r="779" spans="1:18" ht="12.75">
      <c r="A779" s="22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3"/>
    </row>
    <row r="780" spans="1:18" ht="12.75">
      <c r="A780" s="22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3"/>
    </row>
    <row r="781" spans="1:18" ht="12.75">
      <c r="A781" s="22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3"/>
    </row>
    <row r="782" spans="1:18" ht="12.75">
      <c r="A782" s="22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3"/>
    </row>
    <row r="783" spans="1:18" ht="12.75">
      <c r="A783" s="22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3"/>
    </row>
    <row r="784" spans="1:18" ht="12.75">
      <c r="A784" s="22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3"/>
    </row>
    <row r="785" spans="1:18" ht="12.75">
      <c r="A785" s="22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3"/>
    </row>
    <row r="786" spans="1:18" ht="12.75">
      <c r="A786" s="22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3"/>
    </row>
    <row r="787" spans="1:18" ht="12.75">
      <c r="A787" s="22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3"/>
    </row>
    <row r="788" spans="1:18" ht="12.75">
      <c r="A788" s="22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3"/>
    </row>
    <row r="789" spans="1:18" ht="12.75">
      <c r="A789" s="22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3"/>
    </row>
    <row r="790" spans="1:18" ht="12.75">
      <c r="A790" s="22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3"/>
    </row>
    <row r="791" spans="1:18" ht="12.75">
      <c r="A791" s="22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3"/>
    </row>
    <row r="792" spans="1:18" ht="12.75">
      <c r="A792" s="22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3"/>
    </row>
    <row r="793" spans="1:18" ht="12.75">
      <c r="A793" s="22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3"/>
    </row>
    <row r="794" spans="1:18" ht="12.75">
      <c r="A794" s="22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3"/>
    </row>
    <row r="795" spans="1:18" ht="12.75">
      <c r="A795" s="22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3"/>
    </row>
    <row r="796" spans="1:18" ht="12.75">
      <c r="A796" s="22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3"/>
    </row>
    <row r="797" spans="1:18" ht="12.75">
      <c r="A797" s="22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3"/>
    </row>
    <row r="798" spans="1:18" ht="12.75">
      <c r="A798" s="22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3"/>
    </row>
    <row r="799" spans="1:18" ht="12.75">
      <c r="A799" s="22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3"/>
    </row>
    <row r="800" spans="1:18" ht="12.75">
      <c r="A800" s="22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3"/>
    </row>
    <row r="801" spans="1:18" ht="12.75">
      <c r="A801" s="22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3"/>
    </row>
    <row r="802" spans="1:18" ht="12.75">
      <c r="A802" s="22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3"/>
    </row>
    <row r="803" spans="1:18" ht="12.75">
      <c r="A803" s="22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3"/>
    </row>
    <row r="804" spans="1:18" ht="12.75">
      <c r="A804" s="22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3"/>
    </row>
    <row r="805" spans="1:18" ht="12.75">
      <c r="A805" s="22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3"/>
    </row>
    <row r="806" spans="1:18" ht="12.75">
      <c r="A806" s="22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3"/>
    </row>
    <row r="807" spans="1:18" ht="12.75">
      <c r="A807" s="22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3"/>
    </row>
    <row r="808" spans="1:18" ht="12.75">
      <c r="A808" s="22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3"/>
    </row>
    <row r="809" spans="1:18" ht="12.75">
      <c r="A809" s="22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3"/>
    </row>
    <row r="810" spans="1:18" ht="12.75">
      <c r="A810" s="22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3"/>
    </row>
    <row r="811" spans="1:18" ht="12.75">
      <c r="A811" s="22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3"/>
    </row>
    <row r="812" spans="1:18" ht="12.75">
      <c r="A812" s="22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3"/>
    </row>
    <row r="813" spans="1:18" ht="12.75">
      <c r="A813" s="22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3"/>
    </row>
    <row r="814" spans="1:18" ht="12.75">
      <c r="A814" s="22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3"/>
    </row>
    <row r="815" spans="1:18" ht="12.75">
      <c r="A815" s="22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3"/>
    </row>
    <row r="816" spans="1:18" ht="12.75">
      <c r="A816" s="22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3"/>
    </row>
    <row r="817" spans="1:18" ht="12.75">
      <c r="A817" s="22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3"/>
    </row>
    <row r="818" spans="1:18" ht="12.75">
      <c r="A818" s="22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3"/>
    </row>
    <row r="819" spans="1:18" ht="12.75">
      <c r="A819" s="22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3"/>
    </row>
    <row r="820" spans="1:18" ht="12.75">
      <c r="A820" s="22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3"/>
    </row>
    <row r="821" spans="1:18" ht="12.75">
      <c r="A821" s="22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3"/>
    </row>
    <row r="822" spans="1:18" ht="12.75">
      <c r="A822" s="22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3"/>
    </row>
    <row r="823" spans="1:18" ht="12.75">
      <c r="A823" s="22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3"/>
    </row>
    <row r="824" spans="1:18" ht="12.75">
      <c r="A824" s="22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3"/>
    </row>
    <row r="825" spans="1:18" ht="12.75">
      <c r="A825" s="22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3"/>
    </row>
    <row r="826" spans="1:18" ht="12.75">
      <c r="A826" s="22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3"/>
    </row>
    <row r="827" spans="1:18" ht="12.75">
      <c r="A827" s="22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3"/>
    </row>
    <row r="828" spans="1:18" ht="12.75">
      <c r="A828" s="22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3"/>
    </row>
    <row r="829" spans="1:18" ht="12.75">
      <c r="A829" s="22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3"/>
    </row>
    <row r="830" spans="1:18" ht="12.75">
      <c r="A830" s="22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3"/>
    </row>
    <row r="831" spans="1:18" ht="12.75">
      <c r="A831" s="22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3"/>
    </row>
    <row r="832" spans="1:18" ht="12.75">
      <c r="A832" s="22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3"/>
    </row>
    <row r="833" spans="1:18" ht="12.75">
      <c r="A833" s="22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3"/>
    </row>
    <row r="834" spans="1:18" ht="12.75">
      <c r="A834" s="22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3"/>
    </row>
    <row r="835" spans="1:18" ht="12.75">
      <c r="A835" s="22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3"/>
    </row>
    <row r="836" spans="1:18" ht="12.75">
      <c r="A836" s="22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3"/>
    </row>
    <row r="837" spans="1:18" ht="12.75">
      <c r="A837" s="22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3"/>
    </row>
    <row r="838" spans="1:18" ht="12.75">
      <c r="A838" s="22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3"/>
    </row>
    <row r="839" spans="1:18" ht="12.75">
      <c r="A839" s="22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3"/>
    </row>
    <row r="840" spans="1:18" ht="12.75">
      <c r="A840" s="22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3"/>
    </row>
    <row r="841" spans="1:18" ht="12.75">
      <c r="A841" s="22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3"/>
    </row>
    <row r="842" spans="1:18" ht="12.75">
      <c r="A842" s="22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3"/>
    </row>
    <row r="843" spans="1:18" ht="12.75">
      <c r="A843" s="22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3"/>
    </row>
    <row r="844" spans="1:18" ht="12.75">
      <c r="A844" s="22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3"/>
    </row>
    <row r="845" spans="1:18" ht="12.75">
      <c r="A845" s="22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3"/>
    </row>
    <row r="846" spans="1:18" ht="12.75">
      <c r="A846" s="22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3"/>
    </row>
    <row r="847" spans="1:18" ht="12.75">
      <c r="A847" s="22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3"/>
    </row>
    <row r="848" spans="1:18" ht="12.75">
      <c r="A848" s="22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3"/>
    </row>
    <row r="849" spans="1:18" ht="12.75">
      <c r="A849" s="22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3"/>
    </row>
    <row r="850" spans="1:18" ht="12.75">
      <c r="A850" s="22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3"/>
    </row>
    <row r="851" spans="1:18" ht="12.75">
      <c r="A851" s="22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3"/>
    </row>
    <row r="852" spans="1:18" ht="12.75">
      <c r="A852" s="22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3"/>
    </row>
    <row r="853" spans="1:18" ht="12.75">
      <c r="A853" s="22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3"/>
    </row>
    <row r="854" spans="1:18" ht="12.75">
      <c r="A854" s="22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3"/>
    </row>
    <row r="855" spans="1:18" ht="12.75">
      <c r="A855" s="22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3"/>
    </row>
    <row r="856" spans="1:18" ht="12.75">
      <c r="A856" s="22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3"/>
    </row>
    <row r="857" spans="1:18" ht="12.75">
      <c r="A857" s="22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3"/>
    </row>
    <row r="858" spans="1:18" ht="12.75">
      <c r="A858" s="22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3"/>
    </row>
    <row r="859" spans="1:18" ht="12.75">
      <c r="A859" s="22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3"/>
    </row>
    <row r="860" spans="1:18" ht="12.75">
      <c r="A860" s="22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3"/>
    </row>
    <row r="861" spans="1:18" ht="12.75">
      <c r="A861" s="22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3"/>
    </row>
    <row r="862" spans="1:18" ht="12.75">
      <c r="A862" s="22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3"/>
    </row>
    <row r="863" spans="1:18" ht="12.75">
      <c r="A863" s="22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3"/>
    </row>
    <row r="864" spans="1:18" ht="12.75">
      <c r="A864" s="22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3"/>
    </row>
    <row r="865" spans="1:18" ht="12.75">
      <c r="A865" s="22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3"/>
    </row>
    <row r="866" spans="1:18" ht="12.75">
      <c r="A866" s="22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3"/>
    </row>
    <row r="867" spans="1:18" ht="12.75">
      <c r="A867" s="22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3"/>
    </row>
    <row r="868" spans="1:18" ht="12.75">
      <c r="A868" s="22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3"/>
    </row>
    <row r="869" spans="1:18" ht="12.75">
      <c r="A869" s="22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3"/>
    </row>
    <row r="870" spans="1:18" ht="12.75">
      <c r="A870" s="22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3"/>
    </row>
    <row r="871" spans="1:18" ht="12.75">
      <c r="A871" s="22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3"/>
    </row>
    <row r="872" spans="1:18" ht="12.75">
      <c r="A872" s="22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3"/>
    </row>
    <row r="873" spans="1:18" ht="12.75">
      <c r="A873" s="22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3"/>
    </row>
    <row r="874" spans="1:18" ht="12.75">
      <c r="A874" s="22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3"/>
    </row>
    <row r="875" spans="1:18" ht="12.75">
      <c r="A875" s="22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3"/>
    </row>
    <row r="876" spans="1:18" ht="12.75">
      <c r="A876" s="22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3"/>
    </row>
    <row r="877" spans="1:18" ht="12.75">
      <c r="A877" s="22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3"/>
    </row>
    <row r="878" spans="1:18" ht="12.75">
      <c r="A878" s="22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3"/>
    </row>
    <row r="879" spans="1:18" ht="12.75">
      <c r="A879" s="22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3"/>
    </row>
    <row r="880" spans="1:18" ht="12.75">
      <c r="A880" s="22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3"/>
    </row>
    <row r="881" spans="1:18" ht="12.75">
      <c r="A881" s="22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3"/>
    </row>
    <row r="882" spans="1:18" ht="12.75">
      <c r="A882" s="22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3"/>
    </row>
    <row r="883" spans="1:18" ht="12.75">
      <c r="A883" s="22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3"/>
    </row>
    <row r="884" spans="1:18" ht="12.75">
      <c r="A884" s="22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3"/>
    </row>
    <row r="885" spans="1:18" ht="12.75">
      <c r="A885" s="22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3"/>
    </row>
    <row r="886" spans="1:18" ht="12.75">
      <c r="A886" s="22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3"/>
    </row>
    <row r="887" spans="1:18" ht="12.75">
      <c r="A887" s="22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3"/>
    </row>
    <row r="888" spans="1:18" ht="12.75">
      <c r="A888" s="22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3"/>
    </row>
    <row r="889" spans="1:18" ht="12.75">
      <c r="A889" s="22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3"/>
    </row>
    <row r="890" spans="1:18" ht="12.75">
      <c r="A890" s="22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3"/>
    </row>
    <row r="891" spans="1:18" ht="12.75">
      <c r="A891" s="22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3"/>
    </row>
    <row r="892" spans="1:18" ht="12.75">
      <c r="A892" s="22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3"/>
    </row>
    <row r="893" spans="1:18" ht="12.75">
      <c r="A893" s="22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3"/>
    </row>
    <row r="894" spans="1:18" ht="12.75">
      <c r="A894" s="22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3"/>
    </row>
    <row r="895" spans="1:18" ht="12.75">
      <c r="A895" s="22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3"/>
    </row>
    <row r="896" spans="1:18" ht="12.75">
      <c r="A896" s="22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3"/>
    </row>
    <row r="897" spans="1:18" ht="12.75">
      <c r="A897" s="22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3"/>
    </row>
    <row r="898" spans="1:18" ht="12.75">
      <c r="A898" s="22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3"/>
    </row>
    <row r="899" spans="1:18" ht="12.75">
      <c r="A899" s="22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3"/>
    </row>
    <row r="900" spans="1:18" ht="12.75">
      <c r="A900" s="22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3"/>
    </row>
    <row r="901" spans="1:18" ht="12.75">
      <c r="A901" s="22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3"/>
    </row>
    <row r="902" spans="1:18" ht="12.75">
      <c r="A902" s="22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3"/>
    </row>
    <row r="903" spans="1:18" ht="12.75">
      <c r="A903" s="22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3"/>
    </row>
    <row r="904" spans="1:18" ht="12.75">
      <c r="A904" s="22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3"/>
    </row>
    <row r="905" spans="1:18" ht="12.75">
      <c r="A905" s="22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3"/>
    </row>
    <row r="906" spans="1:18" ht="12.75">
      <c r="A906" s="22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3"/>
    </row>
    <row r="907" spans="1:18" ht="12.75">
      <c r="A907" s="22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3"/>
    </row>
    <row r="908" spans="1:18" ht="12.75">
      <c r="A908" s="22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3"/>
    </row>
    <row r="909" spans="1:18" ht="12.75">
      <c r="A909" s="22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3"/>
    </row>
    <row r="910" spans="1:18" ht="12.75">
      <c r="A910" s="22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3"/>
    </row>
    <row r="911" spans="1:18" ht="12.75">
      <c r="A911" s="22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3"/>
    </row>
    <row r="912" spans="1:18" ht="12.75">
      <c r="A912" s="22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3"/>
    </row>
    <row r="913" spans="1:18" ht="12.75">
      <c r="A913" s="22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3"/>
    </row>
    <row r="914" spans="1:18" ht="12.75">
      <c r="A914" s="22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3"/>
    </row>
    <row r="915" spans="1:18" ht="12.75">
      <c r="A915" s="22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3"/>
    </row>
    <row r="916" spans="1:18" ht="12.75">
      <c r="A916" s="22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3"/>
    </row>
    <row r="917" spans="1:18" ht="12.75">
      <c r="A917" s="22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3"/>
    </row>
    <row r="918" spans="1:18" ht="12.75">
      <c r="A918" s="22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3"/>
    </row>
    <row r="919" spans="1:18" ht="12.75">
      <c r="A919" s="22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3"/>
    </row>
    <row r="920" spans="1:18" ht="12.75">
      <c r="A920" s="22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3"/>
    </row>
    <row r="921" spans="1:18" ht="12.75">
      <c r="A921" s="22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3"/>
    </row>
    <row r="922" spans="1:18" ht="12.75">
      <c r="A922" s="22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3"/>
    </row>
    <row r="923" spans="1:18" ht="12.75">
      <c r="A923" s="22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3"/>
    </row>
    <row r="924" spans="1:18" ht="12.75">
      <c r="A924" s="22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3"/>
    </row>
    <row r="925" spans="1:18" ht="12.75">
      <c r="A925" s="22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3"/>
    </row>
    <row r="926" spans="1:18" ht="12.75">
      <c r="A926" s="22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3"/>
    </row>
    <row r="927" spans="1:18" ht="12.75">
      <c r="A927" s="22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3"/>
    </row>
    <row r="928" spans="1:18" ht="12.75">
      <c r="A928" s="22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3"/>
    </row>
    <row r="929" spans="1:18" ht="12.75">
      <c r="A929" s="22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3"/>
    </row>
    <row r="930" spans="1:18" ht="12.75">
      <c r="A930" s="22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3"/>
    </row>
    <row r="931" spans="1:18" ht="12.75">
      <c r="A931" s="22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3"/>
    </row>
    <row r="932" spans="1:18" ht="12.75">
      <c r="A932" s="22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3"/>
    </row>
    <row r="933" spans="1:18" ht="12.75">
      <c r="A933" s="22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3"/>
    </row>
    <row r="934" spans="1:18" ht="12.75">
      <c r="A934" s="22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3"/>
    </row>
    <row r="935" spans="1:18" ht="12.75">
      <c r="A935" s="22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3"/>
    </row>
    <row r="936" spans="1:18" ht="12.75">
      <c r="A936" s="22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3"/>
    </row>
    <row r="937" spans="1:18" ht="12.75">
      <c r="A937" s="22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3"/>
    </row>
    <row r="938" spans="1:18" ht="12.75">
      <c r="A938" s="22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3"/>
    </row>
    <row r="939" spans="1:18" ht="12.75">
      <c r="A939" s="22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3"/>
    </row>
    <row r="940" spans="1:18" ht="12.75">
      <c r="A940" s="22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3"/>
    </row>
    <row r="941" spans="1:18" ht="12.75">
      <c r="A941" s="22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3"/>
    </row>
    <row r="942" spans="1:18" ht="12.75">
      <c r="A942" s="22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3"/>
    </row>
    <row r="943" spans="1:18" ht="12.75">
      <c r="A943" s="22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3"/>
    </row>
    <row r="944" spans="1:18" ht="12.75">
      <c r="A944" s="22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3"/>
    </row>
    <row r="945" spans="1:18" ht="12.75">
      <c r="A945" s="22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3"/>
    </row>
    <row r="946" spans="1:18" ht="12.75">
      <c r="A946" s="22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3"/>
    </row>
    <row r="947" spans="1:18" ht="12.75">
      <c r="A947" s="22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3"/>
    </row>
    <row r="948" spans="1:18" ht="12.75">
      <c r="A948" s="22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3"/>
    </row>
    <row r="949" spans="1:18" ht="12.75">
      <c r="A949" s="22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3"/>
    </row>
    <row r="950" spans="1:18" ht="12.75">
      <c r="A950" s="22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3"/>
    </row>
    <row r="951" spans="1:18" ht="12.75">
      <c r="A951" s="22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3"/>
    </row>
    <row r="952" spans="1:18" ht="12.75">
      <c r="A952" s="22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3"/>
    </row>
    <row r="953" spans="1:18" ht="12.75">
      <c r="A953" s="22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3"/>
    </row>
    <row r="954" spans="1:18" ht="12.75">
      <c r="A954" s="22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3"/>
    </row>
    <row r="955" spans="1:18" ht="12.75">
      <c r="A955" s="22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3"/>
    </row>
    <row r="956" spans="1:18" ht="12.75">
      <c r="A956" s="22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3"/>
    </row>
    <row r="957" spans="1:18" ht="12.75">
      <c r="A957" s="22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3"/>
    </row>
    <row r="958" spans="1:18" ht="12.75">
      <c r="A958" s="22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3"/>
    </row>
    <row r="959" spans="1:18" ht="12.75">
      <c r="A959" s="22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3"/>
    </row>
    <row r="960" spans="1:18" ht="12.75">
      <c r="A960" s="22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3"/>
    </row>
    <row r="961" spans="1:18" ht="12.75">
      <c r="A961" s="22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3"/>
    </row>
    <row r="962" spans="1:18" ht="12.75">
      <c r="A962" s="22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3"/>
    </row>
    <row r="963" spans="1:18" ht="12.75">
      <c r="A963" s="22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3"/>
    </row>
    <row r="964" spans="1:18" ht="12.75">
      <c r="A964" s="22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3"/>
    </row>
    <row r="965" spans="1:18" ht="12.75">
      <c r="A965" s="22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3"/>
    </row>
    <row r="966" spans="1:18" ht="12.75">
      <c r="A966" s="22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3"/>
    </row>
    <row r="967" spans="1:18" ht="12.75">
      <c r="A967" s="22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3"/>
    </row>
    <row r="968" spans="1:18" ht="12.75">
      <c r="A968" s="22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3"/>
    </row>
    <row r="969" spans="1:18" ht="12.75">
      <c r="A969" s="22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3"/>
    </row>
    <row r="970" spans="1:18" ht="12.75">
      <c r="A970" s="22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3"/>
    </row>
    <row r="971" spans="1:18" ht="12.75">
      <c r="A971" s="22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3"/>
    </row>
    <row r="972" spans="1:18" ht="12.75">
      <c r="A972" s="22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3"/>
    </row>
    <row r="973" spans="1:18" ht="12.75">
      <c r="A973" s="22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3"/>
    </row>
    <row r="974" spans="1:18" ht="12.75">
      <c r="A974" s="22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3"/>
    </row>
    <row r="975" spans="1:18" ht="12.75">
      <c r="A975" s="22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3"/>
    </row>
    <row r="976" spans="1:18" ht="12.75">
      <c r="A976" s="22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3"/>
    </row>
    <row r="977" spans="1:18" ht="12.75">
      <c r="A977" s="22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3"/>
    </row>
    <row r="978" spans="1:18" ht="12.75">
      <c r="A978" s="22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3"/>
    </row>
    <row r="979" spans="1:18" ht="12.75">
      <c r="A979" s="22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3"/>
    </row>
    <row r="980" spans="1:18" ht="12.75">
      <c r="A980" s="22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3"/>
    </row>
    <row r="981" spans="1:18" ht="12.75">
      <c r="A981" s="22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3"/>
    </row>
    <row r="982" spans="1:18" ht="12.75">
      <c r="A982" s="22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3"/>
    </row>
    <row r="983" spans="1:18" ht="12.75">
      <c r="A983" s="22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3"/>
    </row>
    <row r="984" spans="1:18" ht="12.75">
      <c r="A984" s="22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3"/>
    </row>
    <row r="985" spans="1:18" ht="12.75">
      <c r="A985" s="22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3"/>
    </row>
    <row r="986" spans="1:18" ht="12.75">
      <c r="A986" s="22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3"/>
    </row>
    <row r="987" spans="1:18" ht="12.75">
      <c r="A987" s="22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3"/>
    </row>
    <row r="988" spans="1:18" ht="12.75">
      <c r="A988" s="22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3"/>
    </row>
    <row r="989" spans="1:18" ht="12.75">
      <c r="A989" s="22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3"/>
    </row>
    <row r="990" spans="1:18" ht="12.75">
      <c r="A990" s="22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3"/>
    </row>
    <row r="991" spans="1:18" ht="12.75">
      <c r="A991" s="22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3"/>
    </row>
    <row r="992" spans="1:18" ht="12.75">
      <c r="A992" s="22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3"/>
    </row>
    <row r="993" spans="1:18" ht="12.75">
      <c r="A993" s="22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3"/>
    </row>
    <row r="994" spans="1:18" ht="12.75">
      <c r="A994" s="22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3"/>
    </row>
    <row r="995" spans="1:18" ht="12.75">
      <c r="A995" s="22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3"/>
    </row>
    <row r="996" spans="1:18" ht="12.75">
      <c r="A996" s="22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3"/>
    </row>
    <row r="997" spans="1:18" ht="12.75">
      <c r="A997" s="22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3"/>
    </row>
    <row r="998" spans="1:18" ht="12.75">
      <c r="A998" s="22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3"/>
    </row>
    <row r="999" spans="1:18" ht="12.75">
      <c r="A999" s="22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3"/>
    </row>
    <row r="1000" spans="1:18" ht="12.75">
      <c r="A1000" s="22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3"/>
    </row>
    <row r="1001" spans="1:18" ht="12.75">
      <c r="A1001" s="22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3"/>
    </row>
    <row r="1002" spans="1:18" ht="12.75">
      <c r="A1002" s="22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3"/>
    </row>
    <row r="1003" spans="1:18" ht="12.75">
      <c r="A1003" s="22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3"/>
    </row>
    <row r="1004" spans="1:18" ht="12.75">
      <c r="A1004" s="22"/>
      <c r="G1004" s="21"/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3"/>
    </row>
    <row r="1005" spans="1:18" ht="12.75">
      <c r="A1005" s="22"/>
      <c r="G1005" s="21"/>
      <c r="H1005" s="21"/>
      <c r="I1005" s="21"/>
      <c r="J1005" s="21"/>
      <c r="K1005" s="21"/>
      <c r="L1005" s="21"/>
      <c r="M1005" s="21"/>
      <c r="N1005" s="21"/>
      <c r="O1005" s="21"/>
      <c r="P1005" s="21"/>
      <c r="Q1005" s="21"/>
      <c r="R1005" s="23"/>
    </row>
    <row r="1006" spans="1:18" ht="12.75">
      <c r="A1006" s="22"/>
      <c r="G1006" s="21"/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3"/>
    </row>
    <row r="1007" spans="1:18" ht="12.75">
      <c r="A1007" s="22"/>
      <c r="G1007" s="21"/>
      <c r="H1007" s="21"/>
      <c r="I1007" s="21"/>
      <c r="J1007" s="21"/>
      <c r="K1007" s="21"/>
      <c r="L1007" s="21"/>
      <c r="M1007" s="21"/>
      <c r="N1007" s="21"/>
      <c r="O1007" s="21"/>
      <c r="P1007" s="21"/>
      <c r="Q1007" s="21"/>
      <c r="R1007" s="23"/>
    </row>
    <row r="1008" spans="1:18" ht="12.75">
      <c r="A1008" s="22"/>
      <c r="G1008" s="21"/>
      <c r="H1008" s="21"/>
      <c r="I1008" s="21"/>
      <c r="J1008" s="21"/>
      <c r="K1008" s="21"/>
      <c r="L1008" s="21"/>
      <c r="M1008" s="21"/>
      <c r="N1008" s="21"/>
      <c r="O1008" s="21"/>
      <c r="P1008" s="21"/>
      <c r="Q1008" s="21"/>
      <c r="R1008" s="23"/>
    </row>
    <row r="1009" spans="1:18" ht="12.75">
      <c r="A1009" s="22"/>
      <c r="G1009" s="21"/>
      <c r="H1009" s="21"/>
      <c r="I1009" s="21"/>
      <c r="J1009" s="21"/>
      <c r="K1009" s="21"/>
      <c r="L1009" s="21"/>
      <c r="M1009" s="21"/>
      <c r="N1009" s="21"/>
      <c r="O1009" s="21"/>
      <c r="P1009" s="21"/>
      <c r="Q1009" s="21"/>
      <c r="R1009" s="23"/>
    </row>
    <row r="1010" spans="1:18" ht="12.75">
      <c r="A1010" s="22"/>
      <c r="G1010" s="21"/>
      <c r="H1010" s="21"/>
      <c r="I1010" s="21"/>
      <c r="J1010" s="21"/>
      <c r="K1010" s="21"/>
      <c r="L1010" s="21"/>
      <c r="M1010" s="21"/>
      <c r="N1010" s="21"/>
      <c r="O1010" s="21"/>
      <c r="P1010" s="21"/>
      <c r="Q1010" s="21"/>
      <c r="R1010" s="23"/>
    </row>
    <row r="1011" spans="1:18" ht="12.75">
      <c r="A1011" s="22"/>
      <c r="G1011" s="21"/>
      <c r="H1011" s="21"/>
      <c r="I1011" s="21"/>
      <c r="J1011" s="21"/>
      <c r="K1011" s="21"/>
      <c r="L1011" s="21"/>
      <c r="M1011" s="21"/>
      <c r="N1011" s="21"/>
      <c r="O1011" s="21"/>
      <c r="P1011" s="21"/>
      <c r="Q1011" s="21"/>
      <c r="R1011" s="23"/>
    </row>
    <row r="1012" spans="1:18" ht="12.75">
      <c r="A1012" s="22"/>
      <c r="G1012" s="21"/>
      <c r="H1012" s="21"/>
      <c r="I1012" s="21"/>
      <c r="J1012" s="21"/>
      <c r="K1012" s="21"/>
      <c r="L1012" s="21"/>
      <c r="M1012" s="21"/>
      <c r="N1012" s="21"/>
      <c r="O1012" s="21"/>
      <c r="P1012" s="21"/>
      <c r="Q1012" s="21"/>
      <c r="R1012" s="23"/>
    </row>
    <row r="1013" spans="1:18" ht="12.75">
      <c r="A1013" s="22"/>
      <c r="G1013" s="21"/>
      <c r="H1013" s="21"/>
      <c r="I1013" s="21"/>
      <c r="J1013" s="21"/>
      <c r="K1013" s="21"/>
      <c r="L1013" s="21"/>
      <c r="M1013" s="21"/>
      <c r="N1013" s="21"/>
      <c r="O1013" s="21"/>
      <c r="P1013" s="21"/>
      <c r="Q1013" s="21"/>
      <c r="R1013" s="23"/>
    </row>
    <row r="1014" spans="1:18" ht="12.75">
      <c r="A1014" s="22"/>
      <c r="G1014" s="21"/>
      <c r="H1014" s="21"/>
      <c r="I1014" s="21"/>
      <c r="J1014" s="21"/>
      <c r="K1014" s="21"/>
      <c r="L1014" s="21"/>
      <c r="M1014" s="21"/>
      <c r="N1014" s="21"/>
      <c r="O1014" s="21"/>
      <c r="P1014" s="21"/>
      <c r="Q1014" s="21"/>
      <c r="R1014" s="23"/>
    </row>
    <row r="1015" spans="1:18" ht="12.75">
      <c r="A1015" s="22"/>
      <c r="G1015" s="21"/>
      <c r="H1015" s="21"/>
      <c r="I1015" s="21"/>
      <c r="J1015" s="21"/>
      <c r="K1015" s="21"/>
      <c r="L1015" s="21"/>
      <c r="M1015" s="21"/>
      <c r="N1015" s="21"/>
      <c r="O1015" s="21"/>
      <c r="P1015" s="21"/>
      <c r="Q1015" s="21"/>
      <c r="R1015" s="23"/>
    </row>
    <row r="1016" spans="1:18" ht="12.75">
      <c r="A1016" s="22"/>
      <c r="G1016" s="21"/>
      <c r="H1016" s="21"/>
      <c r="I1016" s="21"/>
      <c r="J1016" s="21"/>
      <c r="K1016" s="21"/>
      <c r="L1016" s="21"/>
      <c r="M1016" s="21"/>
      <c r="N1016" s="21"/>
      <c r="O1016" s="21"/>
      <c r="P1016" s="21"/>
      <c r="Q1016" s="21"/>
      <c r="R1016" s="23"/>
    </row>
    <row r="1017" spans="1:18" ht="12.75">
      <c r="A1017" s="22"/>
      <c r="G1017" s="21"/>
      <c r="H1017" s="21"/>
      <c r="I1017" s="21"/>
      <c r="J1017" s="21"/>
      <c r="K1017" s="21"/>
      <c r="L1017" s="21"/>
      <c r="M1017" s="21"/>
      <c r="N1017" s="21"/>
      <c r="O1017" s="21"/>
      <c r="P1017" s="21"/>
      <c r="Q1017" s="21"/>
      <c r="R1017" s="23"/>
    </row>
    <row r="1018" spans="1:18" ht="12.75">
      <c r="A1018" s="22"/>
      <c r="G1018" s="21"/>
      <c r="H1018" s="21"/>
      <c r="I1018" s="21"/>
      <c r="J1018" s="21"/>
      <c r="K1018" s="21"/>
      <c r="L1018" s="21"/>
      <c r="M1018" s="21"/>
      <c r="N1018" s="21"/>
      <c r="O1018" s="21"/>
      <c r="P1018" s="21"/>
      <c r="Q1018" s="21"/>
      <c r="R1018" s="23"/>
    </row>
    <row r="1019" spans="1:18" ht="12.75">
      <c r="A1019" s="22"/>
      <c r="G1019" s="21"/>
      <c r="H1019" s="21"/>
      <c r="I1019" s="21"/>
      <c r="J1019" s="21"/>
      <c r="K1019" s="21"/>
      <c r="L1019" s="21"/>
      <c r="M1019" s="21"/>
      <c r="N1019" s="21"/>
      <c r="O1019" s="21"/>
      <c r="P1019" s="21"/>
      <c r="Q1019" s="21"/>
      <c r="R1019" s="23"/>
    </row>
  </sheetData>
  <autoFilter ref="A1:R1019" xr:uid="{00000000-0009-0000-0000-000007000000}">
    <sortState xmlns:xlrd2="http://schemas.microsoft.com/office/spreadsheetml/2017/richdata2" ref="A2:R1019">
      <sortCondition descending="1" ref="R1:R1019"/>
    </sortState>
  </autoFilter>
  <customSheetViews>
    <customSheetView guid="{F486ED3F-27E8-41EE-BCEB-D5D4C75553F8}" filter="1" showAutoFilter="1">
      <pageMargins left="0.7" right="0.7" top="0.75" bottom="0.75" header="0.3" footer="0.3"/>
      <autoFilter ref="A1:R1019" xr:uid="{A4F5CAF0-8264-40FB-A53A-B39F7F14713C}">
        <filterColumn colId="6">
          <customFilters>
            <customFilter operator="lessThanOrEqual" val="99"/>
          </customFilters>
        </filterColumn>
      </autoFilter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P995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9.42578125" customWidth="1"/>
    <col min="2" max="2" width="15.42578125" customWidth="1"/>
    <col min="3" max="3" width="13.5703125" customWidth="1"/>
    <col min="4" max="4" width="6.5703125" customWidth="1"/>
    <col min="5" max="5" width="7.5703125" customWidth="1"/>
    <col min="6" max="6" width="9" customWidth="1"/>
    <col min="7" max="7" width="12.42578125" customWidth="1"/>
    <col min="8" max="8" width="9.42578125" customWidth="1"/>
    <col min="9" max="9" width="11.5703125" customWidth="1"/>
    <col min="10" max="10" width="27.42578125" customWidth="1"/>
    <col min="11" max="11" width="12.140625" customWidth="1"/>
    <col min="12" max="12" width="13.42578125" customWidth="1"/>
    <col min="13" max="13" width="26.28515625" customWidth="1"/>
    <col min="14" max="14" width="55.28515625" customWidth="1"/>
    <col min="15" max="15" width="46.28515625" customWidth="1"/>
    <col min="16" max="16" width="25.42578125" customWidth="1"/>
  </cols>
  <sheetData>
    <row r="1" spans="1:16">
      <c r="A1" s="24" t="s">
        <v>25</v>
      </c>
      <c r="B1" s="5" t="s">
        <v>1750</v>
      </c>
      <c r="C1" s="5" t="s">
        <v>1766</v>
      </c>
      <c r="D1" s="16" t="s">
        <v>1</v>
      </c>
      <c r="E1" s="16" t="s">
        <v>1767</v>
      </c>
      <c r="F1" s="16" t="s">
        <v>1768</v>
      </c>
      <c r="G1" s="5" t="s">
        <v>1769</v>
      </c>
      <c r="H1" s="16" t="s">
        <v>1770</v>
      </c>
      <c r="I1" s="5" t="s">
        <v>400</v>
      </c>
      <c r="J1" s="5" t="s">
        <v>1771</v>
      </c>
      <c r="K1" s="16" t="s">
        <v>1772</v>
      </c>
      <c r="L1" s="17" t="s">
        <v>1765</v>
      </c>
      <c r="M1" s="5" t="s">
        <v>1773</v>
      </c>
      <c r="N1" s="3" t="s">
        <v>1774</v>
      </c>
      <c r="O1" s="25" t="s">
        <v>1775</v>
      </c>
      <c r="P1" s="5" t="s">
        <v>1776</v>
      </c>
    </row>
    <row r="2" spans="1:16">
      <c r="A2" s="24">
        <v>62</v>
      </c>
      <c r="B2" s="5" t="s">
        <v>169</v>
      </c>
      <c r="C2" s="5" t="s">
        <v>164</v>
      </c>
      <c r="D2" s="16">
        <v>88</v>
      </c>
      <c r="E2" s="16">
        <v>35</v>
      </c>
      <c r="F2" s="16">
        <v>90</v>
      </c>
      <c r="G2" s="5" t="s">
        <v>327</v>
      </c>
      <c r="H2" s="16">
        <v>113</v>
      </c>
      <c r="I2" s="15">
        <v>1</v>
      </c>
      <c r="J2" s="5" t="s">
        <v>1777</v>
      </c>
      <c r="K2" s="16">
        <f t="shared" ref="K2:K47" si="0">F2*H2</f>
        <v>10170</v>
      </c>
      <c r="L2" s="17">
        <f t="shared" ref="L2:L47" si="1">K2/D2</f>
        <v>115.56818181818181</v>
      </c>
      <c r="M2" s="5" t="s">
        <v>1910</v>
      </c>
      <c r="N2" s="5" t="str">
        <f ca="1">IFERROR(__xludf.DUMMYFUNCTION("TEXTJOIN("", "", TRUE, FILTER(PokemonList!$C:$C, (PokemonList!$B:$B=""6★"") * (BYROW(PokemonList!$D:$D, LAMBDA(row, OR(INDEX(ISNUMBER(SEARCH(SPLIT(row, ""/""), M2)))))))))"),"#N/A")</f>
        <v>#N/A</v>
      </c>
      <c r="O2" s="1" t="str">
        <f ca="1">IFERROR(__xludf.DUMMYFUNCTION("TEXTJOIN("", "", TRUE, FILTER(PokemonList!$C:$C, (PokemonList!$B:$B=""5★"") * (BYROW(PokemonList!$D:$D, LAMBDA(row, OR(INDEX(ISNUMBER(SEARCH(SPLIT(row, ""/""), M2)))))))))"),"#N/A")</f>
        <v>#N/A</v>
      </c>
      <c r="P2" s="5" t="s">
        <v>1778</v>
      </c>
    </row>
    <row r="3" spans="1:16">
      <c r="A3" s="24">
        <v>45</v>
      </c>
      <c r="B3" s="5" t="s">
        <v>131</v>
      </c>
      <c r="C3" s="5" t="s">
        <v>76</v>
      </c>
      <c r="D3" s="16">
        <v>90</v>
      </c>
      <c r="E3" s="16">
        <v>99</v>
      </c>
      <c r="F3" s="16">
        <v>110</v>
      </c>
      <c r="G3" s="5" t="s">
        <v>327</v>
      </c>
      <c r="H3" s="16">
        <v>84</v>
      </c>
      <c r="I3" s="15">
        <v>0.7</v>
      </c>
      <c r="J3" s="5" t="s">
        <v>1779</v>
      </c>
      <c r="K3" s="16">
        <f t="shared" si="0"/>
        <v>9240</v>
      </c>
      <c r="L3" s="17">
        <f t="shared" si="1"/>
        <v>102.66666666666667</v>
      </c>
      <c r="M3" s="5" t="s">
        <v>1910</v>
      </c>
      <c r="N3" s="5" t="str">
        <f ca="1">IFERROR(__xludf.DUMMYFUNCTION("TEXTJOIN("", "", TRUE, FILTER(PokemonList!$C:$C, (PokemonList!$B:$B=""6★"") * (BYROW(PokemonList!$D:$D, LAMBDA(row, OR(INDEX(ISNUMBER(SEARCH(SPLIT(row, ""/""), M3)))))))))"),"#N/A")</f>
        <v>#N/A</v>
      </c>
      <c r="O3" s="1" t="str">
        <f ca="1">IFERROR(__xludf.DUMMYFUNCTION("TEXTJOIN("", "", TRUE, FILTER(PokemonList!$C:$C, (PokemonList!$B:$B=""5★"") * (BYROW(PokemonList!$D:$D, LAMBDA(row, OR(INDEX(ISNUMBER(SEARCH(SPLIT(row, ""/""), M3)))))))))"),"#N/A")</f>
        <v>#N/A</v>
      </c>
      <c r="P3" s="5"/>
    </row>
    <row r="4" spans="1:16">
      <c r="A4" s="24">
        <v>43</v>
      </c>
      <c r="B4" s="5" t="s">
        <v>15</v>
      </c>
      <c r="C4" s="5" t="s">
        <v>76</v>
      </c>
      <c r="D4" s="16">
        <v>84</v>
      </c>
      <c r="E4" s="16">
        <v>84</v>
      </c>
      <c r="F4" s="16">
        <v>110</v>
      </c>
      <c r="G4" s="5" t="s">
        <v>327</v>
      </c>
      <c r="H4" s="16">
        <v>69</v>
      </c>
      <c r="I4" s="15">
        <v>0.7</v>
      </c>
      <c r="J4" s="5" t="s">
        <v>1779</v>
      </c>
      <c r="K4" s="16">
        <f t="shared" si="0"/>
        <v>7590</v>
      </c>
      <c r="L4" s="17">
        <f t="shared" si="1"/>
        <v>90.357142857142861</v>
      </c>
      <c r="M4" s="5" t="s">
        <v>1910</v>
      </c>
      <c r="N4" s="5" t="str">
        <f ca="1">IFERROR(__xludf.DUMMYFUNCTION("TEXTJOIN("", "", TRUE, FILTER(PokemonList!$C:$C, (PokemonList!$B:$B=""6★"") * (BYROW(PokemonList!$D:$D, LAMBDA(row, OR(INDEX(ISNUMBER(SEARCH(SPLIT(row, ""/""), M4)))))))))"),"#N/A")</f>
        <v>#N/A</v>
      </c>
      <c r="O4" s="1" t="str">
        <f ca="1">IFERROR(__xludf.DUMMYFUNCTION("TEXTJOIN("", "", TRUE, FILTER(PokemonList!$C:$C, (PokemonList!$B:$B=""5★"") * (BYROW(PokemonList!$D:$D, LAMBDA(row, OR(INDEX(ISNUMBER(SEARCH(SPLIT(row, ""/""), M4)))))))))"),"#N/A")</f>
        <v>#N/A</v>
      </c>
      <c r="P4" s="5"/>
    </row>
    <row r="5" spans="1:16">
      <c r="A5" s="24">
        <v>56</v>
      </c>
      <c r="B5" s="5" t="s">
        <v>156</v>
      </c>
      <c r="C5" s="5" t="s">
        <v>154</v>
      </c>
      <c r="D5" s="16">
        <v>90</v>
      </c>
      <c r="E5" s="16">
        <v>31</v>
      </c>
      <c r="F5" s="16">
        <v>75</v>
      </c>
      <c r="G5" s="5" t="s">
        <v>404</v>
      </c>
      <c r="H5" s="16">
        <v>100</v>
      </c>
      <c r="I5" s="15">
        <v>1</v>
      </c>
      <c r="J5" s="5" t="s">
        <v>1780</v>
      </c>
      <c r="K5" s="16">
        <f t="shared" si="0"/>
        <v>7500</v>
      </c>
      <c r="L5" s="17">
        <f t="shared" si="1"/>
        <v>83.333333333333329</v>
      </c>
      <c r="M5" s="5" t="s">
        <v>1910</v>
      </c>
      <c r="N5" s="5" t="str">
        <f ca="1">IFERROR(__xludf.DUMMYFUNCTION("TEXTJOIN("", "", TRUE, FILTER(PokemonList!$C:$C, (PokemonList!$B:$B=""6★"") * (BYROW(PokemonList!$D:$D, LAMBDA(row, OR(INDEX(ISNUMBER(SEARCH(SPLIT(row, ""/""), M5)))))))))"),"#N/A")</f>
        <v>#N/A</v>
      </c>
      <c r="O5" s="1" t="str">
        <f ca="1">IFERROR(__xludf.DUMMYFUNCTION("TEXTJOIN("", "", TRUE, FILTER(PokemonList!$C:$C, (PokemonList!$B:$B=""5★"") * (BYROW(PokemonList!$D:$D, LAMBDA(row, OR(INDEX(ISNUMBER(SEARCH(SPLIT(row, ""/""), M5)))))))))"),"#N/A")</f>
        <v>#N/A</v>
      </c>
      <c r="P5" s="5"/>
    </row>
    <row r="6" spans="1:16">
      <c r="A6" s="24">
        <v>37</v>
      </c>
      <c r="B6" s="5" t="s">
        <v>84</v>
      </c>
      <c r="C6" s="5" t="s">
        <v>59</v>
      </c>
      <c r="D6" s="16">
        <v>90</v>
      </c>
      <c r="E6" s="16">
        <v>90</v>
      </c>
      <c r="F6" s="16">
        <v>85</v>
      </c>
      <c r="G6" s="5" t="s">
        <v>404</v>
      </c>
      <c r="H6" s="16">
        <v>88</v>
      </c>
      <c r="I6" s="15">
        <v>0.9</v>
      </c>
      <c r="J6" s="26" t="s">
        <v>1781</v>
      </c>
      <c r="K6" s="16">
        <f t="shared" si="0"/>
        <v>7480</v>
      </c>
      <c r="L6" s="17">
        <f t="shared" si="1"/>
        <v>83.111111111111114</v>
      </c>
      <c r="M6" s="5" t="s">
        <v>1910</v>
      </c>
      <c r="N6" s="5" t="str">
        <f ca="1">IFERROR(__xludf.DUMMYFUNCTION("TEXTJOIN("", "", TRUE, FILTER(PokemonList!$C:$C, (PokemonList!$B:$B=""6★"") * (BYROW(PokemonList!$D:$D, LAMBDA(row, OR(INDEX(ISNUMBER(SEARCH(SPLIT(row, ""/""), M6)))))))))"),"#N/A")</f>
        <v>#N/A</v>
      </c>
      <c r="O6" s="1" t="str">
        <f ca="1">IFERROR(__xludf.DUMMYFUNCTION("TEXTJOIN("", "", TRUE, FILTER(PokemonList!$C:$C, (PokemonList!$B:$B=""5★"") * (BYROW(PokemonList!$D:$D, LAMBDA(row, OR(INDEX(ISNUMBER(SEARCH(SPLIT(row, ""/""), M6)))))))))"),"#N/A")</f>
        <v>#N/A</v>
      </c>
      <c r="P6" s="5"/>
    </row>
    <row r="7" spans="1:16">
      <c r="A7" s="24">
        <v>34</v>
      </c>
      <c r="B7" s="5" t="s">
        <v>81</v>
      </c>
      <c r="C7" s="5" t="s">
        <v>82</v>
      </c>
      <c r="D7" s="16">
        <v>90</v>
      </c>
      <c r="E7" s="16">
        <v>66</v>
      </c>
      <c r="F7" s="16">
        <v>77.5</v>
      </c>
      <c r="G7" s="5" t="s">
        <v>404</v>
      </c>
      <c r="H7" s="16">
        <v>95</v>
      </c>
      <c r="I7" s="15">
        <v>1</v>
      </c>
      <c r="J7" s="5" t="s">
        <v>1782</v>
      </c>
      <c r="K7" s="16">
        <f t="shared" si="0"/>
        <v>7362.5</v>
      </c>
      <c r="L7" s="17">
        <f t="shared" si="1"/>
        <v>81.805555555555557</v>
      </c>
      <c r="M7" s="5" t="s">
        <v>1910</v>
      </c>
      <c r="N7" s="5" t="str">
        <f ca="1">IFERROR(__xludf.DUMMYFUNCTION("TEXTJOIN("", "", TRUE, FILTER(PokemonList!$C:$C, (PokemonList!$B:$B=""6★"") * (BYROW(PokemonList!$D:$D, LAMBDA(row, OR(INDEX(ISNUMBER(SEARCH(SPLIT(row, ""/""), M7)))))))))"),"#N/A")</f>
        <v>#N/A</v>
      </c>
      <c r="O7" s="1" t="str">
        <f ca="1">IFERROR(__xludf.DUMMYFUNCTION("TEXTJOIN("", "", TRUE, FILTER(PokemonList!$C:$C, (PokemonList!$B:$B=""5★"") * (BYROW(PokemonList!$D:$D, LAMBDA(row, OR(INDEX(ISNUMBER(SEARCH(SPLIT(row, ""/""), M7)))))))))"),"#N/A")</f>
        <v>#N/A</v>
      </c>
      <c r="P7" s="5"/>
    </row>
    <row r="8" spans="1:16">
      <c r="A8" s="24">
        <v>70</v>
      </c>
      <c r="B8" s="5" t="s">
        <v>187</v>
      </c>
      <c r="C8" s="5" t="s">
        <v>64</v>
      </c>
      <c r="D8" s="16">
        <v>86</v>
      </c>
      <c r="E8" s="16">
        <v>54</v>
      </c>
      <c r="F8" s="16">
        <v>65</v>
      </c>
      <c r="G8" s="5" t="s">
        <v>327</v>
      </c>
      <c r="H8" s="16">
        <v>100</v>
      </c>
      <c r="I8" s="15">
        <v>1</v>
      </c>
      <c r="J8" s="5" t="s">
        <v>1783</v>
      </c>
      <c r="K8" s="16">
        <f t="shared" si="0"/>
        <v>6500</v>
      </c>
      <c r="L8" s="17">
        <f t="shared" si="1"/>
        <v>75.581395348837205</v>
      </c>
      <c r="M8" s="5" t="s">
        <v>1910</v>
      </c>
      <c r="N8" s="5" t="str">
        <f ca="1">IFERROR(__xludf.DUMMYFUNCTION("TEXTJOIN("", "", TRUE, FILTER(PokemonList!$C:$C, (PokemonList!$B:$B=""6★"") * (BYROW(PokemonList!$D:$D, LAMBDA(row, OR(INDEX(ISNUMBER(SEARCH(SPLIT(row, ""/""), M8)))))))))"),"#N/A")</f>
        <v>#N/A</v>
      </c>
      <c r="O8" s="1" t="str">
        <f ca="1">IFERROR(__xludf.DUMMYFUNCTION("TEXTJOIN("", "", TRUE, FILTER(PokemonList!$C:$C, (PokemonList!$B:$B=""5★"") * (BYROW(PokemonList!$D:$D, LAMBDA(row, OR(INDEX(ISNUMBER(SEARCH(SPLIT(row, ""/""), M8)))))))))"),"#N/A")</f>
        <v>#N/A</v>
      </c>
      <c r="P8" s="5"/>
    </row>
    <row r="9" spans="1:16">
      <c r="A9" s="24">
        <v>48</v>
      </c>
      <c r="B9" s="5" t="s">
        <v>137</v>
      </c>
      <c r="C9" s="5" t="s">
        <v>138</v>
      </c>
      <c r="D9" s="16">
        <v>96</v>
      </c>
      <c r="E9" s="16">
        <v>51</v>
      </c>
      <c r="F9" s="16">
        <v>80</v>
      </c>
      <c r="G9" s="5" t="s">
        <v>327</v>
      </c>
      <c r="H9" s="16">
        <v>90</v>
      </c>
      <c r="I9" s="15">
        <v>1</v>
      </c>
      <c r="J9" s="5" t="s">
        <v>335</v>
      </c>
      <c r="K9" s="16">
        <f t="shared" si="0"/>
        <v>7200</v>
      </c>
      <c r="L9" s="17">
        <f t="shared" si="1"/>
        <v>75</v>
      </c>
      <c r="M9" s="5" t="s">
        <v>1910</v>
      </c>
      <c r="N9" s="5" t="str">
        <f ca="1">IFERROR(__xludf.DUMMYFUNCTION("TEXTJOIN("", "", TRUE, FILTER(PokemonList!$C:$C, (PokemonList!$B:$B=""6★"") * (BYROW(PokemonList!$D:$D, LAMBDA(row, OR(INDEX(ISNUMBER(SEARCH(SPLIT(row, ""/""), M9)))))))))"),"#N/A")</f>
        <v>#N/A</v>
      </c>
      <c r="O9" s="1" t="str">
        <f ca="1">IFERROR(__xludf.DUMMYFUNCTION("TEXTJOIN("", "", TRUE, FILTER(PokemonList!$C:$C, (PokemonList!$B:$B=""5★"") * (BYROW(PokemonList!$D:$D, LAMBDA(row, OR(INDEX(ISNUMBER(SEARCH(SPLIT(row, ""/""), M9)))))))))"),"#N/A")</f>
        <v>#N/A</v>
      </c>
      <c r="P9" s="5"/>
    </row>
    <row r="10" spans="1:16">
      <c r="A10" s="24">
        <v>50</v>
      </c>
      <c r="B10" s="5" t="s">
        <v>143</v>
      </c>
      <c r="C10" s="5" t="s">
        <v>62</v>
      </c>
      <c r="D10" s="16">
        <v>90</v>
      </c>
      <c r="E10" s="16">
        <v>97</v>
      </c>
      <c r="F10" s="16">
        <v>70</v>
      </c>
      <c r="G10" s="5" t="s">
        <v>404</v>
      </c>
      <c r="H10" s="16">
        <v>93</v>
      </c>
      <c r="I10" s="15">
        <v>1</v>
      </c>
      <c r="J10" s="5" t="s">
        <v>1784</v>
      </c>
      <c r="K10" s="16">
        <f t="shared" si="0"/>
        <v>6510</v>
      </c>
      <c r="L10" s="17">
        <f t="shared" si="1"/>
        <v>72.333333333333329</v>
      </c>
      <c r="M10" s="5" t="s">
        <v>1910</v>
      </c>
      <c r="N10" s="5" t="str">
        <f ca="1">IFERROR(__xludf.DUMMYFUNCTION("TEXTJOIN("", "", TRUE, FILTER(PokemonList!$C:$C, (PokemonList!$B:$B=""6★"") * (BYROW(PokemonList!$D:$D, LAMBDA(row, OR(INDEX(ISNUMBER(SEARCH(SPLIT(row, ""/""), M10)))))))))"),"#N/A")</f>
        <v>#N/A</v>
      </c>
      <c r="O10" s="1" t="str">
        <f ca="1">IFERROR(__xludf.DUMMYFUNCTION("TEXTJOIN("", "", TRUE, FILTER(PokemonList!$C:$C, (PokemonList!$B:$B=""5★"") * (BYROW(PokemonList!$D:$D, LAMBDA(row, OR(INDEX(ISNUMBER(SEARCH(SPLIT(row, ""/""), M10)))))))))"),"#N/A")</f>
        <v>#N/A</v>
      </c>
      <c r="P10" s="5" t="s">
        <v>1785</v>
      </c>
    </row>
    <row r="11" spans="1:16">
      <c r="A11" s="24">
        <v>46</v>
      </c>
      <c r="B11" s="5" t="s">
        <v>133</v>
      </c>
      <c r="C11" s="5" t="s">
        <v>32</v>
      </c>
      <c r="D11" s="16">
        <v>92</v>
      </c>
      <c r="E11" s="16">
        <v>86</v>
      </c>
      <c r="F11" s="16">
        <v>65</v>
      </c>
      <c r="G11" s="5" t="s">
        <v>327</v>
      </c>
      <c r="H11" s="16">
        <v>101</v>
      </c>
      <c r="I11" s="15">
        <v>1</v>
      </c>
      <c r="J11" s="5" t="s">
        <v>333</v>
      </c>
      <c r="K11" s="16">
        <f t="shared" si="0"/>
        <v>6565</v>
      </c>
      <c r="L11" s="17">
        <f t="shared" si="1"/>
        <v>71.358695652173907</v>
      </c>
      <c r="M11" s="5" t="s">
        <v>1910</v>
      </c>
      <c r="N11" s="5" t="str">
        <f ca="1">IFERROR(__xludf.DUMMYFUNCTION("TEXTJOIN("", "", TRUE, FILTER(PokemonList!$C:$C, (PokemonList!$B:$B=""6★"") * (BYROW(PokemonList!$D:$D, LAMBDA(row, OR(INDEX(ISNUMBER(SEARCH(SPLIT(row, ""/""), M11)))))))))"),"#N/A")</f>
        <v>#N/A</v>
      </c>
      <c r="O11" s="1" t="str">
        <f ca="1">IFERROR(__xludf.DUMMYFUNCTION("TEXTJOIN("", "", TRUE, FILTER(PokemonList!$C:$C, (PokemonList!$B:$B=""5★"") * (BYROW(PokemonList!$D:$D, LAMBDA(row, OR(INDEX(ISNUMBER(SEARCH(SPLIT(row, ""/""), M11)))))))))"),"#N/A")</f>
        <v>#N/A</v>
      </c>
      <c r="P11" s="5"/>
    </row>
    <row r="12" spans="1:16">
      <c r="A12" s="24">
        <v>61</v>
      </c>
      <c r="B12" s="5" t="s">
        <v>166</v>
      </c>
      <c r="C12" s="5" t="s">
        <v>164</v>
      </c>
      <c r="D12" s="16">
        <v>62</v>
      </c>
      <c r="E12" s="16">
        <v>26</v>
      </c>
      <c r="F12" s="16">
        <v>80</v>
      </c>
      <c r="G12" s="5" t="s">
        <v>404</v>
      </c>
      <c r="H12" s="16">
        <v>55</v>
      </c>
      <c r="I12" s="15">
        <v>1</v>
      </c>
      <c r="J12" s="5" t="s">
        <v>1777</v>
      </c>
      <c r="K12" s="16">
        <f t="shared" si="0"/>
        <v>4400</v>
      </c>
      <c r="L12" s="17">
        <f t="shared" si="1"/>
        <v>70.967741935483872</v>
      </c>
      <c r="M12" s="5" t="s">
        <v>1910</v>
      </c>
      <c r="N12" s="5" t="str">
        <f ca="1">IFERROR(__xludf.DUMMYFUNCTION("TEXTJOIN("", "", TRUE, FILTER(PokemonList!$C:$C, (PokemonList!$B:$B=""6★"") * (BYROW(PokemonList!$D:$D, LAMBDA(row, OR(INDEX(ISNUMBER(SEARCH(SPLIT(row, ""/""), M12)))))))))"),"#N/A")</f>
        <v>#N/A</v>
      </c>
      <c r="O12" s="1" t="str">
        <f ca="1">IFERROR(__xludf.DUMMYFUNCTION("TEXTJOIN("", "", TRUE, FILTER(PokemonList!$C:$C, (PokemonList!$B:$B=""5★"") * (BYROW(PokemonList!$D:$D, LAMBDA(row, OR(INDEX(ISNUMBER(SEARCH(SPLIT(row, ""/""), M12)))))))))"),"#N/A")</f>
        <v>#N/A</v>
      </c>
      <c r="P12" s="5"/>
    </row>
    <row r="13" spans="1:16">
      <c r="A13" s="24">
        <v>52</v>
      </c>
      <c r="B13" s="5" t="s">
        <v>16</v>
      </c>
      <c r="C13" s="5" t="s">
        <v>363</v>
      </c>
      <c r="D13" s="16">
        <v>72</v>
      </c>
      <c r="E13" s="16">
        <v>39</v>
      </c>
      <c r="F13" s="16">
        <v>60</v>
      </c>
      <c r="G13" s="5" t="s">
        <v>404</v>
      </c>
      <c r="H13" s="16">
        <v>81</v>
      </c>
      <c r="I13" s="15">
        <v>1</v>
      </c>
      <c r="J13" s="26" t="s">
        <v>1786</v>
      </c>
      <c r="K13" s="16">
        <f t="shared" si="0"/>
        <v>4860</v>
      </c>
      <c r="L13" s="17">
        <f t="shared" si="1"/>
        <v>67.5</v>
      </c>
      <c r="M13" s="5" t="s">
        <v>1910</v>
      </c>
      <c r="N13" s="5" t="str">
        <f ca="1">IFERROR(__xludf.DUMMYFUNCTION("TEXTJOIN("", "", TRUE, FILTER(PokemonList!$C:$C, (PokemonList!$B:$B=""6★"") * (BYROW(PokemonList!$D:$D, LAMBDA(row, OR(INDEX(ISNUMBER(SEARCH(SPLIT(row, ""/""), M13)))))))))"),"#N/A")</f>
        <v>#N/A</v>
      </c>
      <c r="O13" s="1" t="str">
        <f ca="1">IFERROR(__xludf.DUMMYFUNCTION("TEXTJOIN("", "", TRUE, FILTER(PokemonList!$C:$C, (PokemonList!$B:$B=""5★"") * (BYROW(PokemonList!$D:$D, LAMBDA(row, OR(INDEX(ISNUMBER(SEARCH(SPLIT(row, ""/""), M13)))))))))"),"#N/A")</f>
        <v>#N/A</v>
      </c>
      <c r="P13" s="5" t="s">
        <v>1787</v>
      </c>
    </row>
    <row r="14" spans="1:16">
      <c r="A14" s="24">
        <v>55</v>
      </c>
      <c r="B14" s="5" t="s">
        <v>153</v>
      </c>
      <c r="C14" s="5" t="s">
        <v>154</v>
      </c>
      <c r="D14" s="16">
        <v>62</v>
      </c>
      <c r="E14" s="16">
        <v>33</v>
      </c>
      <c r="F14" s="16">
        <v>60</v>
      </c>
      <c r="G14" s="5" t="s">
        <v>404</v>
      </c>
      <c r="H14" s="16">
        <v>69</v>
      </c>
      <c r="I14" s="15">
        <v>1</v>
      </c>
      <c r="J14" s="5" t="s">
        <v>1780</v>
      </c>
      <c r="K14" s="16">
        <f t="shared" si="0"/>
        <v>4140</v>
      </c>
      <c r="L14" s="17">
        <f t="shared" si="1"/>
        <v>66.774193548387103</v>
      </c>
      <c r="M14" s="5" t="s">
        <v>1910</v>
      </c>
      <c r="N14" s="5" t="str">
        <f ca="1">IFERROR(__xludf.DUMMYFUNCTION("TEXTJOIN("", "", TRUE, FILTER(PokemonList!$C:$C, (PokemonList!$B:$B=""6★"") * (BYROW(PokemonList!$D:$D, LAMBDA(row, OR(INDEX(ISNUMBER(SEARCH(SPLIT(row, ""/""), M14)))))))))"),"#N/A")</f>
        <v>#N/A</v>
      </c>
      <c r="O14" s="1" t="str">
        <f ca="1">IFERROR(__xludf.DUMMYFUNCTION("TEXTJOIN("", "", TRUE, FILTER(PokemonList!$C:$C, (PokemonList!$B:$B=""5★"") * (BYROW(PokemonList!$D:$D, LAMBDA(row, OR(INDEX(ISNUMBER(SEARCH(SPLIT(row, ""/""), M14)))))))))"),"#N/A")</f>
        <v>#N/A</v>
      </c>
      <c r="P14" s="5"/>
    </row>
    <row r="15" spans="1:16">
      <c r="A15" s="24">
        <v>68</v>
      </c>
      <c r="B15" s="5" t="s">
        <v>181</v>
      </c>
      <c r="C15" s="5" t="s">
        <v>54</v>
      </c>
      <c r="D15" s="16">
        <v>70</v>
      </c>
      <c r="E15" s="16">
        <v>56</v>
      </c>
      <c r="F15" s="16">
        <v>80</v>
      </c>
      <c r="G15" s="5" t="s">
        <v>327</v>
      </c>
      <c r="H15" s="16">
        <v>56</v>
      </c>
      <c r="I15" s="15">
        <v>1</v>
      </c>
      <c r="J15" s="26" t="s">
        <v>1788</v>
      </c>
      <c r="K15" s="16">
        <f t="shared" si="0"/>
        <v>4480</v>
      </c>
      <c r="L15" s="17">
        <f t="shared" si="1"/>
        <v>64</v>
      </c>
      <c r="M15" s="5" t="s">
        <v>1910</v>
      </c>
      <c r="N15" s="5" t="str">
        <f ca="1">IFERROR(__xludf.DUMMYFUNCTION("TEXTJOIN("", "", TRUE, FILTER(PokemonList!$C:$C, (PokemonList!$B:$B=""6★"") * (BYROW(PokemonList!$D:$D, LAMBDA(row, OR(INDEX(ISNUMBER(SEARCH(SPLIT(row, ""/""), M15)))))))))"),"#N/A")</f>
        <v>#N/A</v>
      </c>
      <c r="O15" s="1" t="str">
        <f ca="1">IFERROR(__xludf.DUMMYFUNCTION("TEXTJOIN("", "", TRUE, FILTER(PokemonList!$C:$C, (PokemonList!$B:$B=""5★"") * (BYROW(PokemonList!$D:$D, LAMBDA(row, OR(INDEX(ISNUMBER(SEARCH(SPLIT(row, ""/""), M15)))))))))"),"#N/A")</f>
        <v>#N/A</v>
      </c>
      <c r="P15" s="5"/>
    </row>
    <row r="16" spans="1:16">
      <c r="A16" s="24">
        <v>19</v>
      </c>
      <c r="B16" s="5" t="s">
        <v>396</v>
      </c>
      <c r="C16" s="5" t="s">
        <v>76</v>
      </c>
      <c r="D16" s="16">
        <v>96</v>
      </c>
      <c r="E16" s="16">
        <v>114</v>
      </c>
      <c r="F16" s="16">
        <v>90</v>
      </c>
      <c r="G16" s="5" t="s">
        <v>327</v>
      </c>
      <c r="H16" s="16">
        <v>66</v>
      </c>
      <c r="I16" s="15">
        <v>1</v>
      </c>
      <c r="J16" s="5" t="s">
        <v>1779</v>
      </c>
      <c r="K16" s="16">
        <f t="shared" si="0"/>
        <v>5940</v>
      </c>
      <c r="L16" s="17">
        <f t="shared" si="1"/>
        <v>61.875</v>
      </c>
      <c r="M16" s="5" t="s">
        <v>1910</v>
      </c>
      <c r="N16" s="5" t="str">
        <f ca="1">IFERROR(__xludf.DUMMYFUNCTION("TEXTJOIN("", "", TRUE, FILTER(PokemonList!$C:$C, (PokemonList!$B:$B=""6★"") * (BYROW(PokemonList!$D:$D, LAMBDA(row, OR(INDEX(ISNUMBER(SEARCH(SPLIT(row, ""/""), M16)))))))))"),"#N/A")</f>
        <v>#N/A</v>
      </c>
      <c r="O16" s="1" t="str">
        <f ca="1">IFERROR(__xludf.DUMMYFUNCTION("TEXTJOIN("", "", TRUE, FILTER(PokemonList!$C:$C, (PokemonList!$B:$B=""5★"") * (BYROW(PokemonList!$D:$D, LAMBDA(row, OR(INDEX(ISNUMBER(SEARCH(SPLIT(row, ""/""), M16)))))))))"),"#N/A")</f>
        <v>#N/A</v>
      </c>
      <c r="P16" s="5"/>
    </row>
    <row r="17" spans="1:16">
      <c r="A17" s="24">
        <v>64</v>
      </c>
      <c r="B17" s="5" t="s">
        <v>18</v>
      </c>
      <c r="C17" s="5" t="s">
        <v>431</v>
      </c>
      <c r="D17" s="16">
        <v>82</v>
      </c>
      <c r="E17" s="16">
        <v>84</v>
      </c>
      <c r="F17" s="16">
        <v>60</v>
      </c>
      <c r="G17" s="5" t="s">
        <v>404</v>
      </c>
      <c r="H17" s="16">
        <v>84</v>
      </c>
      <c r="I17" s="15">
        <v>1</v>
      </c>
      <c r="J17" s="5" t="s">
        <v>1789</v>
      </c>
      <c r="K17" s="16">
        <f t="shared" si="0"/>
        <v>5040</v>
      </c>
      <c r="L17" s="17">
        <f t="shared" si="1"/>
        <v>61.463414634146339</v>
      </c>
      <c r="M17" s="5" t="s">
        <v>1910</v>
      </c>
      <c r="N17" s="5" t="str">
        <f ca="1">IFERROR(__xludf.DUMMYFUNCTION("TEXTJOIN("", "", TRUE, FILTER(PokemonList!$C:$C, (PokemonList!$B:$B=""6★"") * (BYROW(PokemonList!$D:$D, LAMBDA(row, OR(INDEX(ISNUMBER(SEARCH(SPLIT(row, ""/""), M17)))))))))"),"#N/A")</f>
        <v>#N/A</v>
      </c>
      <c r="O17" s="1" t="str">
        <f ca="1">IFERROR(__xludf.DUMMYFUNCTION("TEXTJOIN("", "", TRUE, FILTER(PokemonList!$C:$C, (PokemonList!$B:$B=""5★"") * (BYROW(PokemonList!$D:$D, LAMBDA(row, OR(INDEX(ISNUMBER(SEARCH(SPLIT(row, ""/""), M17)))))))))"),"#N/A")</f>
        <v>#N/A</v>
      </c>
      <c r="P17" s="5"/>
    </row>
    <row r="18" spans="1:16">
      <c r="A18" s="24">
        <v>40</v>
      </c>
      <c r="B18" s="5" t="s">
        <v>23</v>
      </c>
      <c r="C18" s="5" t="s">
        <v>54</v>
      </c>
      <c r="D18" s="16">
        <v>90</v>
      </c>
      <c r="E18" s="16">
        <v>91</v>
      </c>
      <c r="F18" s="16">
        <v>80</v>
      </c>
      <c r="G18" s="5" t="s">
        <v>404</v>
      </c>
      <c r="H18" s="16">
        <v>66</v>
      </c>
      <c r="I18" s="15">
        <v>1</v>
      </c>
      <c r="J18" s="5" t="s">
        <v>1790</v>
      </c>
      <c r="K18" s="16">
        <f t="shared" si="0"/>
        <v>5280</v>
      </c>
      <c r="L18" s="17">
        <f t="shared" si="1"/>
        <v>58.666666666666664</v>
      </c>
      <c r="M18" s="5" t="s">
        <v>1910</v>
      </c>
      <c r="N18" s="5" t="str">
        <f ca="1">IFERROR(__xludf.DUMMYFUNCTION("TEXTJOIN("", "", TRUE, FILTER(PokemonList!$C:$C, (PokemonList!$B:$B=""6★"") * (BYROW(PokemonList!$D:$D, LAMBDA(row, OR(INDEX(ISNUMBER(SEARCH(SPLIT(row, ""/""), M18)))))))))"),"#N/A")</f>
        <v>#N/A</v>
      </c>
      <c r="O18" s="1" t="str">
        <f ca="1">IFERROR(__xludf.DUMMYFUNCTION("TEXTJOIN("", "", TRUE, FILTER(PokemonList!$C:$C, (PokemonList!$B:$B=""5★"") * (BYROW(PokemonList!$D:$D, LAMBDA(row, OR(INDEX(ISNUMBER(SEARCH(SPLIT(row, ""/""), M18)))))))))"),"#N/A")</f>
        <v>#N/A</v>
      </c>
      <c r="P18" s="5"/>
    </row>
    <row r="19" spans="1:16">
      <c r="A19" s="24">
        <v>39</v>
      </c>
      <c r="B19" s="5" t="s">
        <v>120</v>
      </c>
      <c r="C19" s="5" t="s">
        <v>54</v>
      </c>
      <c r="D19" s="16">
        <v>64</v>
      </c>
      <c r="E19" s="16">
        <v>59</v>
      </c>
      <c r="F19" s="16">
        <v>60</v>
      </c>
      <c r="G19" s="5" t="s">
        <v>327</v>
      </c>
      <c r="H19" s="16">
        <v>62</v>
      </c>
      <c r="I19" s="15">
        <v>1</v>
      </c>
      <c r="J19" s="5" t="s">
        <v>1790</v>
      </c>
      <c r="K19" s="16">
        <f t="shared" si="0"/>
        <v>3720</v>
      </c>
      <c r="L19" s="17">
        <f t="shared" si="1"/>
        <v>58.125</v>
      </c>
      <c r="M19" s="5" t="s">
        <v>1910</v>
      </c>
      <c r="N19" s="5" t="str">
        <f ca="1">IFERROR(__xludf.DUMMYFUNCTION("TEXTJOIN("", "", TRUE, FILTER(PokemonList!$C:$C, (PokemonList!$B:$B=""6★"") * (BYROW(PokemonList!$D:$D, LAMBDA(row, OR(INDEX(ISNUMBER(SEARCH(SPLIT(row, ""/""), M19)))))))))"),"#N/A")</f>
        <v>#N/A</v>
      </c>
      <c r="O19" s="1" t="str">
        <f ca="1">IFERROR(__xludf.DUMMYFUNCTION("TEXTJOIN("", "", TRUE, FILTER(PokemonList!$C:$C, (PokemonList!$B:$B=""5★"") * (BYROW(PokemonList!$D:$D, LAMBDA(row, OR(INDEX(ISNUMBER(SEARCH(SPLIT(row, ""/""), M19)))))))))"),"#N/A")</f>
        <v>#N/A</v>
      </c>
      <c r="P19" s="5"/>
    </row>
    <row r="20" spans="1:16">
      <c r="A20" s="24">
        <v>29</v>
      </c>
      <c r="B20" s="5" t="s">
        <v>169</v>
      </c>
      <c r="C20" s="5" t="s">
        <v>59</v>
      </c>
      <c r="D20" s="16">
        <v>84</v>
      </c>
      <c r="E20" s="16">
        <v>46</v>
      </c>
      <c r="F20" s="16">
        <v>60</v>
      </c>
      <c r="G20" s="5" t="s">
        <v>327</v>
      </c>
      <c r="H20" s="16">
        <v>80</v>
      </c>
      <c r="I20" s="15">
        <v>1</v>
      </c>
      <c r="J20" s="26" t="s">
        <v>1781</v>
      </c>
      <c r="K20" s="16">
        <f t="shared" si="0"/>
        <v>4800</v>
      </c>
      <c r="L20" s="17">
        <f t="shared" si="1"/>
        <v>57.142857142857146</v>
      </c>
      <c r="M20" s="5" t="s">
        <v>1910</v>
      </c>
      <c r="N20" s="5" t="str">
        <f ca="1">IFERROR(__xludf.DUMMYFUNCTION("TEXTJOIN("", "", TRUE, FILTER(PokemonList!$C:$C, (PokemonList!$B:$B=""6★"") * (BYROW(PokemonList!$D:$D, LAMBDA(row, OR(INDEX(ISNUMBER(SEARCH(SPLIT(row, ""/""), M20)))))))))"),"#N/A")</f>
        <v>#N/A</v>
      </c>
      <c r="O20" s="1" t="str">
        <f ca="1">IFERROR(__xludf.DUMMYFUNCTION("TEXTJOIN("", "", TRUE, FILTER(PokemonList!$C:$C, (PokemonList!$B:$B=""5★"") * (BYROW(PokemonList!$D:$D, LAMBDA(row, OR(INDEX(ISNUMBER(SEARCH(SPLIT(row, ""/""), M20)))))))))"),"#N/A")</f>
        <v>#N/A</v>
      </c>
      <c r="P20" s="5"/>
    </row>
    <row r="21" spans="1:16">
      <c r="A21" s="24">
        <v>54</v>
      </c>
      <c r="B21" s="5" t="s">
        <v>24</v>
      </c>
      <c r="C21" s="5" t="s">
        <v>54</v>
      </c>
      <c r="D21" s="16">
        <v>84</v>
      </c>
      <c r="E21" s="16">
        <v>24</v>
      </c>
      <c r="F21" s="16">
        <v>60</v>
      </c>
      <c r="G21" s="5" t="s">
        <v>327</v>
      </c>
      <c r="H21" s="16">
        <v>77</v>
      </c>
      <c r="I21" s="15">
        <v>1</v>
      </c>
      <c r="J21" s="26" t="s">
        <v>1791</v>
      </c>
      <c r="K21" s="16">
        <f t="shared" si="0"/>
        <v>4620</v>
      </c>
      <c r="L21" s="17">
        <f t="shared" si="1"/>
        <v>55</v>
      </c>
      <c r="M21" s="5" t="s">
        <v>1910</v>
      </c>
      <c r="N21" s="5" t="str">
        <f ca="1">IFERROR(__xludf.DUMMYFUNCTION("TEXTJOIN("", "", TRUE, FILTER(PokemonList!$C:$C, (PokemonList!$B:$B=""6★"") * (BYROW(PokemonList!$D:$D, LAMBDA(row, OR(INDEX(ISNUMBER(SEARCH(SPLIT(row, ""/""), M21)))))))))"),"#N/A")</f>
        <v>#N/A</v>
      </c>
      <c r="O21" s="1" t="str">
        <f ca="1">IFERROR(__xludf.DUMMYFUNCTION("TEXTJOIN("", "", TRUE, FILTER(PokemonList!$C:$C, (PokemonList!$B:$B=""5★"") * (BYROW(PokemonList!$D:$D, LAMBDA(row, OR(INDEX(ISNUMBER(SEARCH(SPLIT(row, ""/""), M21)))))))))"),"#N/A")</f>
        <v>#N/A</v>
      </c>
      <c r="P21" s="5"/>
    </row>
    <row r="22" spans="1:16">
      <c r="A22" s="24">
        <v>47</v>
      </c>
      <c r="B22" s="5" t="s">
        <v>135</v>
      </c>
      <c r="C22" s="5" t="s">
        <v>82</v>
      </c>
      <c r="D22" s="16">
        <v>94</v>
      </c>
      <c r="E22" s="16">
        <v>77</v>
      </c>
      <c r="F22" s="16">
        <v>55</v>
      </c>
      <c r="G22" s="5" t="s">
        <v>404</v>
      </c>
      <c r="H22" s="16">
        <v>88</v>
      </c>
      <c r="I22" s="15">
        <v>0.95</v>
      </c>
      <c r="J22" s="5" t="s">
        <v>1782</v>
      </c>
      <c r="K22" s="16">
        <f t="shared" si="0"/>
        <v>4840</v>
      </c>
      <c r="L22" s="17">
        <f t="shared" si="1"/>
        <v>51.48936170212766</v>
      </c>
      <c r="M22" s="5" t="s">
        <v>1910</v>
      </c>
      <c r="N22" s="5" t="str">
        <f ca="1">IFERROR(__xludf.DUMMYFUNCTION("TEXTJOIN("", "", TRUE, FILTER(PokemonList!$C:$C, (PokemonList!$B:$B=""6★"") * (BYROW(PokemonList!$D:$D, LAMBDA(row, OR(INDEX(ISNUMBER(SEARCH(SPLIT(row, ""/""), M22)))))))))"),"#N/A")</f>
        <v>#N/A</v>
      </c>
      <c r="O22" s="1" t="str">
        <f ca="1">IFERROR(__xludf.DUMMYFUNCTION("TEXTJOIN("", "", TRUE, FILTER(PokemonList!$C:$C, (PokemonList!$B:$B=""5★"") * (BYROW(PokemonList!$D:$D, LAMBDA(row, OR(INDEX(ISNUMBER(SEARCH(SPLIT(row, ""/""), M22)))))))))"),"#N/A")</f>
        <v>#N/A</v>
      </c>
      <c r="P22" s="5"/>
    </row>
    <row r="23" spans="1:16">
      <c r="A23" s="24">
        <v>60</v>
      </c>
      <c r="B23" s="5" t="s">
        <v>163</v>
      </c>
      <c r="C23" s="5" t="s">
        <v>164</v>
      </c>
      <c r="D23" s="16">
        <v>42</v>
      </c>
      <c r="E23" s="16">
        <v>28</v>
      </c>
      <c r="F23" s="16">
        <v>60</v>
      </c>
      <c r="G23" s="5" t="s">
        <v>404</v>
      </c>
      <c r="H23" s="16">
        <v>36</v>
      </c>
      <c r="I23" s="15">
        <v>1</v>
      </c>
      <c r="J23" s="5" t="s">
        <v>1792</v>
      </c>
      <c r="K23" s="16">
        <f t="shared" si="0"/>
        <v>2160</v>
      </c>
      <c r="L23" s="17">
        <f t="shared" si="1"/>
        <v>51.428571428571431</v>
      </c>
      <c r="M23" s="5" t="s">
        <v>1910</v>
      </c>
      <c r="N23" s="5" t="str">
        <f ca="1">IFERROR(__xludf.DUMMYFUNCTION("TEXTJOIN("", "", TRUE, FILTER(PokemonList!$C:$C, (PokemonList!$B:$B=""6★"") * (BYROW(PokemonList!$D:$D, LAMBDA(row, OR(INDEX(ISNUMBER(SEARCH(SPLIT(row, ""/""), M23)))))))))"),"#N/A")</f>
        <v>#N/A</v>
      </c>
      <c r="O23" s="1" t="str">
        <f ca="1">IFERROR(__xludf.DUMMYFUNCTION("TEXTJOIN("", "", TRUE, FILTER(PokemonList!$C:$C, (PokemonList!$B:$B=""5★"") * (BYROW(PokemonList!$D:$D, LAMBDA(row, OR(INDEX(ISNUMBER(SEARCH(SPLIT(row, ""/""), M23)))))))))"),"#N/A")</f>
        <v>#N/A</v>
      </c>
      <c r="P23" s="5"/>
    </row>
    <row r="24" spans="1:16">
      <c r="A24" s="24">
        <v>66</v>
      </c>
      <c r="B24" s="5" t="s">
        <v>176</v>
      </c>
      <c r="C24" s="5" t="s">
        <v>82</v>
      </c>
      <c r="D24" s="16">
        <v>80</v>
      </c>
      <c r="E24" s="16">
        <v>48</v>
      </c>
      <c r="F24" s="16">
        <v>65</v>
      </c>
      <c r="G24" s="5" t="s">
        <v>327</v>
      </c>
      <c r="H24" s="16">
        <v>62</v>
      </c>
      <c r="I24" s="15">
        <v>0.9</v>
      </c>
      <c r="J24" s="5" t="s">
        <v>1782</v>
      </c>
      <c r="K24" s="16">
        <f t="shared" si="0"/>
        <v>4030</v>
      </c>
      <c r="L24" s="17">
        <f t="shared" si="1"/>
        <v>50.375</v>
      </c>
      <c r="M24" s="5" t="s">
        <v>1910</v>
      </c>
      <c r="N24" s="5" t="str">
        <f ca="1">IFERROR(__xludf.DUMMYFUNCTION("TEXTJOIN("", "", TRUE, FILTER(PokemonList!$C:$C, (PokemonList!$B:$B=""6★"") * (BYROW(PokemonList!$D:$D, LAMBDA(row, OR(INDEX(ISNUMBER(SEARCH(SPLIT(row, ""/""), M24)))))))))"),"#N/A")</f>
        <v>#N/A</v>
      </c>
      <c r="O24" s="1" t="str">
        <f ca="1">IFERROR(__xludf.DUMMYFUNCTION("TEXTJOIN("", "", TRUE, FILTER(PokemonList!$C:$C, (PokemonList!$B:$B=""5★"") * (BYROW(PokemonList!$D:$D, LAMBDA(row, OR(INDEX(ISNUMBER(SEARCH(SPLIT(row, ""/""), M24)))))))))"),"#N/A")</f>
        <v>#N/A</v>
      </c>
      <c r="P24" s="5"/>
    </row>
    <row r="25" spans="1:16">
      <c r="A25" s="24">
        <v>67</v>
      </c>
      <c r="B25" s="5" t="s">
        <v>178</v>
      </c>
      <c r="C25" s="5" t="s">
        <v>59</v>
      </c>
      <c r="D25" s="16">
        <v>84</v>
      </c>
      <c r="E25" s="16">
        <v>30</v>
      </c>
      <c r="F25" s="16">
        <v>60</v>
      </c>
      <c r="G25" s="5" t="s">
        <v>327</v>
      </c>
      <c r="H25" s="16">
        <v>70</v>
      </c>
      <c r="I25" s="15">
        <v>1</v>
      </c>
      <c r="J25" s="5" t="s">
        <v>1793</v>
      </c>
      <c r="K25" s="16">
        <f t="shared" si="0"/>
        <v>4200</v>
      </c>
      <c r="L25" s="17">
        <f t="shared" si="1"/>
        <v>50</v>
      </c>
      <c r="M25" s="5" t="s">
        <v>1910</v>
      </c>
      <c r="N25" s="5" t="str">
        <f ca="1">IFERROR(__xludf.DUMMYFUNCTION("TEXTJOIN("", "", TRUE, FILTER(PokemonList!$C:$C, (PokemonList!$B:$B=""6★"") * (BYROW(PokemonList!$D:$D, LAMBDA(row, OR(INDEX(ISNUMBER(SEARCH(SPLIT(row, ""/""), M25)))))))))"),"#N/A")</f>
        <v>#N/A</v>
      </c>
      <c r="O25" s="1" t="str">
        <f ca="1">IFERROR(__xludf.DUMMYFUNCTION("TEXTJOIN("", "", TRUE, FILTER(PokemonList!$C:$C, (PokemonList!$B:$B=""5★"") * (BYROW(PokemonList!$D:$D, LAMBDA(row, OR(INDEX(ISNUMBER(SEARCH(SPLIT(row, ""/""), M25)))))))))"),"#N/A")</f>
        <v>#N/A</v>
      </c>
      <c r="P25" s="5"/>
    </row>
    <row r="26" spans="1:16">
      <c r="A26" s="24">
        <v>33</v>
      </c>
      <c r="B26" s="5" t="s">
        <v>109</v>
      </c>
      <c r="C26" s="5" t="s">
        <v>82</v>
      </c>
      <c r="D26" s="16">
        <v>64</v>
      </c>
      <c r="E26" s="16">
        <v>53</v>
      </c>
      <c r="F26" s="16">
        <v>55</v>
      </c>
      <c r="G26" s="5" t="s">
        <v>404</v>
      </c>
      <c r="H26" s="16">
        <v>56</v>
      </c>
      <c r="I26" s="15">
        <v>0.95</v>
      </c>
      <c r="J26" s="5" t="s">
        <v>1782</v>
      </c>
      <c r="K26" s="16">
        <f t="shared" si="0"/>
        <v>3080</v>
      </c>
      <c r="L26" s="17">
        <f t="shared" si="1"/>
        <v>48.125</v>
      </c>
      <c r="M26" s="5" t="s">
        <v>1910</v>
      </c>
      <c r="N26" s="5" t="str">
        <f ca="1">IFERROR(__xludf.DUMMYFUNCTION("TEXTJOIN("", "", TRUE, FILTER(PokemonList!$C:$C, (PokemonList!$B:$B=""6★"") * (BYROW(PokemonList!$D:$D, LAMBDA(row, OR(INDEX(ISNUMBER(SEARCH(SPLIT(row, ""/""), M26)))))))))"),"#N/A")</f>
        <v>#N/A</v>
      </c>
      <c r="O26" s="1" t="str">
        <f ca="1">IFERROR(__xludf.DUMMYFUNCTION("TEXTJOIN("", "", TRUE, FILTER(PokemonList!$C:$C, (PokemonList!$B:$B=""5★"") * (BYROW(PokemonList!$D:$D, LAMBDA(row, OR(INDEX(ISNUMBER(SEARCH(SPLIT(row, ""/""), M26)))))))))"),"#N/A")</f>
        <v>#N/A</v>
      </c>
      <c r="P26" s="5"/>
    </row>
    <row r="27" spans="1:16">
      <c r="A27" s="24">
        <v>49</v>
      </c>
      <c r="B27" s="5" t="s">
        <v>140</v>
      </c>
      <c r="C27" s="5" t="s">
        <v>62</v>
      </c>
      <c r="D27" s="16">
        <v>66</v>
      </c>
      <c r="E27" s="16">
        <v>76</v>
      </c>
      <c r="F27" s="16">
        <v>50</v>
      </c>
      <c r="G27" s="5" t="s">
        <v>404</v>
      </c>
      <c r="H27" s="16">
        <v>63</v>
      </c>
      <c r="I27" s="15">
        <v>1</v>
      </c>
      <c r="J27" s="5" t="s">
        <v>1784</v>
      </c>
      <c r="K27" s="16">
        <f t="shared" si="0"/>
        <v>3150</v>
      </c>
      <c r="L27" s="17">
        <f t="shared" si="1"/>
        <v>47.727272727272727</v>
      </c>
      <c r="M27" s="5" t="s">
        <v>1910</v>
      </c>
      <c r="N27" s="5" t="str">
        <f ca="1">IFERROR(__xludf.DUMMYFUNCTION("TEXTJOIN("", "", TRUE, FILTER(PokemonList!$C:$C, (PokemonList!$B:$B=""6★"") * (BYROW(PokemonList!$D:$D, LAMBDA(row, OR(INDEX(ISNUMBER(SEARCH(SPLIT(row, ""/""), M27)))))))))"),"#N/A")</f>
        <v>#N/A</v>
      </c>
      <c r="O27" s="1" t="str">
        <f ca="1">IFERROR(__xludf.DUMMYFUNCTION("TEXTJOIN("", "", TRUE, FILTER(PokemonList!$C:$C, (PokemonList!$B:$B=""5★"") * (BYROW(PokemonList!$D:$D, LAMBDA(row, OR(INDEX(ISNUMBER(SEARCH(SPLIT(row, ""/""), M27)))))))))"),"#N/A")</f>
        <v>#N/A</v>
      </c>
      <c r="P27" s="5" t="s">
        <v>1794</v>
      </c>
    </row>
    <row r="28" spans="1:16">
      <c r="A28" s="24">
        <v>42</v>
      </c>
      <c r="B28" s="5" t="s">
        <v>5</v>
      </c>
      <c r="C28" s="5" t="s">
        <v>76</v>
      </c>
      <c r="D28" s="16">
        <v>60</v>
      </c>
      <c r="E28" s="16">
        <v>70</v>
      </c>
      <c r="F28" s="16">
        <v>65</v>
      </c>
      <c r="G28" s="5" t="s">
        <v>404</v>
      </c>
      <c r="H28" s="16">
        <v>44</v>
      </c>
      <c r="I28" s="15">
        <v>1</v>
      </c>
      <c r="J28" s="5" t="s">
        <v>1779</v>
      </c>
      <c r="K28" s="16">
        <f t="shared" si="0"/>
        <v>2860</v>
      </c>
      <c r="L28" s="17">
        <f t="shared" si="1"/>
        <v>47.666666666666664</v>
      </c>
      <c r="M28" s="5" t="s">
        <v>1910</v>
      </c>
      <c r="N28" s="5" t="str">
        <f ca="1">IFERROR(__xludf.DUMMYFUNCTION("TEXTJOIN("", "", TRUE, FILTER(PokemonList!$C:$C, (PokemonList!$B:$B=""6★"") * (BYROW(PokemonList!$D:$D, LAMBDA(row, OR(INDEX(ISNUMBER(SEARCH(SPLIT(row, ""/""), M28)))))))))"),"#N/A")</f>
        <v>#N/A</v>
      </c>
      <c r="O28" s="1" t="str">
        <f ca="1">IFERROR(__xludf.DUMMYFUNCTION("TEXTJOIN("", "", TRUE, FILTER(PokemonList!$C:$C, (PokemonList!$B:$B=""5★"") * (BYROW(PokemonList!$D:$D, LAMBDA(row, OR(INDEX(ISNUMBER(SEARCH(SPLIT(row, ""/""), M28)))))))))"),"#N/A")</f>
        <v>#N/A</v>
      </c>
      <c r="P28" s="5"/>
    </row>
    <row r="29" spans="1:16">
      <c r="A29" s="24">
        <v>59</v>
      </c>
      <c r="B29" s="5" t="s">
        <v>87</v>
      </c>
      <c r="C29" s="5" t="s">
        <v>62</v>
      </c>
      <c r="D29" s="16">
        <v>90</v>
      </c>
      <c r="E29" s="16">
        <v>75</v>
      </c>
      <c r="F29" s="16">
        <v>60</v>
      </c>
      <c r="G29" s="5" t="s">
        <v>404</v>
      </c>
      <c r="H29" s="16">
        <v>71</v>
      </c>
      <c r="I29" s="15">
        <v>1</v>
      </c>
      <c r="J29" s="5" t="s">
        <v>1795</v>
      </c>
      <c r="K29" s="16">
        <f t="shared" si="0"/>
        <v>4260</v>
      </c>
      <c r="L29" s="17">
        <f t="shared" si="1"/>
        <v>47.333333333333336</v>
      </c>
      <c r="M29" s="5" t="s">
        <v>1910</v>
      </c>
      <c r="N29" s="5" t="str">
        <f ca="1">IFERROR(__xludf.DUMMYFUNCTION("TEXTJOIN("", "", TRUE, FILTER(PokemonList!$C:$C, (PokemonList!$B:$B=""6★"") * (BYROW(PokemonList!$D:$D, LAMBDA(row, OR(INDEX(ISNUMBER(SEARCH(SPLIT(row, ""/""), M29)))))))))"),"#N/A")</f>
        <v>#N/A</v>
      </c>
      <c r="O29" s="1" t="str">
        <f ca="1">IFERROR(__xludf.DUMMYFUNCTION("TEXTJOIN("", "", TRUE, FILTER(PokemonList!$C:$C, (PokemonList!$B:$B=""5★"") * (BYROW(PokemonList!$D:$D, LAMBDA(row, OR(INDEX(ISNUMBER(SEARCH(SPLIT(row, ""/""), M29)))))))))"),"#N/A")</f>
        <v>#N/A</v>
      </c>
      <c r="P29" s="5"/>
    </row>
    <row r="30" spans="1:16">
      <c r="A30" s="24">
        <v>36</v>
      </c>
      <c r="B30" s="5" t="s">
        <v>115</v>
      </c>
      <c r="C30" s="5" t="s">
        <v>59</v>
      </c>
      <c r="D30" s="16">
        <v>64</v>
      </c>
      <c r="E30" s="16">
        <v>61</v>
      </c>
      <c r="F30" s="16">
        <v>50</v>
      </c>
      <c r="G30" s="5" t="s">
        <v>404</v>
      </c>
      <c r="H30" s="16">
        <v>56</v>
      </c>
      <c r="I30" s="15">
        <v>1</v>
      </c>
      <c r="J30" s="26" t="s">
        <v>1781</v>
      </c>
      <c r="K30" s="16">
        <f t="shared" si="0"/>
        <v>2800</v>
      </c>
      <c r="L30" s="17">
        <f t="shared" si="1"/>
        <v>43.75</v>
      </c>
      <c r="M30" s="5" t="s">
        <v>1910</v>
      </c>
      <c r="N30" s="5" t="str">
        <f ca="1">IFERROR(__xludf.DUMMYFUNCTION("TEXTJOIN("", "", TRUE, FILTER(PokemonList!$C:$C, (PokemonList!$B:$B=""6★"") * (BYROW(PokemonList!$D:$D, LAMBDA(row, OR(INDEX(ISNUMBER(SEARCH(SPLIT(row, ""/""), M30)))))))))"),"#N/A")</f>
        <v>#N/A</v>
      </c>
      <c r="O30" s="1" t="str">
        <f ca="1">IFERROR(__xludf.DUMMYFUNCTION("TEXTJOIN("", "", TRUE, FILTER(PokemonList!$C:$C, (PokemonList!$B:$B=""5★"") * (BYROW(PokemonList!$D:$D, LAMBDA(row, OR(INDEX(ISNUMBER(SEARCH(SPLIT(row, ""/""), M30)))))))))"),"#N/A")</f>
        <v>#N/A</v>
      </c>
      <c r="P30" s="5"/>
    </row>
    <row r="31" spans="1:16">
      <c r="A31" s="24">
        <v>31</v>
      </c>
      <c r="B31" s="5" t="s">
        <v>105</v>
      </c>
      <c r="C31" s="5" t="s">
        <v>54</v>
      </c>
      <c r="D31" s="16">
        <v>84</v>
      </c>
      <c r="E31" s="16">
        <v>59</v>
      </c>
      <c r="F31" s="16">
        <v>60</v>
      </c>
      <c r="G31" s="5" t="s">
        <v>327</v>
      </c>
      <c r="H31" s="16">
        <v>59</v>
      </c>
      <c r="I31" s="15">
        <v>1</v>
      </c>
      <c r="J31" s="5" t="s">
        <v>1790</v>
      </c>
      <c r="K31" s="16">
        <f t="shared" si="0"/>
        <v>3540</v>
      </c>
      <c r="L31" s="17">
        <f t="shared" si="1"/>
        <v>42.142857142857146</v>
      </c>
      <c r="M31" s="5" t="s">
        <v>1910</v>
      </c>
      <c r="N31" s="5" t="str">
        <f ca="1">IFERROR(__xludf.DUMMYFUNCTION("TEXTJOIN("", "", TRUE, FILTER(PokemonList!$C:$C, (PokemonList!$B:$B=""6★"") * (BYROW(PokemonList!$D:$D, LAMBDA(row, OR(INDEX(ISNUMBER(SEARCH(SPLIT(row, ""/""), M31)))))))))"),"#N/A")</f>
        <v>#N/A</v>
      </c>
      <c r="O31" s="1" t="str">
        <f ca="1">IFERROR(__xludf.DUMMYFUNCTION("TEXTJOIN("", "", TRUE, FILTER(PokemonList!$C:$C, (PokemonList!$B:$B=""5★"") * (BYROW(PokemonList!$D:$D, LAMBDA(row, OR(INDEX(ISNUMBER(SEARCH(SPLIT(row, ""/""), M31)))))))))"),"#N/A")</f>
        <v>#N/A</v>
      </c>
      <c r="P31" s="5"/>
    </row>
    <row r="32" spans="1:16">
      <c r="A32" s="24">
        <v>63</v>
      </c>
      <c r="B32" s="5" t="s">
        <v>171</v>
      </c>
      <c r="C32" s="5" t="s">
        <v>431</v>
      </c>
      <c r="D32" s="16">
        <v>40</v>
      </c>
      <c r="E32" s="16">
        <v>41</v>
      </c>
      <c r="F32" s="16">
        <v>35</v>
      </c>
      <c r="G32" s="5" t="s">
        <v>404</v>
      </c>
      <c r="H32" s="16">
        <v>46</v>
      </c>
      <c r="I32" s="15">
        <v>1</v>
      </c>
      <c r="J32" s="5" t="s">
        <v>1789</v>
      </c>
      <c r="K32" s="16">
        <f t="shared" si="0"/>
        <v>1610</v>
      </c>
      <c r="L32" s="17">
        <f t="shared" si="1"/>
        <v>40.25</v>
      </c>
      <c r="M32" s="5" t="s">
        <v>1910</v>
      </c>
      <c r="N32" s="5" t="str">
        <f ca="1">IFERROR(__xludf.DUMMYFUNCTION("TEXTJOIN("", "", TRUE, FILTER(PokemonList!$C:$C, (PokemonList!$B:$B=""6★"") * (BYROW(PokemonList!$D:$D, LAMBDA(row, OR(INDEX(ISNUMBER(SEARCH(SPLIT(row, ""/""), M32)))))))))"),"#N/A")</f>
        <v>#N/A</v>
      </c>
      <c r="O32" s="1" t="str">
        <f ca="1">IFERROR(__xludf.DUMMYFUNCTION("TEXTJOIN("", "", TRUE, FILTER(PokemonList!$C:$C, (PokemonList!$B:$B=""5★"") * (BYROW(PokemonList!$D:$D, LAMBDA(row, OR(INDEX(ISNUMBER(SEARCH(SPLIT(row, ""/""), M32)))))))))"),"#N/A")</f>
        <v>#N/A</v>
      </c>
      <c r="P32" s="5"/>
    </row>
    <row r="33" spans="1:16">
      <c r="A33" s="24">
        <v>27</v>
      </c>
      <c r="B33" s="5" t="s">
        <v>97</v>
      </c>
      <c r="C33" s="5" t="s">
        <v>82</v>
      </c>
      <c r="D33" s="16">
        <v>84</v>
      </c>
      <c r="E33" s="16">
        <v>74</v>
      </c>
      <c r="F33" s="16">
        <v>60</v>
      </c>
      <c r="G33" s="5" t="s">
        <v>327</v>
      </c>
      <c r="H33" s="16">
        <v>55</v>
      </c>
      <c r="I33" s="15">
        <v>1</v>
      </c>
      <c r="J33" s="5" t="s">
        <v>1782</v>
      </c>
      <c r="K33" s="16">
        <f t="shared" si="0"/>
        <v>3300</v>
      </c>
      <c r="L33" s="17">
        <f t="shared" si="1"/>
        <v>39.285714285714285</v>
      </c>
      <c r="M33" s="5" t="s">
        <v>1910</v>
      </c>
      <c r="N33" s="5" t="str">
        <f ca="1">IFERROR(__xludf.DUMMYFUNCTION("TEXTJOIN("", "", TRUE, FILTER(PokemonList!$C:$C, (PokemonList!$B:$B=""6★"") * (BYROW(PokemonList!$D:$D, LAMBDA(row, OR(INDEX(ISNUMBER(SEARCH(SPLIT(row, ""/""), M33)))))))))"),"#N/A")</f>
        <v>#N/A</v>
      </c>
      <c r="O33" s="1" t="str">
        <f ca="1">IFERROR(__xludf.DUMMYFUNCTION("TEXTJOIN("", "", TRUE, FILTER(PokemonList!$C:$C, (PokemonList!$B:$B=""5★"") * (BYROW(PokemonList!$D:$D, LAMBDA(row, OR(INDEX(ISNUMBER(SEARCH(SPLIT(row, ""/""), M33)))))))))"),"#N/A")</f>
        <v>#N/A</v>
      </c>
      <c r="P33" s="5"/>
    </row>
    <row r="34" spans="1:16">
      <c r="A34" s="24">
        <v>69</v>
      </c>
      <c r="B34" s="5" t="s">
        <v>184</v>
      </c>
      <c r="C34" s="5" t="s">
        <v>64</v>
      </c>
      <c r="D34" s="16">
        <v>30</v>
      </c>
      <c r="E34" s="16">
        <v>14</v>
      </c>
      <c r="F34" s="16">
        <v>40</v>
      </c>
      <c r="G34" s="5" t="s">
        <v>327</v>
      </c>
      <c r="H34" s="16">
        <v>29</v>
      </c>
      <c r="I34" s="15">
        <v>1</v>
      </c>
      <c r="J34" s="5" t="s">
        <v>1783</v>
      </c>
      <c r="K34" s="16">
        <f t="shared" si="0"/>
        <v>1160</v>
      </c>
      <c r="L34" s="17">
        <f t="shared" si="1"/>
        <v>38.666666666666664</v>
      </c>
      <c r="M34" s="5" t="s">
        <v>1910</v>
      </c>
      <c r="N34" s="5" t="str">
        <f ca="1">IFERROR(__xludf.DUMMYFUNCTION("TEXTJOIN("", "", TRUE, FILTER(PokemonList!$C:$C, (PokemonList!$B:$B=""6★"") * (BYROW(PokemonList!$D:$D, LAMBDA(row, OR(INDEX(ISNUMBER(SEARCH(SPLIT(row, ""/""), M34)))))))))"),"#N/A")</f>
        <v>#N/A</v>
      </c>
      <c r="O34" s="1" t="str">
        <f ca="1">IFERROR(__xludf.DUMMYFUNCTION("TEXTJOIN("", "", TRUE, FILTER(PokemonList!$C:$C, (PokemonList!$B:$B=""5★"") * (BYROW(PokemonList!$D:$D, LAMBDA(row, OR(INDEX(ISNUMBER(SEARCH(SPLIT(row, ""/""), M34)))))))))"),"#N/A")</f>
        <v>#N/A</v>
      </c>
      <c r="P34" s="5" t="s">
        <v>1796</v>
      </c>
    </row>
    <row r="35" spans="1:16">
      <c r="A35" s="24">
        <v>38</v>
      </c>
      <c r="B35" s="5" t="s">
        <v>118</v>
      </c>
      <c r="C35" s="5" t="s">
        <v>54</v>
      </c>
      <c r="D35" s="16">
        <v>42</v>
      </c>
      <c r="E35" s="16">
        <v>39</v>
      </c>
      <c r="F35" s="16">
        <v>40</v>
      </c>
      <c r="G35" s="5" t="s">
        <v>327</v>
      </c>
      <c r="H35" s="16">
        <v>39</v>
      </c>
      <c r="I35" s="15">
        <v>1</v>
      </c>
      <c r="J35" s="5" t="s">
        <v>1790</v>
      </c>
      <c r="K35" s="16">
        <f t="shared" si="0"/>
        <v>1560</v>
      </c>
      <c r="L35" s="17">
        <f t="shared" si="1"/>
        <v>37.142857142857146</v>
      </c>
      <c r="M35" s="5" t="s">
        <v>1910</v>
      </c>
      <c r="N35" s="5" t="str">
        <f ca="1">IFERROR(__xludf.DUMMYFUNCTION("TEXTJOIN("", "", TRUE, FILTER(PokemonList!$C:$C, (PokemonList!$B:$B=""6★"") * (BYROW(PokemonList!$D:$D, LAMBDA(row, OR(INDEX(ISNUMBER(SEARCH(SPLIT(row, ""/""), M35)))))))))"),"#N/A")</f>
        <v>#N/A</v>
      </c>
      <c r="O35" s="1" t="str">
        <f ca="1">IFERROR(__xludf.DUMMYFUNCTION("TEXTJOIN("", "", TRUE, FILTER(PokemonList!$C:$C, (PokemonList!$B:$B=""5★"") * (BYROW(PokemonList!$D:$D, LAMBDA(row, OR(INDEX(ISNUMBER(SEARCH(SPLIT(row, ""/""), M35)))))))))"),"#N/A")</f>
        <v>#N/A</v>
      </c>
      <c r="P35" s="5"/>
    </row>
    <row r="36" spans="1:16">
      <c r="A36" s="24">
        <v>44</v>
      </c>
      <c r="B36" s="5" t="s">
        <v>128</v>
      </c>
      <c r="C36" s="5" t="s">
        <v>129</v>
      </c>
      <c r="D36" s="16">
        <v>60</v>
      </c>
      <c r="E36" s="16">
        <v>44</v>
      </c>
      <c r="F36" s="16">
        <v>60</v>
      </c>
      <c r="G36" s="5" t="s">
        <v>327</v>
      </c>
      <c r="H36" s="16">
        <v>37</v>
      </c>
      <c r="I36" s="15">
        <v>1</v>
      </c>
      <c r="J36" s="5" t="s">
        <v>363</v>
      </c>
      <c r="K36" s="16">
        <f t="shared" si="0"/>
        <v>2220</v>
      </c>
      <c r="L36" s="17">
        <f t="shared" si="1"/>
        <v>37</v>
      </c>
      <c r="M36" s="5" t="s">
        <v>1910</v>
      </c>
      <c r="N36" s="5" t="str">
        <f ca="1">IFERROR(__xludf.DUMMYFUNCTION("TEXTJOIN("", "", TRUE, FILTER(PokemonList!$C:$C, (PokemonList!$B:$B=""6★"") * (BYROW(PokemonList!$D:$D, LAMBDA(row, OR(INDEX(ISNUMBER(SEARCH(SPLIT(row, ""/""), M36)))))))))"),"#N/A")</f>
        <v>#N/A</v>
      </c>
      <c r="O36" s="1" t="str">
        <f ca="1">IFERROR(__xludf.DUMMYFUNCTION("TEXTJOIN("", "", TRUE, FILTER(PokemonList!$C:$C, (PokemonList!$B:$B=""5★"") * (BYROW(PokemonList!$D:$D, LAMBDA(row, OR(INDEX(ISNUMBER(SEARCH(SPLIT(row, ""/""), M36)))))))))"),"#N/A")</f>
        <v>#N/A</v>
      </c>
      <c r="P36" s="5"/>
    </row>
    <row r="37" spans="1:16">
      <c r="A37" s="24">
        <v>32</v>
      </c>
      <c r="B37" s="5" t="s">
        <v>107</v>
      </c>
      <c r="C37" s="5" t="s">
        <v>82</v>
      </c>
      <c r="D37" s="16">
        <v>42</v>
      </c>
      <c r="E37" s="16">
        <v>36</v>
      </c>
      <c r="F37" s="16">
        <v>40</v>
      </c>
      <c r="G37" s="5" t="s">
        <v>404</v>
      </c>
      <c r="H37" s="16">
        <v>36</v>
      </c>
      <c r="I37" s="15">
        <v>1</v>
      </c>
      <c r="J37" s="5" t="s">
        <v>1782</v>
      </c>
      <c r="K37" s="16">
        <f t="shared" si="0"/>
        <v>1440</v>
      </c>
      <c r="L37" s="17">
        <f t="shared" si="1"/>
        <v>34.285714285714285</v>
      </c>
      <c r="M37" s="5" t="s">
        <v>1910</v>
      </c>
      <c r="N37" s="5" t="str">
        <f ca="1">IFERROR(__xludf.DUMMYFUNCTION("TEXTJOIN("", "", TRUE, FILTER(PokemonList!$C:$C, (PokemonList!$B:$B=""6★"") * (BYROW(PokemonList!$D:$D, LAMBDA(row, OR(INDEX(ISNUMBER(SEARCH(SPLIT(row, ""/""), M37)))))))))"),"#N/A")</f>
        <v>#N/A</v>
      </c>
      <c r="O37" s="1" t="str">
        <f ca="1">IFERROR(__xludf.DUMMYFUNCTION("TEXTJOIN("", "", TRUE, FILTER(PokemonList!$C:$C, (PokemonList!$B:$B=""5★"") * (BYROW(PokemonList!$D:$D, LAMBDA(row, OR(INDEX(ISNUMBER(SEARCH(SPLIT(row, ""/""), M37)))))))))"),"#N/A")</f>
        <v>#N/A</v>
      </c>
      <c r="P37" s="5"/>
    </row>
    <row r="38" spans="1:16">
      <c r="A38" s="24">
        <v>41</v>
      </c>
      <c r="B38" s="5" t="s">
        <v>123</v>
      </c>
      <c r="C38" s="5" t="s">
        <v>76</v>
      </c>
      <c r="D38" s="16">
        <v>52</v>
      </c>
      <c r="E38" s="16">
        <v>55</v>
      </c>
      <c r="F38" s="16">
        <v>40</v>
      </c>
      <c r="G38" s="5" t="s">
        <v>327</v>
      </c>
      <c r="H38" s="16">
        <v>44</v>
      </c>
      <c r="I38" s="15">
        <v>1</v>
      </c>
      <c r="J38" s="5" t="s">
        <v>1797</v>
      </c>
      <c r="K38" s="16">
        <f t="shared" si="0"/>
        <v>1760</v>
      </c>
      <c r="L38" s="17">
        <f t="shared" si="1"/>
        <v>33.846153846153847</v>
      </c>
      <c r="M38" s="5" t="s">
        <v>1910</v>
      </c>
      <c r="N38" s="5" t="str">
        <f ca="1">IFERROR(__xludf.DUMMYFUNCTION("TEXTJOIN("", "", TRUE, FILTER(PokemonList!$C:$C, (PokemonList!$B:$B=""6★"") * (BYROW(PokemonList!$D:$D, LAMBDA(row, OR(INDEX(ISNUMBER(SEARCH(SPLIT(row, ""/""), M38)))))))))"),"#N/A")</f>
        <v>#N/A</v>
      </c>
      <c r="O38" s="1" t="str">
        <f ca="1">IFERROR(__xludf.DUMMYFUNCTION("TEXTJOIN("", "", TRUE, FILTER(PokemonList!$C:$C, (PokemonList!$B:$B=""5★"") * (BYROW(PokemonList!$D:$D, LAMBDA(row, OR(INDEX(ISNUMBER(SEARCH(SPLIT(row, ""/""), M38)))))))))"),"#N/A")</f>
        <v>#N/A</v>
      </c>
      <c r="P38" s="5"/>
    </row>
    <row r="39" spans="1:16">
      <c r="A39" s="24">
        <v>28</v>
      </c>
      <c r="B39" s="5" t="s">
        <v>99</v>
      </c>
      <c r="C39" s="5" t="s">
        <v>59</v>
      </c>
      <c r="D39" s="16">
        <v>48</v>
      </c>
      <c r="E39" s="16">
        <v>25</v>
      </c>
      <c r="F39" s="16">
        <v>40</v>
      </c>
      <c r="G39" s="5" t="s">
        <v>327</v>
      </c>
      <c r="H39" s="16">
        <v>40</v>
      </c>
      <c r="I39" s="15">
        <v>1</v>
      </c>
      <c r="J39" s="26" t="s">
        <v>1781</v>
      </c>
      <c r="K39" s="16">
        <f t="shared" si="0"/>
        <v>1600</v>
      </c>
      <c r="L39" s="17">
        <f t="shared" si="1"/>
        <v>33.333333333333336</v>
      </c>
      <c r="M39" s="5" t="s">
        <v>1910</v>
      </c>
      <c r="N39" s="5" t="str">
        <f ca="1">IFERROR(__xludf.DUMMYFUNCTION("TEXTJOIN("", "", TRUE, FILTER(PokemonList!$C:$C, (PokemonList!$B:$B=""6★"") * (BYROW(PokemonList!$D:$D, LAMBDA(row, OR(INDEX(ISNUMBER(SEARCH(SPLIT(row, ""/""), M39)))))))))"),"#N/A")</f>
        <v>#N/A</v>
      </c>
      <c r="O39" s="1" t="str">
        <f ca="1">IFERROR(__xludf.DUMMYFUNCTION("TEXTJOIN("", "", TRUE, FILTER(PokemonList!$C:$C, (PokemonList!$B:$B=""5★"") * (BYROW(PokemonList!$D:$D, LAMBDA(row, OR(INDEX(ISNUMBER(SEARCH(SPLIT(row, ""/""), M39)))))))))"),"#N/A")</f>
        <v>#N/A</v>
      </c>
      <c r="P39" s="5"/>
    </row>
    <row r="40" spans="1:16">
      <c r="A40" s="24">
        <v>26</v>
      </c>
      <c r="B40" s="5" t="s">
        <v>94</v>
      </c>
      <c r="C40" s="5" t="s">
        <v>82</v>
      </c>
      <c r="D40" s="16">
        <v>48</v>
      </c>
      <c r="E40" s="16">
        <v>41</v>
      </c>
      <c r="F40" s="16">
        <v>40</v>
      </c>
      <c r="G40" s="5" t="s">
        <v>404</v>
      </c>
      <c r="H40" s="16">
        <v>39</v>
      </c>
      <c r="I40" s="15">
        <v>1</v>
      </c>
      <c r="J40" s="5" t="s">
        <v>1782</v>
      </c>
      <c r="K40" s="16">
        <f t="shared" si="0"/>
        <v>1560</v>
      </c>
      <c r="L40" s="17">
        <f t="shared" si="1"/>
        <v>32.5</v>
      </c>
      <c r="M40" s="5" t="s">
        <v>1910</v>
      </c>
      <c r="N40" s="5" t="str">
        <f ca="1">IFERROR(__xludf.DUMMYFUNCTION("TEXTJOIN("", "", TRUE, FILTER(PokemonList!$C:$C, (PokemonList!$B:$B=""6★"") * (BYROW(PokemonList!$D:$D, LAMBDA(row, OR(INDEX(ISNUMBER(SEARCH(SPLIT(row, ""/""), M40)))))))))"),"#N/A")</f>
        <v>#N/A</v>
      </c>
      <c r="O40" s="1" t="str">
        <f ca="1">IFERROR(__xludf.DUMMYFUNCTION("TEXTJOIN("", "", TRUE, FILTER(PokemonList!$C:$C, (PokemonList!$B:$B=""5★"") * (BYROW(PokemonList!$D:$D, LAMBDA(row, OR(INDEX(ISNUMBER(SEARCH(SPLIT(row, ""/""), M40)))))))))"),"#N/A")</f>
        <v>#N/A</v>
      </c>
      <c r="P40" s="5"/>
    </row>
    <row r="41" spans="1:16">
      <c r="A41" s="24">
        <v>58</v>
      </c>
      <c r="B41" s="5" t="s">
        <v>160</v>
      </c>
      <c r="C41" s="5" t="s">
        <v>62</v>
      </c>
      <c r="D41" s="16">
        <v>64</v>
      </c>
      <c r="E41" s="16">
        <v>67</v>
      </c>
      <c r="F41" s="16">
        <v>55</v>
      </c>
      <c r="G41" s="5" t="s">
        <v>327</v>
      </c>
      <c r="H41" s="16">
        <v>36</v>
      </c>
      <c r="I41" s="15">
        <v>0.95</v>
      </c>
      <c r="J41" s="5" t="s">
        <v>1795</v>
      </c>
      <c r="K41" s="16">
        <f t="shared" si="0"/>
        <v>1980</v>
      </c>
      <c r="L41" s="17">
        <f t="shared" si="1"/>
        <v>30.9375</v>
      </c>
      <c r="M41" s="5" t="s">
        <v>1910</v>
      </c>
      <c r="N41" s="5" t="str">
        <f ca="1">IFERROR(__xludf.DUMMYFUNCTION("TEXTJOIN("", "", TRUE, FILTER(PokemonList!$C:$C, (PokemonList!$B:$B=""6★"") * (BYROW(PokemonList!$D:$D, LAMBDA(row, OR(INDEX(ISNUMBER(SEARCH(SPLIT(row, ""/""), M41)))))))))"),"#N/A")</f>
        <v>#N/A</v>
      </c>
      <c r="O41" s="1" t="str">
        <f ca="1">IFERROR(__xludf.DUMMYFUNCTION("TEXTJOIN("", "", TRUE, FILTER(PokemonList!$C:$C, (PokemonList!$B:$B=""5★"") * (BYROW(PokemonList!$D:$D, LAMBDA(row, OR(INDEX(ISNUMBER(SEARCH(SPLIT(row, ""/""), M41)))))))))"),"#N/A")</f>
        <v>#N/A</v>
      </c>
      <c r="P41" s="5"/>
    </row>
    <row r="42" spans="1:16">
      <c r="A42" s="24">
        <v>51</v>
      </c>
      <c r="B42" s="5" t="s">
        <v>145</v>
      </c>
      <c r="C42" s="5" t="s">
        <v>363</v>
      </c>
      <c r="D42" s="16">
        <v>42</v>
      </c>
      <c r="E42" s="16">
        <v>22</v>
      </c>
      <c r="F42" s="16">
        <v>30</v>
      </c>
      <c r="G42" s="5" t="s">
        <v>404</v>
      </c>
      <c r="H42" s="16">
        <v>42</v>
      </c>
      <c r="I42" s="15">
        <v>1</v>
      </c>
      <c r="J42" s="26" t="s">
        <v>1786</v>
      </c>
      <c r="K42" s="16">
        <f t="shared" si="0"/>
        <v>1260</v>
      </c>
      <c r="L42" s="17">
        <f t="shared" si="1"/>
        <v>30</v>
      </c>
      <c r="M42" s="5" t="s">
        <v>1910</v>
      </c>
      <c r="N42" s="5" t="str">
        <f ca="1">IFERROR(__xludf.DUMMYFUNCTION("TEXTJOIN("", "", TRUE, FILTER(PokemonList!$C:$C, (PokemonList!$B:$B=""6★"") * (BYROW(PokemonList!$D:$D, LAMBDA(row, OR(INDEX(ISNUMBER(SEARCH(SPLIT(row, ""/""), M42)))))))))"),"#N/A")</f>
        <v>#N/A</v>
      </c>
      <c r="O42" s="1" t="str">
        <f ca="1">IFERROR(__xludf.DUMMYFUNCTION("TEXTJOIN("", "", TRUE, FILTER(PokemonList!$C:$C, (PokemonList!$B:$B=""5★"") * (BYROW(PokemonList!$D:$D, LAMBDA(row, OR(INDEX(ISNUMBER(SEARCH(SPLIT(row, ""/""), M42)))))))))"),"#N/A")</f>
        <v>#N/A</v>
      </c>
      <c r="P42" s="5"/>
    </row>
    <row r="43" spans="1:16">
      <c r="A43" s="24">
        <v>57</v>
      </c>
      <c r="B43" s="5" t="s">
        <v>158</v>
      </c>
      <c r="C43" s="5" t="s">
        <v>62</v>
      </c>
      <c r="D43" s="16">
        <v>36</v>
      </c>
      <c r="E43" s="16">
        <v>35</v>
      </c>
      <c r="F43" s="16">
        <v>50</v>
      </c>
      <c r="G43" s="5" t="s">
        <v>404</v>
      </c>
      <c r="H43" s="16">
        <v>20</v>
      </c>
      <c r="I43" s="15">
        <v>1</v>
      </c>
      <c r="J43" s="5" t="s">
        <v>1795</v>
      </c>
      <c r="K43" s="16">
        <f t="shared" si="0"/>
        <v>1000</v>
      </c>
      <c r="L43" s="17">
        <f t="shared" si="1"/>
        <v>27.777777777777779</v>
      </c>
      <c r="M43" s="5" t="s">
        <v>1910</v>
      </c>
      <c r="N43" s="5" t="str">
        <f ca="1">IFERROR(__xludf.DUMMYFUNCTION("TEXTJOIN("", "", TRUE, FILTER(PokemonList!$C:$C, (PokemonList!$B:$B=""6★"") * (BYROW(PokemonList!$D:$D, LAMBDA(row, OR(INDEX(ISNUMBER(SEARCH(SPLIT(row, ""/""), M43)))))))))"),"#N/A")</f>
        <v>#N/A</v>
      </c>
      <c r="O43" s="1" t="str">
        <f ca="1">IFERROR(__xludf.DUMMYFUNCTION("TEXTJOIN("", "", TRUE, FILTER(PokemonList!$C:$C, (PokemonList!$B:$B=""5★"") * (BYROW(PokemonList!$D:$D, LAMBDA(row, OR(INDEX(ISNUMBER(SEARCH(SPLIT(row, ""/""), M43)))))))))"),"#N/A")</f>
        <v>#N/A</v>
      </c>
      <c r="P43" s="5" t="s">
        <v>1794</v>
      </c>
    </row>
    <row r="44" spans="1:16">
      <c r="A44" s="24">
        <v>30</v>
      </c>
      <c r="B44" s="5" t="s">
        <v>103</v>
      </c>
      <c r="C44" s="5" t="s">
        <v>54</v>
      </c>
      <c r="D44" s="16">
        <v>48</v>
      </c>
      <c r="E44" s="16">
        <v>33</v>
      </c>
      <c r="F44" s="16">
        <v>40</v>
      </c>
      <c r="G44" s="5" t="s">
        <v>327</v>
      </c>
      <c r="H44" s="16">
        <v>33</v>
      </c>
      <c r="I44" s="15">
        <v>1</v>
      </c>
      <c r="J44" s="5" t="s">
        <v>1790</v>
      </c>
      <c r="K44" s="16">
        <f t="shared" si="0"/>
        <v>1320</v>
      </c>
      <c r="L44" s="17">
        <f t="shared" si="1"/>
        <v>27.5</v>
      </c>
      <c r="M44" s="5" t="s">
        <v>1910</v>
      </c>
      <c r="N44" s="5" t="str">
        <f ca="1">IFERROR(__xludf.DUMMYFUNCTION("TEXTJOIN("", "", TRUE, FILTER(PokemonList!$C:$C, (PokemonList!$B:$B=""6★"") * (BYROW(PokemonList!$D:$D, LAMBDA(row, OR(INDEX(ISNUMBER(SEARCH(SPLIT(row, ""/""), M44)))))))))"),"#N/A")</f>
        <v>#N/A</v>
      </c>
      <c r="O44" s="1" t="str">
        <f ca="1">IFERROR(__xludf.DUMMYFUNCTION("TEXTJOIN("", "", TRUE, FILTER(PokemonList!$C:$C, (PokemonList!$B:$B=""5★"") * (BYROW(PokemonList!$D:$D, LAMBDA(row, OR(INDEX(ISNUMBER(SEARCH(SPLIT(row, ""/""), M44)))))))))"),"#N/A")</f>
        <v>#N/A</v>
      </c>
      <c r="P44" s="5"/>
    </row>
    <row r="45" spans="1:16">
      <c r="A45" s="24">
        <v>65</v>
      </c>
      <c r="B45" s="5" t="s">
        <v>174</v>
      </c>
      <c r="C45" s="5" t="s">
        <v>82</v>
      </c>
      <c r="D45" s="16">
        <v>44</v>
      </c>
      <c r="E45" s="16">
        <v>7</v>
      </c>
      <c r="F45" s="16">
        <v>40</v>
      </c>
      <c r="G45" s="5" t="s">
        <v>404</v>
      </c>
      <c r="H45" s="16">
        <v>28</v>
      </c>
      <c r="I45" s="15">
        <v>1</v>
      </c>
      <c r="J45" s="5" t="s">
        <v>1782</v>
      </c>
      <c r="K45" s="16">
        <f t="shared" si="0"/>
        <v>1120</v>
      </c>
      <c r="L45" s="17">
        <f t="shared" si="1"/>
        <v>25.454545454545453</v>
      </c>
      <c r="M45" s="5" t="s">
        <v>1910</v>
      </c>
      <c r="N45" s="5" t="str">
        <f ca="1">IFERROR(__xludf.DUMMYFUNCTION("TEXTJOIN("", "", TRUE, FILTER(PokemonList!$C:$C, (PokemonList!$B:$B=""6★"") * (BYROW(PokemonList!$D:$D, LAMBDA(row, OR(INDEX(ISNUMBER(SEARCH(SPLIT(row, ""/""), M45)))))))))"),"#N/A")</f>
        <v>#N/A</v>
      </c>
      <c r="O45" s="1" t="str">
        <f ca="1">IFERROR(__xludf.DUMMYFUNCTION("TEXTJOIN("", "", TRUE, FILTER(PokemonList!$C:$C, (PokemonList!$B:$B=""5★"") * (BYROW(PokemonList!$D:$D, LAMBDA(row, OR(INDEX(ISNUMBER(SEARCH(SPLIT(row, ""/""), M45)))))))))"),"#N/A")</f>
        <v>#N/A</v>
      </c>
      <c r="P45" s="5"/>
    </row>
    <row r="46" spans="1:16">
      <c r="A46" s="24">
        <v>35</v>
      </c>
      <c r="B46" s="5" t="s">
        <v>113</v>
      </c>
      <c r="C46" s="5" t="s">
        <v>59</v>
      </c>
      <c r="D46" s="16">
        <v>42</v>
      </c>
      <c r="E46" s="16">
        <v>38</v>
      </c>
      <c r="F46" s="16">
        <v>40</v>
      </c>
      <c r="G46" s="5" t="s">
        <v>327</v>
      </c>
      <c r="H46" s="16">
        <v>24</v>
      </c>
      <c r="I46" s="15">
        <v>1</v>
      </c>
      <c r="J46" s="26" t="s">
        <v>1781</v>
      </c>
      <c r="K46" s="16">
        <f t="shared" si="0"/>
        <v>960</v>
      </c>
      <c r="L46" s="17">
        <f t="shared" si="1"/>
        <v>22.857142857142858</v>
      </c>
      <c r="M46" s="5" t="s">
        <v>1910</v>
      </c>
      <c r="N46" s="5" t="str">
        <f ca="1">IFERROR(__xludf.DUMMYFUNCTION("TEXTJOIN("", "", TRUE, FILTER(PokemonList!$C:$C, (PokemonList!$B:$B=""6★"") * (BYROW(PokemonList!$D:$D, LAMBDA(row, OR(INDEX(ISNUMBER(SEARCH(SPLIT(row, ""/""), M46)))))))))"),"#N/A")</f>
        <v>#N/A</v>
      </c>
      <c r="O46" s="1" t="str">
        <f ca="1">IFERROR(__xludf.DUMMYFUNCTION("TEXTJOIN("", "", TRUE, FILTER(PokemonList!$C:$C, (PokemonList!$B:$B=""5★"") * (BYROW(PokemonList!$D:$D, LAMBDA(row, OR(INDEX(ISNUMBER(SEARCH(SPLIT(row, ""/""), M46)))))))))"),"#N/A")</f>
        <v>#N/A</v>
      </c>
      <c r="P46" s="5"/>
    </row>
    <row r="47" spans="1:16">
      <c r="A47" s="24">
        <v>53</v>
      </c>
      <c r="B47" s="5" t="s">
        <v>149</v>
      </c>
      <c r="C47" s="5" t="s">
        <v>54</v>
      </c>
      <c r="D47" s="16">
        <v>42</v>
      </c>
      <c r="E47" s="16">
        <v>9</v>
      </c>
      <c r="F47" s="16">
        <v>40</v>
      </c>
      <c r="G47" s="5" t="s">
        <v>327</v>
      </c>
      <c r="H47" s="16">
        <v>24</v>
      </c>
      <c r="I47" s="15">
        <v>1</v>
      </c>
      <c r="J47" s="26" t="s">
        <v>1791</v>
      </c>
      <c r="K47" s="16">
        <f t="shared" si="0"/>
        <v>960</v>
      </c>
      <c r="L47" s="17">
        <f t="shared" si="1"/>
        <v>22.857142857142858</v>
      </c>
      <c r="M47" s="5" t="s">
        <v>1910</v>
      </c>
      <c r="N47" s="5" t="str">
        <f ca="1">IFERROR(__xludf.DUMMYFUNCTION("TEXTJOIN("", "", TRUE, FILTER(PokemonList!$C:$C, (PokemonList!$B:$B=""6★"") * (BYROW(PokemonList!$D:$D, LAMBDA(row, OR(INDEX(ISNUMBER(SEARCH(SPLIT(row, ""/""), M47)))))))))"),"#N/A")</f>
        <v>#N/A</v>
      </c>
      <c r="O47" s="1" t="str">
        <f ca="1">IFERROR(__xludf.DUMMYFUNCTION("TEXTJOIN("", "", TRUE, FILTER(PokemonList!$C:$C, (PokemonList!$B:$B=""5★"") * (BYROW(PokemonList!$D:$D, LAMBDA(row, OR(INDEX(ISNUMBER(SEARCH(SPLIT(row, ""/""), M47)))))))))"),"#N/A")</f>
        <v>#N/A</v>
      </c>
      <c r="P47" s="5"/>
    </row>
    <row r="48" spans="1:16">
      <c r="A48" s="22"/>
      <c r="D48" s="21"/>
      <c r="E48" s="21"/>
      <c r="F48" s="21"/>
      <c r="H48" s="21"/>
      <c r="K48" s="21"/>
      <c r="L48" s="23"/>
    </row>
    <row r="49" spans="1:12">
      <c r="A49" s="22"/>
      <c r="D49" s="21"/>
      <c r="E49" s="21"/>
      <c r="F49" s="21"/>
      <c r="H49" s="21"/>
      <c r="K49" s="21"/>
      <c r="L49" s="23"/>
    </row>
    <row r="50" spans="1:12">
      <c r="A50" s="22"/>
      <c r="D50" s="21"/>
      <c r="E50" s="21"/>
      <c r="F50" s="21"/>
      <c r="H50" s="21"/>
      <c r="K50" s="21"/>
      <c r="L50" s="23"/>
    </row>
    <row r="51" spans="1:12">
      <c r="A51" s="22"/>
      <c r="D51" s="21"/>
      <c r="E51" s="21"/>
      <c r="F51" s="21"/>
      <c r="H51" s="21"/>
      <c r="K51" s="21"/>
      <c r="L51" s="23"/>
    </row>
    <row r="52" spans="1:12">
      <c r="A52" s="22"/>
      <c r="D52" s="21"/>
      <c r="E52" s="21"/>
      <c r="F52" s="21"/>
      <c r="H52" s="21"/>
      <c r="K52" s="21"/>
      <c r="L52" s="23"/>
    </row>
    <row r="53" spans="1:12">
      <c r="A53" s="22"/>
      <c r="D53" s="21"/>
      <c r="E53" s="21"/>
      <c r="F53" s="21"/>
      <c r="H53" s="21"/>
      <c r="K53" s="21"/>
      <c r="L53" s="23"/>
    </row>
    <row r="54" spans="1:12">
      <c r="A54" s="22"/>
      <c r="D54" s="21"/>
      <c r="E54" s="21"/>
      <c r="F54" s="21"/>
      <c r="H54" s="21"/>
      <c r="K54" s="21"/>
      <c r="L54" s="23"/>
    </row>
    <row r="55" spans="1:12">
      <c r="A55" s="22"/>
      <c r="D55" s="21"/>
      <c r="E55" s="21"/>
      <c r="F55" s="21"/>
      <c r="H55" s="21"/>
      <c r="K55" s="21"/>
      <c r="L55" s="23"/>
    </row>
    <row r="56" spans="1:12">
      <c r="A56" s="22"/>
      <c r="D56" s="21"/>
      <c r="E56" s="21"/>
      <c r="F56" s="21"/>
      <c r="H56" s="21"/>
      <c r="K56" s="21"/>
      <c r="L56" s="23"/>
    </row>
    <row r="57" spans="1:12">
      <c r="A57" s="22"/>
      <c r="D57" s="21"/>
      <c r="E57" s="21"/>
      <c r="F57" s="21"/>
      <c r="H57" s="21"/>
      <c r="K57" s="21"/>
      <c r="L57" s="23"/>
    </row>
    <row r="58" spans="1:12">
      <c r="A58" s="22"/>
      <c r="D58" s="21"/>
      <c r="E58" s="21"/>
      <c r="F58" s="21"/>
      <c r="H58" s="21"/>
      <c r="K58" s="21"/>
      <c r="L58" s="23"/>
    </row>
    <row r="59" spans="1:12">
      <c r="A59" s="22"/>
      <c r="D59" s="21"/>
      <c r="E59" s="21"/>
      <c r="F59" s="21"/>
      <c r="H59" s="21"/>
      <c r="K59" s="21"/>
      <c r="L59" s="23"/>
    </row>
    <row r="60" spans="1:12">
      <c r="A60" s="22"/>
      <c r="D60" s="21"/>
      <c r="E60" s="21"/>
      <c r="F60" s="21"/>
      <c r="H60" s="21"/>
      <c r="K60" s="21"/>
      <c r="L60" s="23"/>
    </row>
    <row r="61" spans="1:12">
      <c r="A61" s="22"/>
      <c r="D61" s="21"/>
      <c r="E61" s="21"/>
      <c r="F61" s="21"/>
      <c r="H61" s="21"/>
      <c r="K61" s="21"/>
      <c r="L61" s="23"/>
    </row>
    <row r="62" spans="1:12">
      <c r="A62" s="22"/>
      <c r="D62" s="21"/>
      <c r="E62" s="21"/>
      <c r="F62" s="21"/>
      <c r="H62" s="21"/>
      <c r="K62" s="21"/>
      <c r="L62" s="23"/>
    </row>
    <row r="63" spans="1:12">
      <c r="A63" s="22"/>
      <c r="D63" s="21"/>
      <c r="E63" s="21"/>
      <c r="F63" s="21"/>
      <c r="H63" s="21"/>
      <c r="K63" s="21"/>
      <c r="L63" s="23"/>
    </row>
    <row r="64" spans="1:12">
      <c r="A64" s="22"/>
      <c r="D64" s="21"/>
      <c r="E64" s="21"/>
      <c r="F64" s="21"/>
      <c r="H64" s="21"/>
      <c r="K64" s="21"/>
      <c r="L64" s="23"/>
    </row>
    <row r="65" spans="1:12">
      <c r="A65" s="22"/>
      <c r="D65" s="21"/>
      <c r="E65" s="21"/>
      <c r="F65" s="21"/>
      <c r="H65" s="21"/>
      <c r="K65" s="21"/>
      <c r="L65" s="23"/>
    </row>
    <row r="66" spans="1:12">
      <c r="A66" s="22"/>
      <c r="D66" s="21"/>
      <c r="E66" s="21"/>
      <c r="F66" s="21"/>
      <c r="H66" s="21"/>
      <c r="K66" s="21"/>
      <c r="L66" s="23"/>
    </row>
    <row r="67" spans="1:12">
      <c r="A67" s="22"/>
      <c r="D67" s="21"/>
      <c r="E67" s="21"/>
      <c r="F67" s="21"/>
      <c r="H67" s="21"/>
      <c r="K67" s="21"/>
      <c r="L67" s="23"/>
    </row>
    <row r="68" spans="1:12">
      <c r="A68" s="22"/>
      <c r="D68" s="21"/>
      <c r="E68" s="21"/>
      <c r="F68" s="21"/>
      <c r="H68" s="21"/>
      <c r="K68" s="21"/>
      <c r="L68" s="23"/>
    </row>
    <row r="69" spans="1:12">
      <c r="A69" s="22"/>
      <c r="D69" s="21"/>
      <c r="E69" s="21"/>
      <c r="F69" s="21"/>
      <c r="H69" s="21"/>
      <c r="K69" s="21"/>
      <c r="L69" s="23"/>
    </row>
    <row r="70" spans="1:12">
      <c r="A70" s="22"/>
      <c r="D70" s="21"/>
      <c r="E70" s="21"/>
      <c r="F70" s="21"/>
      <c r="H70" s="21"/>
      <c r="K70" s="21"/>
      <c r="L70" s="23"/>
    </row>
    <row r="71" spans="1:12">
      <c r="A71" s="22"/>
      <c r="D71" s="21"/>
      <c r="E71" s="21"/>
      <c r="F71" s="21"/>
      <c r="H71" s="21"/>
      <c r="K71" s="21"/>
      <c r="L71" s="23"/>
    </row>
    <row r="72" spans="1:12">
      <c r="A72" s="22"/>
      <c r="D72" s="21"/>
      <c r="E72" s="21"/>
      <c r="F72" s="21"/>
      <c r="H72" s="21"/>
      <c r="K72" s="21"/>
      <c r="L72" s="23"/>
    </row>
    <row r="73" spans="1:12">
      <c r="A73" s="22"/>
      <c r="D73" s="21"/>
      <c r="E73" s="21"/>
      <c r="F73" s="21"/>
      <c r="H73" s="21"/>
      <c r="K73" s="21"/>
      <c r="L73" s="23"/>
    </row>
    <row r="74" spans="1:12">
      <c r="A74" s="22"/>
      <c r="D74" s="21"/>
      <c r="E74" s="21"/>
      <c r="F74" s="21"/>
      <c r="H74" s="21"/>
      <c r="K74" s="21"/>
      <c r="L74" s="23"/>
    </row>
    <row r="75" spans="1:12">
      <c r="A75" s="22"/>
      <c r="D75" s="21"/>
      <c r="E75" s="21"/>
      <c r="F75" s="21"/>
      <c r="H75" s="21"/>
      <c r="K75" s="21"/>
      <c r="L75" s="23"/>
    </row>
    <row r="76" spans="1:12">
      <c r="A76" s="22"/>
      <c r="D76" s="21"/>
      <c r="E76" s="21"/>
      <c r="F76" s="21"/>
      <c r="H76" s="21"/>
      <c r="K76" s="21"/>
      <c r="L76" s="23"/>
    </row>
    <row r="77" spans="1:12">
      <c r="A77" s="22"/>
      <c r="D77" s="21"/>
      <c r="E77" s="21"/>
      <c r="F77" s="21"/>
      <c r="H77" s="21"/>
      <c r="K77" s="21"/>
      <c r="L77" s="23"/>
    </row>
    <row r="78" spans="1:12">
      <c r="A78" s="22"/>
      <c r="D78" s="21"/>
      <c r="E78" s="21"/>
      <c r="F78" s="21"/>
      <c r="H78" s="21"/>
      <c r="K78" s="21"/>
      <c r="L78" s="23"/>
    </row>
    <row r="79" spans="1:12">
      <c r="A79" s="22"/>
      <c r="D79" s="21"/>
      <c r="E79" s="21"/>
      <c r="F79" s="21"/>
      <c r="H79" s="21"/>
      <c r="K79" s="21"/>
      <c r="L79" s="23"/>
    </row>
    <row r="80" spans="1:12">
      <c r="A80" s="22"/>
      <c r="D80" s="21"/>
      <c r="E80" s="21"/>
      <c r="F80" s="21"/>
      <c r="H80" s="21"/>
      <c r="K80" s="21"/>
      <c r="L80" s="23"/>
    </row>
    <row r="81" spans="1:12">
      <c r="A81" s="22"/>
      <c r="D81" s="21"/>
      <c r="E81" s="21"/>
      <c r="F81" s="21"/>
      <c r="H81" s="21"/>
      <c r="K81" s="21"/>
      <c r="L81" s="23"/>
    </row>
    <row r="82" spans="1:12">
      <c r="A82" s="22"/>
      <c r="D82" s="21"/>
      <c r="E82" s="21"/>
      <c r="F82" s="21"/>
      <c r="H82" s="21"/>
      <c r="K82" s="21"/>
      <c r="L82" s="23"/>
    </row>
    <row r="83" spans="1:12">
      <c r="A83" s="22"/>
      <c r="D83" s="21"/>
      <c r="E83" s="21"/>
      <c r="F83" s="21"/>
      <c r="H83" s="21"/>
      <c r="K83" s="21"/>
      <c r="L83" s="23"/>
    </row>
    <row r="84" spans="1:12">
      <c r="A84" s="22"/>
      <c r="D84" s="21"/>
      <c r="E84" s="21"/>
      <c r="F84" s="21"/>
      <c r="H84" s="21"/>
      <c r="K84" s="21"/>
      <c r="L84" s="23"/>
    </row>
    <row r="85" spans="1:12">
      <c r="A85" s="22"/>
      <c r="D85" s="21"/>
      <c r="E85" s="21"/>
      <c r="F85" s="21"/>
      <c r="H85" s="21"/>
      <c r="K85" s="21"/>
      <c r="L85" s="23"/>
    </row>
    <row r="86" spans="1:12">
      <c r="A86" s="22"/>
      <c r="D86" s="21"/>
      <c r="E86" s="21"/>
      <c r="F86" s="21"/>
      <c r="H86" s="21"/>
      <c r="K86" s="21"/>
      <c r="L86" s="23"/>
    </row>
    <row r="87" spans="1:12">
      <c r="A87" s="22"/>
      <c r="D87" s="21"/>
      <c r="E87" s="21"/>
      <c r="F87" s="21"/>
      <c r="H87" s="21"/>
      <c r="K87" s="21"/>
      <c r="L87" s="23"/>
    </row>
    <row r="88" spans="1:12">
      <c r="A88" s="22"/>
      <c r="D88" s="21"/>
      <c r="E88" s="21"/>
      <c r="F88" s="21"/>
      <c r="H88" s="21"/>
      <c r="K88" s="21"/>
      <c r="L88" s="23"/>
    </row>
    <row r="89" spans="1:12">
      <c r="A89" s="22"/>
      <c r="D89" s="21"/>
      <c r="E89" s="21"/>
      <c r="F89" s="21"/>
      <c r="H89" s="21"/>
      <c r="K89" s="21"/>
      <c r="L89" s="23"/>
    </row>
    <row r="90" spans="1:12">
      <c r="A90" s="22"/>
      <c r="D90" s="21"/>
      <c r="E90" s="21"/>
      <c r="F90" s="21"/>
      <c r="H90" s="21"/>
      <c r="K90" s="21"/>
      <c r="L90" s="23"/>
    </row>
    <row r="91" spans="1:12">
      <c r="A91" s="22"/>
      <c r="D91" s="21"/>
      <c r="E91" s="21"/>
      <c r="F91" s="21"/>
      <c r="H91" s="21"/>
      <c r="K91" s="21"/>
      <c r="L91" s="23"/>
    </row>
    <row r="92" spans="1:12">
      <c r="A92" s="22"/>
      <c r="D92" s="21"/>
      <c r="E92" s="21"/>
      <c r="F92" s="21"/>
      <c r="H92" s="21"/>
      <c r="K92" s="21"/>
      <c r="L92" s="23"/>
    </row>
    <row r="93" spans="1:12">
      <c r="A93" s="22"/>
      <c r="D93" s="21"/>
      <c r="E93" s="21"/>
      <c r="F93" s="21"/>
      <c r="H93" s="21"/>
      <c r="K93" s="21"/>
      <c r="L93" s="23"/>
    </row>
    <row r="94" spans="1:12">
      <c r="A94" s="22"/>
      <c r="D94" s="21"/>
      <c r="E94" s="21"/>
      <c r="F94" s="21"/>
      <c r="H94" s="21"/>
      <c r="K94" s="21"/>
      <c r="L94" s="23"/>
    </row>
    <row r="95" spans="1:12">
      <c r="A95" s="22"/>
      <c r="D95" s="21"/>
      <c r="E95" s="21"/>
      <c r="F95" s="21"/>
      <c r="H95" s="21"/>
      <c r="K95" s="21"/>
      <c r="L95" s="23"/>
    </row>
    <row r="96" spans="1:12">
      <c r="A96" s="22"/>
      <c r="D96" s="21"/>
      <c r="E96" s="21"/>
      <c r="F96" s="21"/>
      <c r="H96" s="21"/>
      <c r="K96" s="21"/>
      <c r="L96" s="23"/>
    </row>
    <row r="97" spans="1:12">
      <c r="A97" s="22"/>
      <c r="D97" s="21"/>
      <c r="E97" s="21"/>
      <c r="F97" s="21"/>
      <c r="H97" s="21"/>
      <c r="K97" s="21"/>
      <c r="L97" s="23"/>
    </row>
    <row r="98" spans="1:12">
      <c r="A98" s="22"/>
      <c r="D98" s="21"/>
      <c r="E98" s="21"/>
      <c r="F98" s="21"/>
      <c r="H98" s="21"/>
      <c r="K98" s="21"/>
      <c r="L98" s="23"/>
    </row>
    <row r="99" spans="1:12">
      <c r="A99" s="22"/>
      <c r="D99" s="21"/>
      <c r="E99" s="21"/>
      <c r="F99" s="21"/>
      <c r="H99" s="21"/>
      <c r="K99" s="21"/>
      <c r="L99" s="23"/>
    </row>
    <row r="100" spans="1:12">
      <c r="A100" s="22"/>
      <c r="D100" s="21"/>
      <c r="E100" s="21"/>
      <c r="F100" s="21"/>
      <c r="H100" s="21"/>
      <c r="K100" s="21"/>
      <c r="L100" s="23"/>
    </row>
    <row r="101" spans="1:12">
      <c r="A101" s="22"/>
      <c r="D101" s="21"/>
      <c r="E101" s="21"/>
      <c r="F101" s="21"/>
      <c r="H101" s="21"/>
      <c r="K101" s="21"/>
      <c r="L101" s="23"/>
    </row>
    <row r="102" spans="1:12">
      <c r="A102" s="22"/>
      <c r="D102" s="21"/>
      <c r="E102" s="21"/>
      <c r="F102" s="21"/>
      <c r="H102" s="21"/>
      <c r="K102" s="21"/>
      <c r="L102" s="23"/>
    </row>
    <row r="103" spans="1:12">
      <c r="A103" s="22"/>
      <c r="D103" s="21"/>
      <c r="E103" s="21"/>
      <c r="F103" s="21"/>
      <c r="H103" s="21"/>
      <c r="K103" s="21"/>
      <c r="L103" s="23"/>
    </row>
    <row r="104" spans="1:12">
      <c r="A104" s="22"/>
      <c r="D104" s="21"/>
      <c r="E104" s="21"/>
      <c r="F104" s="21"/>
      <c r="H104" s="21"/>
      <c r="K104" s="21"/>
      <c r="L104" s="23"/>
    </row>
    <row r="105" spans="1:12">
      <c r="A105" s="22"/>
      <c r="D105" s="21"/>
      <c r="E105" s="21"/>
      <c r="F105" s="21"/>
      <c r="H105" s="21"/>
      <c r="K105" s="21"/>
      <c r="L105" s="23"/>
    </row>
    <row r="106" spans="1:12">
      <c r="A106" s="22"/>
      <c r="D106" s="21"/>
      <c r="E106" s="21"/>
      <c r="F106" s="21"/>
      <c r="H106" s="21"/>
      <c r="K106" s="21"/>
      <c r="L106" s="23"/>
    </row>
    <row r="107" spans="1:12">
      <c r="A107" s="22"/>
      <c r="D107" s="21"/>
      <c r="E107" s="21"/>
      <c r="F107" s="21"/>
      <c r="H107" s="21"/>
      <c r="K107" s="21"/>
      <c r="L107" s="23"/>
    </row>
    <row r="108" spans="1:12">
      <c r="A108" s="22"/>
      <c r="D108" s="21"/>
      <c r="E108" s="21"/>
      <c r="F108" s="21"/>
      <c r="H108" s="21"/>
      <c r="K108" s="21"/>
      <c r="L108" s="23"/>
    </row>
    <row r="109" spans="1:12">
      <c r="A109" s="22"/>
      <c r="D109" s="21"/>
      <c r="E109" s="21"/>
      <c r="F109" s="21"/>
      <c r="H109" s="21"/>
      <c r="K109" s="21"/>
      <c r="L109" s="23"/>
    </row>
    <row r="110" spans="1:12">
      <c r="A110" s="22"/>
      <c r="D110" s="21"/>
      <c r="E110" s="21"/>
      <c r="F110" s="21"/>
      <c r="H110" s="21"/>
      <c r="K110" s="21"/>
      <c r="L110" s="23"/>
    </row>
    <row r="111" spans="1:12">
      <c r="A111" s="22"/>
      <c r="D111" s="21"/>
      <c r="E111" s="21"/>
      <c r="F111" s="21"/>
      <c r="H111" s="21"/>
      <c r="K111" s="21"/>
      <c r="L111" s="23"/>
    </row>
    <row r="112" spans="1:12">
      <c r="A112" s="22"/>
      <c r="D112" s="21"/>
      <c r="E112" s="21"/>
      <c r="F112" s="21"/>
      <c r="H112" s="21"/>
      <c r="K112" s="21"/>
      <c r="L112" s="23"/>
    </row>
    <row r="113" spans="1:12">
      <c r="A113" s="22"/>
      <c r="D113" s="21"/>
      <c r="E113" s="21"/>
      <c r="F113" s="21"/>
      <c r="H113" s="21"/>
      <c r="K113" s="21"/>
      <c r="L113" s="23"/>
    </row>
    <row r="114" spans="1:12">
      <c r="A114" s="22"/>
      <c r="D114" s="21"/>
      <c r="E114" s="21"/>
      <c r="F114" s="21"/>
      <c r="H114" s="21"/>
      <c r="K114" s="21"/>
      <c r="L114" s="23"/>
    </row>
    <row r="115" spans="1:12">
      <c r="A115" s="22"/>
      <c r="D115" s="21"/>
      <c r="E115" s="21"/>
      <c r="F115" s="21"/>
      <c r="H115" s="21"/>
      <c r="K115" s="21"/>
      <c r="L115" s="23"/>
    </row>
    <row r="116" spans="1:12">
      <c r="A116" s="22"/>
      <c r="D116" s="21"/>
      <c r="E116" s="21"/>
      <c r="F116" s="21"/>
      <c r="H116" s="21"/>
      <c r="K116" s="21"/>
      <c r="L116" s="23"/>
    </row>
    <row r="117" spans="1:12">
      <c r="A117" s="22"/>
      <c r="D117" s="21"/>
      <c r="E117" s="21"/>
      <c r="F117" s="21"/>
      <c r="H117" s="21"/>
      <c r="K117" s="21"/>
      <c r="L117" s="23"/>
    </row>
    <row r="118" spans="1:12">
      <c r="A118" s="22"/>
      <c r="D118" s="21"/>
      <c r="E118" s="21"/>
      <c r="F118" s="21"/>
      <c r="H118" s="21"/>
      <c r="K118" s="21"/>
      <c r="L118" s="23"/>
    </row>
    <row r="119" spans="1:12">
      <c r="A119" s="22"/>
      <c r="D119" s="21"/>
      <c r="E119" s="21"/>
      <c r="F119" s="21"/>
      <c r="H119" s="21"/>
      <c r="K119" s="21"/>
      <c r="L119" s="23"/>
    </row>
    <row r="120" spans="1:12">
      <c r="A120" s="22"/>
      <c r="D120" s="21"/>
      <c r="E120" s="21"/>
      <c r="F120" s="21"/>
      <c r="H120" s="21"/>
      <c r="K120" s="21"/>
      <c r="L120" s="23"/>
    </row>
    <row r="121" spans="1:12">
      <c r="A121" s="22"/>
      <c r="D121" s="21"/>
      <c r="E121" s="21"/>
      <c r="F121" s="21"/>
      <c r="H121" s="21"/>
      <c r="K121" s="21"/>
      <c r="L121" s="23"/>
    </row>
    <row r="122" spans="1:12">
      <c r="A122" s="22"/>
      <c r="D122" s="21"/>
      <c r="E122" s="21"/>
      <c r="F122" s="21"/>
      <c r="H122" s="21"/>
      <c r="K122" s="21"/>
      <c r="L122" s="23"/>
    </row>
    <row r="123" spans="1:12">
      <c r="A123" s="22"/>
      <c r="D123" s="21"/>
      <c r="E123" s="21"/>
      <c r="F123" s="21"/>
      <c r="H123" s="21"/>
      <c r="K123" s="21"/>
      <c r="L123" s="23"/>
    </row>
    <row r="124" spans="1:12">
      <c r="A124" s="22"/>
      <c r="D124" s="21"/>
      <c r="E124" s="21"/>
      <c r="F124" s="21"/>
      <c r="H124" s="21"/>
      <c r="K124" s="21"/>
      <c r="L124" s="23"/>
    </row>
    <row r="125" spans="1:12">
      <c r="A125" s="22"/>
      <c r="D125" s="21"/>
      <c r="E125" s="21"/>
      <c r="F125" s="21"/>
      <c r="H125" s="21"/>
      <c r="K125" s="21"/>
      <c r="L125" s="23"/>
    </row>
    <row r="126" spans="1:12">
      <c r="A126" s="22"/>
      <c r="D126" s="21"/>
      <c r="E126" s="21"/>
      <c r="F126" s="21"/>
      <c r="H126" s="21"/>
      <c r="K126" s="21"/>
      <c r="L126" s="23"/>
    </row>
    <row r="127" spans="1:12">
      <c r="A127" s="22"/>
      <c r="D127" s="21"/>
      <c r="E127" s="21"/>
      <c r="F127" s="21"/>
      <c r="H127" s="21"/>
      <c r="K127" s="21"/>
      <c r="L127" s="23"/>
    </row>
    <row r="128" spans="1:12">
      <c r="A128" s="22"/>
      <c r="D128" s="21"/>
      <c r="E128" s="21"/>
      <c r="F128" s="21"/>
      <c r="H128" s="21"/>
      <c r="K128" s="21"/>
      <c r="L128" s="23"/>
    </row>
    <row r="129" spans="1:12">
      <c r="A129" s="22"/>
      <c r="D129" s="21"/>
      <c r="E129" s="21"/>
      <c r="F129" s="21"/>
      <c r="H129" s="21"/>
      <c r="K129" s="21"/>
      <c r="L129" s="23"/>
    </row>
    <row r="130" spans="1:12">
      <c r="A130" s="22"/>
      <c r="D130" s="21"/>
      <c r="E130" s="21"/>
      <c r="F130" s="21"/>
      <c r="H130" s="21"/>
      <c r="K130" s="21"/>
      <c r="L130" s="23"/>
    </row>
    <row r="131" spans="1:12">
      <c r="A131" s="22"/>
      <c r="D131" s="21"/>
      <c r="E131" s="21"/>
      <c r="F131" s="21"/>
      <c r="H131" s="21"/>
      <c r="K131" s="21"/>
      <c r="L131" s="23"/>
    </row>
    <row r="132" spans="1:12">
      <c r="A132" s="22"/>
      <c r="D132" s="21"/>
      <c r="E132" s="21"/>
      <c r="F132" s="21"/>
      <c r="H132" s="21"/>
      <c r="K132" s="21"/>
      <c r="L132" s="23"/>
    </row>
    <row r="133" spans="1:12">
      <c r="A133" s="22"/>
      <c r="D133" s="21"/>
      <c r="E133" s="21"/>
      <c r="F133" s="21"/>
      <c r="H133" s="21"/>
      <c r="K133" s="21"/>
      <c r="L133" s="23"/>
    </row>
    <row r="134" spans="1:12">
      <c r="A134" s="22"/>
      <c r="D134" s="21"/>
      <c r="E134" s="21"/>
      <c r="F134" s="21"/>
      <c r="H134" s="21"/>
      <c r="K134" s="21"/>
      <c r="L134" s="23"/>
    </row>
    <row r="135" spans="1:12">
      <c r="A135" s="22"/>
      <c r="D135" s="21"/>
      <c r="E135" s="21"/>
      <c r="F135" s="21"/>
      <c r="H135" s="21"/>
      <c r="K135" s="21"/>
      <c r="L135" s="23"/>
    </row>
    <row r="136" spans="1:12">
      <c r="A136" s="22"/>
      <c r="D136" s="21"/>
      <c r="E136" s="21"/>
      <c r="F136" s="21"/>
      <c r="H136" s="21"/>
      <c r="K136" s="21"/>
      <c r="L136" s="23"/>
    </row>
    <row r="137" spans="1:12">
      <c r="A137" s="22"/>
      <c r="D137" s="21"/>
      <c r="E137" s="21"/>
      <c r="F137" s="21"/>
      <c r="H137" s="21"/>
      <c r="K137" s="21"/>
      <c r="L137" s="23"/>
    </row>
    <row r="138" spans="1:12">
      <c r="A138" s="22"/>
      <c r="D138" s="21"/>
      <c r="E138" s="21"/>
      <c r="F138" s="21"/>
      <c r="H138" s="21"/>
      <c r="K138" s="21"/>
      <c r="L138" s="23"/>
    </row>
    <row r="139" spans="1:12">
      <c r="A139" s="22"/>
      <c r="D139" s="21"/>
      <c r="E139" s="21"/>
      <c r="F139" s="21"/>
      <c r="H139" s="21"/>
      <c r="K139" s="21"/>
      <c r="L139" s="23"/>
    </row>
    <row r="140" spans="1:12">
      <c r="A140" s="22"/>
      <c r="D140" s="21"/>
      <c r="E140" s="21"/>
      <c r="F140" s="21"/>
      <c r="H140" s="21"/>
      <c r="K140" s="21"/>
      <c r="L140" s="23"/>
    </row>
    <row r="141" spans="1:12">
      <c r="A141" s="22"/>
      <c r="D141" s="21"/>
      <c r="E141" s="21"/>
      <c r="F141" s="21"/>
      <c r="H141" s="21"/>
      <c r="K141" s="21"/>
      <c r="L141" s="23"/>
    </row>
    <row r="142" spans="1:12">
      <c r="A142" s="22"/>
      <c r="D142" s="21"/>
      <c r="E142" s="21"/>
      <c r="F142" s="21"/>
      <c r="H142" s="21"/>
      <c r="K142" s="21"/>
      <c r="L142" s="23"/>
    </row>
    <row r="143" spans="1:12">
      <c r="A143" s="22"/>
      <c r="D143" s="21"/>
      <c r="E143" s="21"/>
      <c r="F143" s="21"/>
      <c r="H143" s="21"/>
      <c r="K143" s="21"/>
      <c r="L143" s="23"/>
    </row>
    <row r="144" spans="1:12">
      <c r="A144" s="22"/>
      <c r="D144" s="21"/>
      <c r="E144" s="21"/>
      <c r="F144" s="21"/>
      <c r="H144" s="21"/>
      <c r="K144" s="21"/>
      <c r="L144" s="23"/>
    </row>
    <row r="145" spans="1:12">
      <c r="A145" s="22"/>
      <c r="D145" s="21"/>
      <c r="E145" s="21"/>
      <c r="F145" s="21"/>
      <c r="H145" s="21"/>
      <c r="K145" s="21"/>
      <c r="L145" s="23"/>
    </row>
    <row r="146" spans="1:12">
      <c r="A146" s="22"/>
      <c r="D146" s="21"/>
      <c r="E146" s="21"/>
      <c r="F146" s="21"/>
      <c r="H146" s="21"/>
      <c r="K146" s="21"/>
      <c r="L146" s="23"/>
    </row>
    <row r="147" spans="1:12">
      <c r="A147" s="22"/>
      <c r="D147" s="21"/>
      <c r="E147" s="21"/>
      <c r="F147" s="21"/>
      <c r="H147" s="21"/>
      <c r="K147" s="21"/>
      <c r="L147" s="23"/>
    </row>
    <row r="148" spans="1:12">
      <c r="A148" s="22"/>
      <c r="D148" s="21"/>
      <c r="E148" s="21"/>
      <c r="F148" s="21"/>
      <c r="H148" s="21"/>
      <c r="K148" s="21"/>
      <c r="L148" s="23"/>
    </row>
    <row r="149" spans="1:12">
      <c r="A149" s="22"/>
      <c r="D149" s="21"/>
      <c r="E149" s="21"/>
      <c r="F149" s="21"/>
      <c r="H149" s="21"/>
      <c r="K149" s="21"/>
      <c r="L149" s="23"/>
    </row>
    <row r="150" spans="1:12">
      <c r="A150" s="22"/>
      <c r="D150" s="21"/>
      <c r="E150" s="21"/>
      <c r="F150" s="21"/>
      <c r="H150" s="21"/>
      <c r="K150" s="21"/>
      <c r="L150" s="23"/>
    </row>
    <row r="151" spans="1:12">
      <c r="A151" s="22"/>
      <c r="D151" s="21"/>
      <c r="E151" s="21"/>
      <c r="F151" s="21"/>
      <c r="H151" s="21"/>
      <c r="K151" s="21"/>
      <c r="L151" s="23"/>
    </row>
    <row r="152" spans="1:12">
      <c r="A152" s="22"/>
      <c r="D152" s="21"/>
      <c r="E152" s="21"/>
      <c r="F152" s="21"/>
      <c r="H152" s="21"/>
      <c r="K152" s="21"/>
      <c r="L152" s="23"/>
    </row>
    <row r="153" spans="1:12">
      <c r="A153" s="22"/>
      <c r="D153" s="21"/>
      <c r="E153" s="21"/>
      <c r="F153" s="21"/>
      <c r="H153" s="21"/>
      <c r="K153" s="21"/>
      <c r="L153" s="23"/>
    </row>
    <row r="154" spans="1:12">
      <c r="A154" s="22"/>
      <c r="D154" s="21"/>
      <c r="E154" s="21"/>
      <c r="F154" s="21"/>
      <c r="H154" s="21"/>
      <c r="K154" s="21"/>
      <c r="L154" s="23"/>
    </row>
    <row r="155" spans="1:12">
      <c r="A155" s="22"/>
      <c r="D155" s="21"/>
      <c r="E155" s="21"/>
      <c r="F155" s="21"/>
      <c r="H155" s="21"/>
      <c r="K155" s="21"/>
      <c r="L155" s="23"/>
    </row>
    <row r="156" spans="1:12">
      <c r="A156" s="22"/>
      <c r="D156" s="21"/>
      <c r="E156" s="21"/>
      <c r="F156" s="21"/>
      <c r="H156" s="21"/>
      <c r="K156" s="21"/>
      <c r="L156" s="23"/>
    </row>
    <row r="157" spans="1:12">
      <c r="A157" s="22"/>
      <c r="D157" s="21"/>
      <c r="E157" s="21"/>
      <c r="F157" s="21"/>
      <c r="H157" s="21"/>
      <c r="K157" s="21"/>
      <c r="L157" s="23"/>
    </row>
    <row r="158" spans="1:12">
      <c r="A158" s="22"/>
      <c r="D158" s="21"/>
      <c r="E158" s="21"/>
      <c r="F158" s="21"/>
      <c r="H158" s="21"/>
      <c r="K158" s="21"/>
      <c r="L158" s="23"/>
    </row>
    <row r="159" spans="1:12">
      <c r="A159" s="22"/>
      <c r="D159" s="21"/>
      <c r="E159" s="21"/>
      <c r="F159" s="21"/>
      <c r="H159" s="21"/>
      <c r="K159" s="21"/>
      <c r="L159" s="23"/>
    </row>
    <row r="160" spans="1:12">
      <c r="A160" s="22"/>
      <c r="D160" s="21"/>
      <c r="E160" s="21"/>
      <c r="F160" s="21"/>
      <c r="H160" s="21"/>
      <c r="K160" s="21"/>
      <c r="L160" s="23"/>
    </row>
    <row r="161" spans="1:12">
      <c r="A161" s="22"/>
      <c r="D161" s="21"/>
      <c r="E161" s="21"/>
      <c r="F161" s="21"/>
      <c r="H161" s="21"/>
      <c r="K161" s="21"/>
      <c r="L161" s="23"/>
    </row>
    <row r="162" spans="1:12">
      <c r="A162" s="22"/>
      <c r="D162" s="21"/>
      <c r="E162" s="21"/>
      <c r="F162" s="21"/>
      <c r="H162" s="21"/>
      <c r="K162" s="21"/>
      <c r="L162" s="23"/>
    </row>
    <row r="163" spans="1:12">
      <c r="A163" s="22"/>
      <c r="D163" s="21"/>
      <c r="E163" s="21"/>
      <c r="F163" s="21"/>
      <c r="H163" s="21"/>
      <c r="K163" s="21"/>
      <c r="L163" s="23"/>
    </row>
    <row r="164" spans="1:12">
      <c r="A164" s="22"/>
      <c r="D164" s="21"/>
      <c r="E164" s="21"/>
      <c r="F164" s="21"/>
      <c r="H164" s="21"/>
      <c r="K164" s="21"/>
      <c r="L164" s="23"/>
    </row>
    <row r="165" spans="1:12">
      <c r="A165" s="22"/>
      <c r="D165" s="21"/>
      <c r="E165" s="21"/>
      <c r="F165" s="21"/>
      <c r="H165" s="21"/>
      <c r="K165" s="21"/>
      <c r="L165" s="23"/>
    </row>
    <row r="166" spans="1:12">
      <c r="A166" s="22"/>
      <c r="D166" s="21"/>
      <c r="E166" s="21"/>
      <c r="F166" s="21"/>
      <c r="H166" s="21"/>
      <c r="K166" s="21"/>
      <c r="L166" s="23"/>
    </row>
    <row r="167" spans="1:12">
      <c r="A167" s="22"/>
      <c r="D167" s="21"/>
      <c r="E167" s="21"/>
      <c r="F167" s="21"/>
      <c r="H167" s="21"/>
      <c r="K167" s="21"/>
      <c r="L167" s="23"/>
    </row>
    <row r="168" spans="1:12">
      <c r="A168" s="22"/>
      <c r="D168" s="21"/>
      <c r="E168" s="21"/>
      <c r="F168" s="21"/>
      <c r="H168" s="21"/>
      <c r="K168" s="21"/>
      <c r="L168" s="23"/>
    </row>
    <row r="169" spans="1:12">
      <c r="A169" s="22"/>
      <c r="D169" s="21"/>
      <c r="E169" s="21"/>
      <c r="F169" s="21"/>
      <c r="H169" s="21"/>
      <c r="K169" s="21"/>
      <c r="L169" s="23"/>
    </row>
    <row r="170" spans="1:12">
      <c r="A170" s="22"/>
      <c r="D170" s="21"/>
      <c r="E170" s="21"/>
      <c r="F170" s="21"/>
      <c r="H170" s="21"/>
      <c r="K170" s="21"/>
      <c r="L170" s="23"/>
    </row>
    <row r="171" spans="1:12">
      <c r="A171" s="22"/>
      <c r="D171" s="21"/>
      <c r="E171" s="21"/>
      <c r="F171" s="21"/>
      <c r="H171" s="21"/>
      <c r="K171" s="21"/>
      <c r="L171" s="23"/>
    </row>
    <row r="172" spans="1:12">
      <c r="A172" s="22"/>
      <c r="D172" s="21"/>
      <c r="E172" s="21"/>
      <c r="F172" s="21"/>
      <c r="H172" s="21"/>
      <c r="K172" s="21"/>
      <c r="L172" s="23"/>
    </row>
    <row r="173" spans="1:12">
      <c r="A173" s="22"/>
      <c r="D173" s="21"/>
      <c r="E173" s="21"/>
      <c r="F173" s="21"/>
      <c r="H173" s="21"/>
      <c r="K173" s="21"/>
      <c r="L173" s="23"/>
    </row>
    <row r="174" spans="1:12">
      <c r="A174" s="22"/>
      <c r="D174" s="21"/>
      <c r="E174" s="21"/>
      <c r="F174" s="21"/>
      <c r="H174" s="21"/>
      <c r="K174" s="21"/>
      <c r="L174" s="23"/>
    </row>
    <row r="175" spans="1:12">
      <c r="A175" s="22"/>
      <c r="D175" s="21"/>
      <c r="E175" s="21"/>
      <c r="F175" s="21"/>
      <c r="H175" s="21"/>
      <c r="K175" s="21"/>
      <c r="L175" s="23"/>
    </row>
    <row r="176" spans="1:12">
      <c r="A176" s="22"/>
      <c r="D176" s="21"/>
      <c r="E176" s="21"/>
      <c r="F176" s="21"/>
      <c r="H176" s="21"/>
      <c r="K176" s="21"/>
      <c r="L176" s="23"/>
    </row>
    <row r="177" spans="1:12">
      <c r="A177" s="22"/>
      <c r="D177" s="21"/>
      <c r="E177" s="21"/>
      <c r="F177" s="21"/>
      <c r="H177" s="21"/>
      <c r="K177" s="21"/>
      <c r="L177" s="23"/>
    </row>
    <row r="178" spans="1:12">
      <c r="A178" s="22"/>
      <c r="D178" s="21"/>
      <c r="E178" s="21"/>
      <c r="F178" s="21"/>
      <c r="H178" s="21"/>
      <c r="K178" s="21"/>
      <c r="L178" s="23"/>
    </row>
    <row r="179" spans="1:12">
      <c r="A179" s="22"/>
      <c r="D179" s="21"/>
      <c r="E179" s="21"/>
      <c r="F179" s="21"/>
      <c r="H179" s="21"/>
      <c r="K179" s="21"/>
      <c r="L179" s="23"/>
    </row>
    <row r="180" spans="1:12">
      <c r="A180" s="22"/>
      <c r="D180" s="21"/>
      <c r="E180" s="21"/>
      <c r="F180" s="21"/>
      <c r="H180" s="21"/>
      <c r="K180" s="21"/>
      <c r="L180" s="23"/>
    </row>
    <row r="181" spans="1:12">
      <c r="A181" s="22"/>
      <c r="D181" s="21"/>
      <c r="E181" s="21"/>
      <c r="F181" s="21"/>
      <c r="H181" s="21"/>
      <c r="K181" s="21"/>
      <c r="L181" s="23"/>
    </row>
    <row r="182" spans="1:12">
      <c r="A182" s="22"/>
      <c r="D182" s="21"/>
      <c r="E182" s="21"/>
      <c r="F182" s="21"/>
      <c r="H182" s="21"/>
      <c r="K182" s="21"/>
      <c r="L182" s="23"/>
    </row>
    <row r="183" spans="1:12">
      <c r="A183" s="22"/>
      <c r="D183" s="21"/>
      <c r="E183" s="21"/>
      <c r="F183" s="21"/>
      <c r="H183" s="21"/>
      <c r="K183" s="21"/>
      <c r="L183" s="23"/>
    </row>
    <row r="184" spans="1:12">
      <c r="A184" s="22"/>
      <c r="D184" s="21"/>
      <c r="E184" s="21"/>
      <c r="F184" s="21"/>
      <c r="H184" s="21"/>
      <c r="K184" s="21"/>
      <c r="L184" s="23"/>
    </row>
    <row r="185" spans="1:12">
      <c r="A185" s="22"/>
      <c r="D185" s="21"/>
      <c r="E185" s="21"/>
      <c r="F185" s="21"/>
      <c r="H185" s="21"/>
      <c r="K185" s="21"/>
      <c r="L185" s="23"/>
    </row>
    <row r="186" spans="1:12">
      <c r="A186" s="22"/>
      <c r="D186" s="21"/>
      <c r="E186" s="21"/>
      <c r="F186" s="21"/>
      <c r="H186" s="21"/>
      <c r="K186" s="21"/>
      <c r="L186" s="23"/>
    </row>
    <row r="187" spans="1:12">
      <c r="A187" s="22"/>
      <c r="D187" s="21"/>
      <c r="E187" s="21"/>
      <c r="F187" s="21"/>
      <c r="H187" s="21"/>
      <c r="K187" s="21"/>
      <c r="L187" s="23"/>
    </row>
    <row r="188" spans="1:12">
      <c r="A188" s="22"/>
      <c r="D188" s="21"/>
      <c r="E188" s="21"/>
      <c r="F188" s="21"/>
      <c r="H188" s="21"/>
      <c r="K188" s="21"/>
      <c r="L188" s="23"/>
    </row>
    <row r="189" spans="1:12">
      <c r="A189" s="22"/>
      <c r="D189" s="21"/>
      <c r="E189" s="21"/>
      <c r="F189" s="21"/>
      <c r="H189" s="21"/>
      <c r="K189" s="21"/>
      <c r="L189" s="23"/>
    </row>
    <row r="190" spans="1:12">
      <c r="A190" s="22"/>
      <c r="D190" s="21"/>
      <c r="E190" s="21"/>
      <c r="F190" s="21"/>
      <c r="H190" s="21"/>
      <c r="K190" s="21"/>
      <c r="L190" s="23"/>
    </row>
    <row r="191" spans="1:12">
      <c r="A191" s="22"/>
      <c r="D191" s="21"/>
      <c r="E191" s="21"/>
      <c r="F191" s="21"/>
      <c r="H191" s="21"/>
      <c r="K191" s="21"/>
      <c r="L191" s="23"/>
    </row>
    <row r="192" spans="1:12">
      <c r="A192" s="22"/>
      <c r="D192" s="21"/>
      <c r="E192" s="21"/>
      <c r="F192" s="21"/>
      <c r="H192" s="21"/>
      <c r="K192" s="21"/>
      <c r="L192" s="23"/>
    </row>
    <row r="193" spans="1:12">
      <c r="A193" s="22"/>
      <c r="D193" s="21"/>
      <c r="E193" s="21"/>
      <c r="F193" s="21"/>
      <c r="H193" s="21"/>
      <c r="K193" s="21"/>
      <c r="L193" s="23"/>
    </row>
    <row r="194" spans="1:12">
      <c r="A194" s="22"/>
      <c r="D194" s="21"/>
      <c r="E194" s="21"/>
      <c r="F194" s="21"/>
      <c r="H194" s="21"/>
      <c r="K194" s="21"/>
      <c r="L194" s="23"/>
    </row>
    <row r="195" spans="1:12">
      <c r="A195" s="22"/>
      <c r="D195" s="21"/>
      <c r="E195" s="21"/>
      <c r="F195" s="21"/>
      <c r="H195" s="21"/>
      <c r="K195" s="21"/>
      <c r="L195" s="23"/>
    </row>
    <row r="196" spans="1:12">
      <c r="A196" s="22"/>
      <c r="D196" s="21"/>
      <c r="E196" s="21"/>
      <c r="F196" s="21"/>
      <c r="H196" s="21"/>
      <c r="K196" s="21"/>
      <c r="L196" s="23"/>
    </row>
    <row r="197" spans="1:12">
      <c r="A197" s="22"/>
      <c r="D197" s="21"/>
      <c r="E197" s="21"/>
      <c r="F197" s="21"/>
      <c r="H197" s="21"/>
      <c r="K197" s="21"/>
      <c r="L197" s="23"/>
    </row>
    <row r="198" spans="1:12">
      <c r="A198" s="22"/>
      <c r="D198" s="21"/>
      <c r="E198" s="21"/>
      <c r="F198" s="21"/>
      <c r="H198" s="21"/>
      <c r="K198" s="21"/>
      <c r="L198" s="23"/>
    </row>
    <row r="199" spans="1:12">
      <c r="A199" s="22"/>
      <c r="D199" s="21"/>
      <c r="E199" s="21"/>
      <c r="F199" s="21"/>
      <c r="H199" s="21"/>
      <c r="K199" s="21"/>
      <c r="L199" s="23"/>
    </row>
    <row r="200" spans="1:12">
      <c r="A200" s="22"/>
      <c r="D200" s="21"/>
      <c r="E200" s="21"/>
      <c r="F200" s="21"/>
      <c r="H200" s="21"/>
      <c r="K200" s="21"/>
      <c r="L200" s="23"/>
    </row>
    <row r="201" spans="1:12">
      <c r="A201" s="22"/>
      <c r="D201" s="21"/>
      <c r="E201" s="21"/>
      <c r="F201" s="21"/>
      <c r="H201" s="21"/>
      <c r="K201" s="21"/>
      <c r="L201" s="23"/>
    </row>
    <row r="202" spans="1:12">
      <c r="A202" s="22"/>
      <c r="D202" s="21"/>
      <c r="E202" s="21"/>
      <c r="F202" s="21"/>
      <c r="H202" s="21"/>
      <c r="K202" s="21"/>
      <c r="L202" s="23"/>
    </row>
    <row r="203" spans="1:12">
      <c r="A203" s="22"/>
      <c r="D203" s="21"/>
      <c r="E203" s="21"/>
      <c r="F203" s="21"/>
      <c r="H203" s="21"/>
      <c r="K203" s="21"/>
      <c r="L203" s="23"/>
    </row>
    <row r="204" spans="1:12">
      <c r="A204" s="22"/>
      <c r="D204" s="21"/>
      <c r="E204" s="21"/>
      <c r="F204" s="21"/>
      <c r="H204" s="21"/>
      <c r="K204" s="21"/>
      <c r="L204" s="23"/>
    </row>
    <row r="205" spans="1:12">
      <c r="A205" s="22"/>
      <c r="D205" s="21"/>
      <c r="E205" s="21"/>
      <c r="F205" s="21"/>
      <c r="H205" s="21"/>
      <c r="K205" s="21"/>
      <c r="L205" s="23"/>
    </row>
    <row r="206" spans="1:12">
      <c r="A206" s="22"/>
      <c r="D206" s="21"/>
      <c r="E206" s="21"/>
      <c r="F206" s="21"/>
      <c r="H206" s="21"/>
      <c r="K206" s="21"/>
      <c r="L206" s="23"/>
    </row>
    <row r="207" spans="1:12">
      <c r="A207" s="22"/>
      <c r="D207" s="21"/>
      <c r="E207" s="21"/>
      <c r="F207" s="21"/>
      <c r="H207" s="21"/>
      <c r="K207" s="21"/>
      <c r="L207" s="23"/>
    </row>
    <row r="208" spans="1:12">
      <c r="A208" s="22"/>
      <c r="D208" s="21"/>
      <c r="E208" s="21"/>
      <c r="F208" s="21"/>
      <c r="H208" s="21"/>
      <c r="K208" s="21"/>
      <c r="L208" s="23"/>
    </row>
    <row r="209" spans="1:12">
      <c r="A209" s="22"/>
      <c r="D209" s="21"/>
      <c r="E209" s="21"/>
      <c r="F209" s="21"/>
      <c r="H209" s="21"/>
      <c r="K209" s="21"/>
      <c r="L209" s="23"/>
    </row>
    <row r="210" spans="1:12">
      <c r="A210" s="22"/>
      <c r="D210" s="21"/>
      <c r="E210" s="21"/>
      <c r="F210" s="21"/>
      <c r="H210" s="21"/>
      <c r="K210" s="21"/>
      <c r="L210" s="23"/>
    </row>
    <row r="211" spans="1:12">
      <c r="A211" s="22"/>
      <c r="D211" s="21"/>
      <c r="E211" s="21"/>
      <c r="F211" s="21"/>
      <c r="H211" s="21"/>
      <c r="K211" s="21"/>
      <c r="L211" s="23"/>
    </row>
    <row r="212" spans="1:12">
      <c r="A212" s="22"/>
      <c r="D212" s="21"/>
      <c r="E212" s="21"/>
      <c r="F212" s="21"/>
      <c r="H212" s="21"/>
      <c r="K212" s="21"/>
      <c r="L212" s="23"/>
    </row>
    <row r="213" spans="1:12">
      <c r="A213" s="22"/>
      <c r="D213" s="21"/>
      <c r="E213" s="21"/>
      <c r="F213" s="21"/>
      <c r="H213" s="21"/>
      <c r="K213" s="21"/>
      <c r="L213" s="23"/>
    </row>
    <row r="214" spans="1:12">
      <c r="A214" s="22"/>
      <c r="D214" s="21"/>
      <c r="E214" s="21"/>
      <c r="F214" s="21"/>
      <c r="H214" s="21"/>
      <c r="K214" s="21"/>
      <c r="L214" s="23"/>
    </row>
    <row r="215" spans="1:12">
      <c r="A215" s="22"/>
      <c r="D215" s="21"/>
      <c r="E215" s="21"/>
      <c r="F215" s="21"/>
      <c r="H215" s="21"/>
      <c r="K215" s="21"/>
      <c r="L215" s="23"/>
    </row>
    <row r="216" spans="1:12">
      <c r="A216" s="22"/>
      <c r="D216" s="21"/>
      <c r="E216" s="21"/>
      <c r="F216" s="21"/>
      <c r="H216" s="21"/>
      <c r="K216" s="21"/>
      <c r="L216" s="23"/>
    </row>
    <row r="217" spans="1:12">
      <c r="A217" s="22"/>
      <c r="D217" s="21"/>
      <c r="E217" s="21"/>
      <c r="F217" s="21"/>
      <c r="H217" s="21"/>
      <c r="K217" s="21"/>
      <c r="L217" s="23"/>
    </row>
    <row r="218" spans="1:12">
      <c r="A218" s="22"/>
      <c r="D218" s="21"/>
      <c r="E218" s="21"/>
      <c r="F218" s="21"/>
      <c r="H218" s="21"/>
      <c r="K218" s="21"/>
      <c r="L218" s="23"/>
    </row>
    <row r="219" spans="1:12">
      <c r="A219" s="22"/>
      <c r="D219" s="21"/>
      <c r="E219" s="21"/>
      <c r="F219" s="21"/>
      <c r="H219" s="21"/>
      <c r="K219" s="21"/>
      <c r="L219" s="23"/>
    </row>
    <row r="220" spans="1:12">
      <c r="A220" s="22"/>
      <c r="D220" s="21"/>
      <c r="E220" s="21"/>
      <c r="F220" s="21"/>
      <c r="H220" s="21"/>
      <c r="K220" s="21"/>
      <c r="L220" s="23"/>
    </row>
    <row r="221" spans="1:12">
      <c r="A221" s="22"/>
      <c r="D221" s="21"/>
      <c r="E221" s="21"/>
      <c r="F221" s="21"/>
      <c r="H221" s="21"/>
      <c r="K221" s="21"/>
      <c r="L221" s="23"/>
    </row>
    <row r="222" spans="1:12">
      <c r="A222" s="22"/>
      <c r="D222" s="21"/>
      <c r="E222" s="21"/>
      <c r="F222" s="21"/>
      <c r="H222" s="21"/>
      <c r="K222" s="21"/>
      <c r="L222" s="23"/>
    </row>
    <row r="223" spans="1:12">
      <c r="A223" s="22"/>
      <c r="D223" s="21"/>
      <c r="E223" s="21"/>
      <c r="F223" s="21"/>
      <c r="H223" s="21"/>
      <c r="K223" s="21"/>
      <c r="L223" s="23"/>
    </row>
    <row r="224" spans="1:12">
      <c r="A224" s="22"/>
      <c r="D224" s="21"/>
      <c r="E224" s="21"/>
      <c r="F224" s="21"/>
      <c r="H224" s="21"/>
      <c r="K224" s="21"/>
      <c r="L224" s="23"/>
    </row>
    <row r="225" spans="1:12">
      <c r="A225" s="22"/>
      <c r="D225" s="21"/>
      <c r="E225" s="21"/>
      <c r="F225" s="21"/>
      <c r="H225" s="21"/>
      <c r="K225" s="21"/>
      <c r="L225" s="23"/>
    </row>
    <row r="226" spans="1:12">
      <c r="A226" s="22"/>
      <c r="D226" s="21"/>
      <c r="E226" s="21"/>
      <c r="F226" s="21"/>
      <c r="H226" s="21"/>
      <c r="K226" s="21"/>
      <c r="L226" s="23"/>
    </row>
    <row r="227" spans="1:12">
      <c r="A227" s="22"/>
      <c r="D227" s="21"/>
      <c r="E227" s="21"/>
      <c r="F227" s="21"/>
      <c r="H227" s="21"/>
      <c r="K227" s="21"/>
      <c r="L227" s="23"/>
    </row>
    <row r="228" spans="1:12">
      <c r="A228" s="22"/>
      <c r="D228" s="21"/>
      <c r="E228" s="21"/>
      <c r="F228" s="21"/>
      <c r="H228" s="21"/>
      <c r="K228" s="21"/>
      <c r="L228" s="23"/>
    </row>
    <row r="229" spans="1:12">
      <c r="A229" s="22"/>
      <c r="D229" s="21"/>
      <c r="E229" s="21"/>
      <c r="F229" s="21"/>
      <c r="H229" s="21"/>
      <c r="K229" s="21"/>
      <c r="L229" s="23"/>
    </row>
    <row r="230" spans="1:12">
      <c r="A230" s="22"/>
      <c r="D230" s="21"/>
      <c r="E230" s="21"/>
      <c r="F230" s="21"/>
      <c r="H230" s="21"/>
      <c r="K230" s="21"/>
      <c r="L230" s="23"/>
    </row>
    <row r="231" spans="1:12">
      <c r="A231" s="22"/>
      <c r="D231" s="21"/>
      <c r="E231" s="21"/>
      <c r="F231" s="21"/>
      <c r="H231" s="21"/>
      <c r="K231" s="21"/>
      <c r="L231" s="23"/>
    </row>
    <row r="232" spans="1:12">
      <c r="A232" s="22"/>
      <c r="D232" s="21"/>
      <c r="E232" s="21"/>
      <c r="F232" s="21"/>
      <c r="H232" s="21"/>
      <c r="K232" s="21"/>
      <c r="L232" s="23"/>
    </row>
    <row r="233" spans="1:12">
      <c r="A233" s="22"/>
      <c r="D233" s="21"/>
      <c r="E233" s="21"/>
      <c r="F233" s="21"/>
      <c r="H233" s="21"/>
      <c r="K233" s="21"/>
      <c r="L233" s="23"/>
    </row>
    <row r="234" spans="1:12">
      <c r="A234" s="22"/>
      <c r="D234" s="21"/>
      <c r="E234" s="21"/>
      <c r="F234" s="21"/>
      <c r="H234" s="21"/>
      <c r="K234" s="21"/>
      <c r="L234" s="23"/>
    </row>
    <row r="235" spans="1:12">
      <c r="A235" s="22"/>
      <c r="D235" s="21"/>
      <c r="E235" s="21"/>
      <c r="F235" s="21"/>
      <c r="H235" s="21"/>
      <c r="K235" s="21"/>
      <c r="L235" s="23"/>
    </row>
    <row r="236" spans="1:12">
      <c r="A236" s="22"/>
      <c r="D236" s="21"/>
      <c r="E236" s="21"/>
      <c r="F236" s="21"/>
      <c r="H236" s="21"/>
      <c r="K236" s="21"/>
      <c r="L236" s="23"/>
    </row>
    <row r="237" spans="1:12">
      <c r="A237" s="22"/>
      <c r="D237" s="21"/>
      <c r="E237" s="21"/>
      <c r="F237" s="21"/>
      <c r="H237" s="21"/>
      <c r="K237" s="21"/>
      <c r="L237" s="23"/>
    </row>
    <row r="238" spans="1:12">
      <c r="A238" s="22"/>
      <c r="D238" s="21"/>
      <c r="E238" s="21"/>
      <c r="F238" s="21"/>
      <c r="H238" s="21"/>
      <c r="K238" s="21"/>
      <c r="L238" s="23"/>
    </row>
    <row r="239" spans="1:12">
      <c r="A239" s="22"/>
      <c r="D239" s="21"/>
      <c r="E239" s="21"/>
      <c r="F239" s="21"/>
      <c r="H239" s="21"/>
      <c r="K239" s="21"/>
      <c r="L239" s="23"/>
    </row>
    <row r="240" spans="1:12">
      <c r="A240" s="22"/>
      <c r="D240" s="21"/>
      <c r="E240" s="21"/>
      <c r="F240" s="21"/>
      <c r="H240" s="21"/>
      <c r="K240" s="21"/>
      <c r="L240" s="23"/>
    </row>
    <row r="241" spans="1:12">
      <c r="A241" s="22"/>
      <c r="D241" s="21"/>
      <c r="E241" s="21"/>
      <c r="F241" s="21"/>
      <c r="H241" s="21"/>
      <c r="K241" s="21"/>
      <c r="L241" s="23"/>
    </row>
    <row r="242" spans="1:12">
      <c r="A242" s="22"/>
      <c r="D242" s="21"/>
      <c r="E242" s="21"/>
      <c r="F242" s="21"/>
      <c r="H242" s="21"/>
      <c r="K242" s="21"/>
      <c r="L242" s="23"/>
    </row>
    <row r="243" spans="1:12">
      <c r="A243" s="22"/>
      <c r="D243" s="21"/>
      <c r="E243" s="21"/>
      <c r="F243" s="21"/>
      <c r="H243" s="21"/>
      <c r="K243" s="21"/>
      <c r="L243" s="23"/>
    </row>
    <row r="244" spans="1:12">
      <c r="A244" s="22"/>
      <c r="D244" s="21"/>
      <c r="E244" s="21"/>
      <c r="F244" s="21"/>
      <c r="H244" s="21"/>
      <c r="K244" s="21"/>
      <c r="L244" s="23"/>
    </row>
    <row r="245" spans="1:12">
      <c r="A245" s="22"/>
      <c r="D245" s="21"/>
      <c r="E245" s="21"/>
      <c r="F245" s="21"/>
      <c r="H245" s="21"/>
      <c r="K245" s="21"/>
      <c r="L245" s="23"/>
    </row>
    <row r="246" spans="1:12">
      <c r="A246" s="22"/>
      <c r="D246" s="21"/>
      <c r="E246" s="21"/>
      <c r="F246" s="21"/>
      <c r="H246" s="21"/>
      <c r="K246" s="21"/>
      <c r="L246" s="23"/>
    </row>
    <row r="247" spans="1:12">
      <c r="A247" s="22"/>
      <c r="D247" s="21"/>
      <c r="E247" s="21"/>
      <c r="F247" s="21"/>
      <c r="H247" s="21"/>
      <c r="K247" s="21"/>
      <c r="L247" s="23"/>
    </row>
    <row r="248" spans="1:12">
      <c r="A248" s="22"/>
      <c r="D248" s="21"/>
      <c r="E248" s="21"/>
      <c r="F248" s="21"/>
      <c r="H248" s="21"/>
      <c r="K248" s="21"/>
      <c r="L248" s="23"/>
    </row>
    <row r="249" spans="1:12">
      <c r="A249" s="22"/>
      <c r="D249" s="21"/>
      <c r="E249" s="21"/>
      <c r="F249" s="21"/>
      <c r="H249" s="21"/>
      <c r="K249" s="21"/>
      <c r="L249" s="23"/>
    </row>
    <row r="250" spans="1:12">
      <c r="A250" s="22"/>
      <c r="D250" s="21"/>
      <c r="E250" s="21"/>
      <c r="F250" s="21"/>
      <c r="H250" s="21"/>
      <c r="K250" s="21"/>
      <c r="L250" s="23"/>
    </row>
    <row r="251" spans="1:12">
      <c r="A251" s="22"/>
      <c r="D251" s="21"/>
      <c r="E251" s="21"/>
      <c r="F251" s="21"/>
      <c r="H251" s="21"/>
      <c r="K251" s="21"/>
      <c r="L251" s="23"/>
    </row>
    <row r="252" spans="1:12">
      <c r="A252" s="22"/>
      <c r="D252" s="21"/>
      <c r="E252" s="21"/>
      <c r="F252" s="21"/>
      <c r="H252" s="21"/>
      <c r="K252" s="21"/>
      <c r="L252" s="23"/>
    </row>
    <row r="253" spans="1:12">
      <c r="A253" s="22"/>
      <c r="D253" s="21"/>
      <c r="E253" s="21"/>
      <c r="F253" s="21"/>
      <c r="H253" s="21"/>
      <c r="K253" s="21"/>
      <c r="L253" s="23"/>
    </row>
    <row r="254" spans="1:12">
      <c r="A254" s="22"/>
      <c r="D254" s="21"/>
      <c r="E254" s="21"/>
      <c r="F254" s="21"/>
      <c r="H254" s="21"/>
      <c r="K254" s="21"/>
      <c r="L254" s="23"/>
    </row>
    <row r="255" spans="1:12">
      <c r="A255" s="22"/>
      <c r="D255" s="21"/>
      <c r="E255" s="21"/>
      <c r="F255" s="21"/>
      <c r="H255" s="21"/>
      <c r="K255" s="21"/>
      <c r="L255" s="23"/>
    </row>
    <row r="256" spans="1:12">
      <c r="A256" s="22"/>
      <c r="D256" s="21"/>
      <c r="E256" s="21"/>
      <c r="F256" s="21"/>
      <c r="H256" s="21"/>
      <c r="K256" s="21"/>
      <c r="L256" s="23"/>
    </row>
    <row r="257" spans="1:12">
      <c r="A257" s="22"/>
      <c r="D257" s="21"/>
      <c r="E257" s="21"/>
      <c r="F257" s="21"/>
      <c r="H257" s="21"/>
      <c r="K257" s="21"/>
      <c r="L257" s="23"/>
    </row>
    <row r="258" spans="1:12">
      <c r="A258" s="22"/>
      <c r="D258" s="21"/>
      <c r="E258" s="21"/>
      <c r="F258" s="21"/>
      <c r="H258" s="21"/>
      <c r="K258" s="21"/>
      <c r="L258" s="23"/>
    </row>
    <row r="259" spans="1:12">
      <c r="A259" s="22"/>
      <c r="D259" s="21"/>
      <c r="E259" s="21"/>
      <c r="F259" s="21"/>
      <c r="H259" s="21"/>
      <c r="K259" s="21"/>
      <c r="L259" s="23"/>
    </row>
    <row r="260" spans="1:12">
      <c r="A260" s="22"/>
      <c r="D260" s="21"/>
      <c r="E260" s="21"/>
      <c r="F260" s="21"/>
      <c r="H260" s="21"/>
      <c r="K260" s="21"/>
      <c r="L260" s="23"/>
    </row>
    <row r="261" spans="1:12">
      <c r="A261" s="22"/>
      <c r="D261" s="21"/>
      <c r="E261" s="21"/>
      <c r="F261" s="21"/>
      <c r="H261" s="21"/>
      <c r="K261" s="21"/>
      <c r="L261" s="23"/>
    </row>
    <row r="262" spans="1:12">
      <c r="A262" s="22"/>
      <c r="D262" s="21"/>
      <c r="E262" s="21"/>
      <c r="F262" s="21"/>
      <c r="H262" s="21"/>
      <c r="K262" s="21"/>
      <c r="L262" s="23"/>
    </row>
    <row r="263" spans="1:12">
      <c r="A263" s="22"/>
      <c r="D263" s="21"/>
      <c r="E263" s="21"/>
      <c r="F263" s="21"/>
      <c r="H263" s="21"/>
      <c r="K263" s="21"/>
      <c r="L263" s="23"/>
    </row>
    <row r="264" spans="1:12">
      <c r="A264" s="22"/>
      <c r="D264" s="21"/>
      <c r="E264" s="21"/>
      <c r="F264" s="21"/>
      <c r="H264" s="21"/>
      <c r="K264" s="21"/>
      <c r="L264" s="23"/>
    </row>
    <row r="265" spans="1:12">
      <c r="A265" s="22"/>
      <c r="D265" s="21"/>
      <c r="E265" s="21"/>
      <c r="F265" s="21"/>
      <c r="H265" s="21"/>
      <c r="K265" s="21"/>
      <c r="L265" s="23"/>
    </row>
    <row r="266" spans="1:12">
      <c r="A266" s="22"/>
      <c r="D266" s="21"/>
      <c r="E266" s="21"/>
      <c r="F266" s="21"/>
      <c r="H266" s="21"/>
      <c r="K266" s="21"/>
      <c r="L266" s="23"/>
    </row>
    <row r="267" spans="1:12">
      <c r="A267" s="22"/>
      <c r="D267" s="21"/>
      <c r="E267" s="21"/>
      <c r="F267" s="21"/>
      <c r="H267" s="21"/>
      <c r="K267" s="21"/>
      <c r="L267" s="23"/>
    </row>
    <row r="268" spans="1:12">
      <c r="A268" s="22"/>
      <c r="D268" s="21"/>
      <c r="E268" s="21"/>
      <c r="F268" s="21"/>
      <c r="H268" s="21"/>
      <c r="K268" s="21"/>
      <c r="L268" s="23"/>
    </row>
    <row r="269" spans="1:12">
      <c r="A269" s="22"/>
      <c r="D269" s="21"/>
      <c r="E269" s="21"/>
      <c r="F269" s="21"/>
      <c r="H269" s="21"/>
      <c r="K269" s="21"/>
      <c r="L269" s="23"/>
    </row>
    <row r="270" spans="1:12">
      <c r="A270" s="22"/>
      <c r="D270" s="21"/>
      <c r="E270" s="21"/>
      <c r="F270" s="21"/>
      <c r="H270" s="21"/>
      <c r="K270" s="21"/>
      <c r="L270" s="23"/>
    </row>
    <row r="271" spans="1:12">
      <c r="A271" s="22"/>
      <c r="D271" s="21"/>
      <c r="E271" s="21"/>
      <c r="F271" s="21"/>
      <c r="H271" s="21"/>
      <c r="K271" s="21"/>
      <c r="L271" s="23"/>
    </row>
    <row r="272" spans="1:12">
      <c r="A272" s="22"/>
      <c r="D272" s="21"/>
      <c r="E272" s="21"/>
      <c r="F272" s="21"/>
      <c r="H272" s="21"/>
      <c r="K272" s="21"/>
      <c r="L272" s="23"/>
    </row>
    <row r="273" spans="1:12">
      <c r="A273" s="22"/>
      <c r="D273" s="21"/>
      <c r="E273" s="21"/>
      <c r="F273" s="21"/>
      <c r="H273" s="21"/>
      <c r="K273" s="21"/>
      <c r="L273" s="23"/>
    </row>
    <row r="274" spans="1:12">
      <c r="A274" s="22"/>
      <c r="D274" s="21"/>
      <c r="E274" s="21"/>
      <c r="F274" s="21"/>
      <c r="H274" s="21"/>
      <c r="K274" s="21"/>
      <c r="L274" s="23"/>
    </row>
    <row r="275" spans="1:12">
      <c r="A275" s="22"/>
      <c r="D275" s="21"/>
      <c r="E275" s="21"/>
      <c r="F275" s="21"/>
      <c r="H275" s="21"/>
      <c r="K275" s="21"/>
      <c r="L275" s="23"/>
    </row>
    <row r="276" spans="1:12">
      <c r="A276" s="22"/>
      <c r="D276" s="21"/>
      <c r="E276" s="21"/>
      <c r="F276" s="21"/>
      <c r="H276" s="21"/>
      <c r="K276" s="21"/>
      <c r="L276" s="23"/>
    </row>
    <row r="277" spans="1:12">
      <c r="A277" s="22"/>
      <c r="D277" s="21"/>
      <c r="E277" s="21"/>
      <c r="F277" s="21"/>
      <c r="H277" s="21"/>
      <c r="K277" s="21"/>
      <c r="L277" s="23"/>
    </row>
    <row r="278" spans="1:12">
      <c r="A278" s="22"/>
      <c r="D278" s="21"/>
      <c r="E278" s="21"/>
      <c r="F278" s="21"/>
      <c r="H278" s="21"/>
      <c r="K278" s="21"/>
      <c r="L278" s="23"/>
    </row>
    <row r="279" spans="1:12">
      <c r="A279" s="22"/>
      <c r="D279" s="21"/>
      <c r="E279" s="21"/>
      <c r="F279" s="21"/>
      <c r="H279" s="21"/>
      <c r="K279" s="21"/>
      <c r="L279" s="23"/>
    </row>
    <row r="280" spans="1:12">
      <c r="A280" s="22"/>
      <c r="D280" s="21"/>
      <c r="E280" s="21"/>
      <c r="F280" s="21"/>
      <c r="H280" s="21"/>
      <c r="K280" s="21"/>
      <c r="L280" s="23"/>
    </row>
    <row r="281" spans="1:12">
      <c r="A281" s="22"/>
      <c r="D281" s="21"/>
      <c r="E281" s="21"/>
      <c r="F281" s="21"/>
      <c r="H281" s="21"/>
      <c r="K281" s="21"/>
      <c r="L281" s="23"/>
    </row>
    <row r="282" spans="1:12">
      <c r="A282" s="22"/>
      <c r="D282" s="21"/>
      <c r="E282" s="21"/>
      <c r="F282" s="21"/>
      <c r="H282" s="21"/>
      <c r="K282" s="21"/>
      <c r="L282" s="23"/>
    </row>
    <row r="283" spans="1:12">
      <c r="A283" s="22"/>
      <c r="D283" s="21"/>
      <c r="E283" s="21"/>
      <c r="F283" s="21"/>
      <c r="H283" s="21"/>
      <c r="K283" s="21"/>
      <c r="L283" s="23"/>
    </row>
    <row r="284" spans="1:12">
      <c r="A284" s="22"/>
      <c r="D284" s="21"/>
      <c r="E284" s="21"/>
      <c r="F284" s="21"/>
      <c r="H284" s="21"/>
      <c r="K284" s="21"/>
      <c r="L284" s="23"/>
    </row>
    <row r="285" spans="1:12">
      <c r="A285" s="22"/>
      <c r="D285" s="21"/>
      <c r="E285" s="21"/>
      <c r="F285" s="21"/>
      <c r="H285" s="21"/>
      <c r="K285" s="21"/>
      <c r="L285" s="23"/>
    </row>
    <row r="286" spans="1:12">
      <c r="A286" s="22"/>
      <c r="D286" s="21"/>
      <c r="E286" s="21"/>
      <c r="F286" s="21"/>
      <c r="H286" s="21"/>
      <c r="K286" s="21"/>
      <c r="L286" s="23"/>
    </row>
    <row r="287" spans="1:12">
      <c r="A287" s="22"/>
      <c r="D287" s="21"/>
      <c r="E287" s="21"/>
      <c r="F287" s="21"/>
      <c r="H287" s="21"/>
      <c r="K287" s="21"/>
      <c r="L287" s="23"/>
    </row>
    <row r="288" spans="1:12">
      <c r="A288" s="22"/>
      <c r="D288" s="21"/>
      <c r="E288" s="21"/>
      <c r="F288" s="21"/>
      <c r="H288" s="21"/>
      <c r="K288" s="21"/>
      <c r="L288" s="23"/>
    </row>
    <row r="289" spans="1:12">
      <c r="A289" s="22"/>
      <c r="D289" s="21"/>
      <c r="E289" s="21"/>
      <c r="F289" s="21"/>
      <c r="H289" s="21"/>
      <c r="K289" s="21"/>
      <c r="L289" s="23"/>
    </row>
    <row r="290" spans="1:12">
      <c r="A290" s="22"/>
      <c r="D290" s="21"/>
      <c r="E290" s="21"/>
      <c r="F290" s="21"/>
      <c r="H290" s="21"/>
      <c r="K290" s="21"/>
      <c r="L290" s="23"/>
    </row>
    <row r="291" spans="1:12">
      <c r="A291" s="22"/>
      <c r="D291" s="21"/>
      <c r="E291" s="21"/>
      <c r="F291" s="21"/>
      <c r="H291" s="21"/>
      <c r="K291" s="21"/>
      <c r="L291" s="23"/>
    </row>
    <row r="292" spans="1:12">
      <c r="A292" s="22"/>
      <c r="D292" s="21"/>
      <c r="E292" s="21"/>
      <c r="F292" s="21"/>
      <c r="H292" s="21"/>
      <c r="K292" s="21"/>
      <c r="L292" s="23"/>
    </row>
    <row r="293" spans="1:12">
      <c r="A293" s="22"/>
      <c r="D293" s="21"/>
      <c r="E293" s="21"/>
      <c r="F293" s="21"/>
      <c r="H293" s="21"/>
      <c r="K293" s="21"/>
      <c r="L293" s="23"/>
    </row>
    <row r="294" spans="1:12">
      <c r="A294" s="22"/>
      <c r="D294" s="21"/>
      <c r="E294" s="21"/>
      <c r="F294" s="21"/>
      <c r="H294" s="21"/>
      <c r="K294" s="21"/>
      <c r="L294" s="23"/>
    </row>
    <row r="295" spans="1:12">
      <c r="A295" s="22"/>
      <c r="D295" s="21"/>
      <c r="E295" s="21"/>
      <c r="F295" s="21"/>
      <c r="H295" s="21"/>
      <c r="K295" s="21"/>
      <c r="L295" s="23"/>
    </row>
    <row r="296" spans="1:12">
      <c r="A296" s="22"/>
      <c r="D296" s="21"/>
      <c r="E296" s="21"/>
      <c r="F296" s="21"/>
      <c r="H296" s="21"/>
      <c r="K296" s="21"/>
      <c r="L296" s="23"/>
    </row>
    <row r="297" spans="1:12">
      <c r="A297" s="22"/>
      <c r="D297" s="21"/>
      <c r="E297" s="21"/>
      <c r="F297" s="21"/>
      <c r="H297" s="21"/>
      <c r="K297" s="21"/>
      <c r="L297" s="23"/>
    </row>
    <row r="298" spans="1:12">
      <c r="A298" s="22"/>
      <c r="D298" s="21"/>
      <c r="E298" s="21"/>
      <c r="F298" s="21"/>
      <c r="H298" s="21"/>
      <c r="K298" s="21"/>
      <c r="L298" s="23"/>
    </row>
    <row r="299" spans="1:12">
      <c r="A299" s="22"/>
      <c r="D299" s="21"/>
      <c r="E299" s="21"/>
      <c r="F299" s="21"/>
      <c r="H299" s="21"/>
      <c r="K299" s="21"/>
      <c r="L299" s="23"/>
    </row>
    <row r="300" spans="1:12">
      <c r="A300" s="22"/>
      <c r="D300" s="21"/>
      <c r="E300" s="21"/>
      <c r="F300" s="21"/>
      <c r="H300" s="21"/>
      <c r="K300" s="21"/>
      <c r="L300" s="23"/>
    </row>
    <row r="301" spans="1:12">
      <c r="A301" s="22"/>
      <c r="D301" s="21"/>
      <c r="E301" s="21"/>
      <c r="F301" s="21"/>
      <c r="H301" s="21"/>
      <c r="K301" s="21"/>
      <c r="L301" s="23"/>
    </row>
    <row r="302" spans="1:12">
      <c r="A302" s="22"/>
      <c r="D302" s="21"/>
      <c r="E302" s="21"/>
      <c r="F302" s="21"/>
      <c r="H302" s="21"/>
      <c r="K302" s="21"/>
      <c r="L302" s="23"/>
    </row>
    <row r="303" spans="1:12">
      <c r="A303" s="22"/>
      <c r="D303" s="21"/>
      <c r="E303" s="21"/>
      <c r="F303" s="21"/>
      <c r="H303" s="21"/>
      <c r="K303" s="21"/>
      <c r="L303" s="23"/>
    </row>
    <row r="304" spans="1:12">
      <c r="A304" s="22"/>
      <c r="D304" s="21"/>
      <c r="E304" s="21"/>
      <c r="F304" s="21"/>
      <c r="H304" s="21"/>
      <c r="K304" s="21"/>
      <c r="L304" s="23"/>
    </row>
    <row r="305" spans="1:12">
      <c r="A305" s="22"/>
      <c r="D305" s="21"/>
      <c r="E305" s="21"/>
      <c r="F305" s="21"/>
      <c r="H305" s="21"/>
      <c r="K305" s="21"/>
      <c r="L305" s="23"/>
    </row>
    <row r="306" spans="1:12">
      <c r="A306" s="22"/>
      <c r="D306" s="21"/>
      <c r="E306" s="21"/>
      <c r="F306" s="21"/>
      <c r="H306" s="21"/>
      <c r="K306" s="21"/>
      <c r="L306" s="23"/>
    </row>
    <row r="307" spans="1:12">
      <c r="A307" s="22"/>
      <c r="D307" s="21"/>
      <c r="E307" s="21"/>
      <c r="F307" s="21"/>
      <c r="H307" s="21"/>
      <c r="K307" s="21"/>
      <c r="L307" s="23"/>
    </row>
    <row r="308" spans="1:12">
      <c r="A308" s="22"/>
      <c r="D308" s="21"/>
      <c r="E308" s="21"/>
      <c r="F308" s="21"/>
      <c r="H308" s="21"/>
      <c r="K308" s="21"/>
      <c r="L308" s="23"/>
    </row>
    <row r="309" spans="1:12">
      <c r="A309" s="22"/>
      <c r="D309" s="21"/>
      <c r="E309" s="21"/>
      <c r="F309" s="21"/>
      <c r="H309" s="21"/>
      <c r="K309" s="21"/>
      <c r="L309" s="23"/>
    </row>
    <row r="310" spans="1:12">
      <c r="A310" s="22"/>
      <c r="D310" s="21"/>
      <c r="E310" s="21"/>
      <c r="F310" s="21"/>
      <c r="H310" s="21"/>
      <c r="K310" s="21"/>
      <c r="L310" s="23"/>
    </row>
    <row r="311" spans="1:12">
      <c r="A311" s="22"/>
      <c r="D311" s="21"/>
      <c r="E311" s="21"/>
      <c r="F311" s="21"/>
      <c r="H311" s="21"/>
      <c r="K311" s="21"/>
      <c r="L311" s="23"/>
    </row>
    <row r="312" spans="1:12">
      <c r="A312" s="22"/>
      <c r="D312" s="21"/>
      <c r="E312" s="21"/>
      <c r="F312" s="21"/>
      <c r="H312" s="21"/>
      <c r="K312" s="21"/>
      <c r="L312" s="23"/>
    </row>
    <row r="313" spans="1:12">
      <c r="A313" s="22"/>
      <c r="D313" s="21"/>
      <c r="E313" s="21"/>
      <c r="F313" s="21"/>
      <c r="H313" s="21"/>
      <c r="K313" s="21"/>
      <c r="L313" s="23"/>
    </row>
    <row r="314" spans="1:12">
      <c r="A314" s="22"/>
      <c r="D314" s="21"/>
      <c r="E314" s="21"/>
      <c r="F314" s="21"/>
      <c r="H314" s="21"/>
      <c r="K314" s="21"/>
      <c r="L314" s="23"/>
    </row>
    <row r="315" spans="1:12">
      <c r="A315" s="22"/>
      <c r="D315" s="21"/>
      <c r="E315" s="21"/>
      <c r="F315" s="21"/>
      <c r="H315" s="21"/>
      <c r="K315" s="21"/>
      <c r="L315" s="23"/>
    </row>
    <row r="316" spans="1:12">
      <c r="A316" s="22"/>
      <c r="D316" s="21"/>
      <c r="E316" s="21"/>
      <c r="F316" s="21"/>
      <c r="H316" s="21"/>
      <c r="K316" s="21"/>
      <c r="L316" s="23"/>
    </row>
    <row r="317" spans="1:12">
      <c r="A317" s="22"/>
      <c r="D317" s="21"/>
      <c r="E317" s="21"/>
      <c r="F317" s="21"/>
      <c r="H317" s="21"/>
      <c r="K317" s="21"/>
      <c r="L317" s="23"/>
    </row>
    <row r="318" spans="1:12">
      <c r="A318" s="22"/>
      <c r="D318" s="21"/>
      <c r="E318" s="21"/>
      <c r="F318" s="21"/>
      <c r="H318" s="21"/>
      <c r="K318" s="21"/>
      <c r="L318" s="23"/>
    </row>
    <row r="319" spans="1:12">
      <c r="A319" s="22"/>
      <c r="D319" s="21"/>
      <c r="E319" s="21"/>
      <c r="F319" s="21"/>
      <c r="H319" s="21"/>
      <c r="K319" s="21"/>
      <c r="L319" s="23"/>
    </row>
    <row r="320" spans="1:12">
      <c r="A320" s="22"/>
      <c r="D320" s="21"/>
      <c r="E320" s="21"/>
      <c r="F320" s="21"/>
      <c r="H320" s="21"/>
      <c r="K320" s="21"/>
      <c r="L320" s="23"/>
    </row>
    <row r="321" spans="1:12">
      <c r="A321" s="22"/>
      <c r="D321" s="21"/>
      <c r="E321" s="21"/>
      <c r="F321" s="21"/>
      <c r="H321" s="21"/>
      <c r="K321" s="21"/>
      <c r="L321" s="23"/>
    </row>
    <row r="322" spans="1:12">
      <c r="A322" s="22"/>
      <c r="D322" s="21"/>
      <c r="E322" s="21"/>
      <c r="F322" s="21"/>
      <c r="H322" s="21"/>
      <c r="K322" s="21"/>
      <c r="L322" s="23"/>
    </row>
    <row r="323" spans="1:12">
      <c r="A323" s="22"/>
      <c r="D323" s="21"/>
      <c r="E323" s="21"/>
      <c r="F323" s="21"/>
      <c r="H323" s="21"/>
      <c r="K323" s="21"/>
      <c r="L323" s="23"/>
    </row>
    <row r="324" spans="1:12">
      <c r="A324" s="22"/>
      <c r="D324" s="21"/>
      <c r="E324" s="21"/>
      <c r="F324" s="21"/>
      <c r="H324" s="21"/>
      <c r="K324" s="21"/>
      <c r="L324" s="23"/>
    </row>
    <row r="325" spans="1:12">
      <c r="A325" s="22"/>
      <c r="D325" s="21"/>
      <c r="E325" s="21"/>
      <c r="F325" s="21"/>
      <c r="H325" s="21"/>
      <c r="K325" s="21"/>
      <c r="L325" s="23"/>
    </row>
    <row r="326" spans="1:12">
      <c r="A326" s="22"/>
      <c r="D326" s="21"/>
      <c r="E326" s="21"/>
      <c r="F326" s="21"/>
      <c r="H326" s="21"/>
      <c r="K326" s="21"/>
      <c r="L326" s="23"/>
    </row>
    <row r="327" spans="1:12">
      <c r="A327" s="22"/>
      <c r="D327" s="21"/>
      <c r="E327" s="21"/>
      <c r="F327" s="21"/>
      <c r="H327" s="21"/>
      <c r="K327" s="21"/>
      <c r="L327" s="23"/>
    </row>
    <row r="328" spans="1:12">
      <c r="A328" s="22"/>
      <c r="D328" s="21"/>
      <c r="E328" s="21"/>
      <c r="F328" s="21"/>
      <c r="H328" s="21"/>
      <c r="K328" s="21"/>
      <c r="L328" s="23"/>
    </row>
    <row r="329" spans="1:12">
      <c r="A329" s="22"/>
      <c r="D329" s="21"/>
      <c r="E329" s="21"/>
      <c r="F329" s="21"/>
      <c r="H329" s="21"/>
      <c r="K329" s="21"/>
      <c r="L329" s="23"/>
    </row>
    <row r="330" spans="1:12">
      <c r="A330" s="22"/>
      <c r="D330" s="21"/>
      <c r="E330" s="21"/>
      <c r="F330" s="21"/>
      <c r="H330" s="21"/>
      <c r="K330" s="21"/>
      <c r="L330" s="23"/>
    </row>
    <row r="331" spans="1:12">
      <c r="A331" s="22"/>
      <c r="D331" s="21"/>
      <c r="E331" s="21"/>
      <c r="F331" s="21"/>
      <c r="H331" s="21"/>
      <c r="K331" s="21"/>
      <c r="L331" s="23"/>
    </row>
    <row r="332" spans="1:12">
      <c r="A332" s="22"/>
      <c r="D332" s="21"/>
      <c r="E332" s="21"/>
      <c r="F332" s="21"/>
      <c r="H332" s="21"/>
      <c r="K332" s="21"/>
      <c r="L332" s="23"/>
    </row>
    <row r="333" spans="1:12">
      <c r="A333" s="22"/>
      <c r="D333" s="21"/>
      <c r="E333" s="21"/>
      <c r="F333" s="21"/>
      <c r="H333" s="21"/>
      <c r="K333" s="21"/>
      <c r="L333" s="23"/>
    </row>
    <row r="334" spans="1:12">
      <c r="A334" s="22"/>
      <c r="D334" s="21"/>
      <c r="E334" s="21"/>
      <c r="F334" s="21"/>
      <c r="H334" s="21"/>
      <c r="K334" s="21"/>
      <c r="L334" s="23"/>
    </row>
    <row r="335" spans="1:12">
      <c r="A335" s="22"/>
      <c r="D335" s="21"/>
      <c r="E335" s="21"/>
      <c r="F335" s="21"/>
      <c r="H335" s="21"/>
      <c r="K335" s="21"/>
      <c r="L335" s="23"/>
    </row>
    <row r="336" spans="1:12">
      <c r="A336" s="22"/>
      <c r="D336" s="21"/>
      <c r="E336" s="21"/>
      <c r="F336" s="21"/>
      <c r="H336" s="21"/>
      <c r="K336" s="21"/>
      <c r="L336" s="23"/>
    </row>
    <row r="337" spans="1:12">
      <c r="A337" s="22"/>
      <c r="D337" s="21"/>
      <c r="E337" s="21"/>
      <c r="F337" s="21"/>
      <c r="H337" s="21"/>
      <c r="K337" s="21"/>
      <c r="L337" s="23"/>
    </row>
    <row r="338" spans="1:12">
      <c r="A338" s="22"/>
      <c r="D338" s="21"/>
      <c r="E338" s="21"/>
      <c r="F338" s="21"/>
      <c r="H338" s="21"/>
      <c r="K338" s="21"/>
      <c r="L338" s="23"/>
    </row>
    <row r="339" spans="1:12">
      <c r="A339" s="22"/>
      <c r="D339" s="21"/>
      <c r="E339" s="21"/>
      <c r="F339" s="21"/>
      <c r="H339" s="21"/>
      <c r="K339" s="21"/>
      <c r="L339" s="23"/>
    </row>
    <row r="340" spans="1:12">
      <c r="A340" s="22"/>
      <c r="D340" s="21"/>
      <c r="E340" s="21"/>
      <c r="F340" s="21"/>
      <c r="H340" s="21"/>
      <c r="K340" s="21"/>
      <c r="L340" s="23"/>
    </row>
    <row r="341" spans="1:12">
      <c r="A341" s="22"/>
      <c r="D341" s="21"/>
      <c r="E341" s="21"/>
      <c r="F341" s="21"/>
      <c r="H341" s="21"/>
      <c r="K341" s="21"/>
      <c r="L341" s="23"/>
    </row>
    <row r="342" spans="1:12">
      <c r="A342" s="22"/>
      <c r="D342" s="21"/>
      <c r="E342" s="21"/>
      <c r="F342" s="21"/>
      <c r="H342" s="21"/>
      <c r="K342" s="21"/>
      <c r="L342" s="23"/>
    </row>
    <row r="343" spans="1:12">
      <c r="A343" s="22"/>
      <c r="D343" s="21"/>
      <c r="E343" s="21"/>
      <c r="F343" s="21"/>
      <c r="H343" s="21"/>
      <c r="K343" s="21"/>
      <c r="L343" s="23"/>
    </row>
    <row r="344" spans="1:12">
      <c r="A344" s="22"/>
      <c r="D344" s="21"/>
      <c r="E344" s="21"/>
      <c r="F344" s="21"/>
      <c r="H344" s="21"/>
      <c r="K344" s="21"/>
      <c r="L344" s="23"/>
    </row>
    <row r="345" spans="1:12">
      <c r="A345" s="22"/>
      <c r="D345" s="21"/>
      <c r="E345" s="21"/>
      <c r="F345" s="21"/>
      <c r="H345" s="21"/>
      <c r="K345" s="21"/>
      <c r="L345" s="23"/>
    </row>
    <row r="346" spans="1:12">
      <c r="A346" s="22"/>
      <c r="D346" s="21"/>
      <c r="E346" s="21"/>
      <c r="F346" s="21"/>
      <c r="H346" s="21"/>
      <c r="K346" s="21"/>
      <c r="L346" s="23"/>
    </row>
    <row r="347" spans="1:12">
      <c r="A347" s="22"/>
      <c r="D347" s="21"/>
      <c r="E347" s="21"/>
      <c r="F347" s="21"/>
      <c r="H347" s="21"/>
      <c r="K347" s="21"/>
      <c r="L347" s="23"/>
    </row>
    <row r="348" spans="1:12">
      <c r="A348" s="22"/>
      <c r="D348" s="21"/>
      <c r="E348" s="21"/>
      <c r="F348" s="21"/>
      <c r="H348" s="21"/>
      <c r="K348" s="21"/>
      <c r="L348" s="23"/>
    </row>
    <row r="349" spans="1:12">
      <c r="A349" s="22"/>
      <c r="D349" s="21"/>
      <c r="E349" s="21"/>
      <c r="F349" s="21"/>
      <c r="H349" s="21"/>
      <c r="K349" s="21"/>
      <c r="L349" s="23"/>
    </row>
    <row r="350" spans="1:12">
      <c r="A350" s="22"/>
      <c r="D350" s="21"/>
      <c r="E350" s="21"/>
      <c r="F350" s="21"/>
      <c r="H350" s="21"/>
      <c r="K350" s="21"/>
      <c r="L350" s="23"/>
    </row>
    <row r="351" spans="1:12">
      <c r="A351" s="22"/>
      <c r="D351" s="21"/>
      <c r="E351" s="21"/>
      <c r="F351" s="21"/>
      <c r="H351" s="21"/>
      <c r="K351" s="21"/>
      <c r="L351" s="23"/>
    </row>
    <row r="352" spans="1:12">
      <c r="A352" s="22"/>
      <c r="D352" s="21"/>
      <c r="E352" s="21"/>
      <c r="F352" s="21"/>
      <c r="H352" s="21"/>
      <c r="K352" s="21"/>
      <c r="L352" s="23"/>
    </row>
    <row r="353" spans="1:12">
      <c r="A353" s="22"/>
      <c r="D353" s="21"/>
      <c r="E353" s="21"/>
      <c r="F353" s="21"/>
      <c r="H353" s="21"/>
      <c r="K353" s="21"/>
      <c r="L353" s="23"/>
    </row>
    <row r="354" spans="1:12">
      <c r="A354" s="22"/>
      <c r="D354" s="21"/>
      <c r="E354" s="21"/>
      <c r="F354" s="21"/>
      <c r="H354" s="21"/>
      <c r="K354" s="21"/>
      <c r="L354" s="23"/>
    </row>
    <row r="355" spans="1:12">
      <c r="A355" s="22"/>
      <c r="D355" s="21"/>
      <c r="E355" s="21"/>
      <c r="F355" s="21"/>
      <c r="H355" s="21"/>
      <c r="K355" s="21"/>
      <c r="L355" s="23"/>
    </row>
    <row r="356" spans="1:12">
      <c r="A356" s="22"/>
      <c r="D356" s="21"/>
      <c r="E356" s="21"/>
      <c r="F356" s="21"/>
      <c r="H356" s="21"/>
      <c r="K356" s="21"/>
      <c r="L356" s="23"/>
    </row>
    <row r="357" spans="1:12">
      <c r="A357" s="22"/>
      <c r="D357" s="21"/>
      <c r="E357" s="21"/>
      <c r="F357" s="21"/>
      <c r="H357" s="21"/>
      <c r="K357" s="21"/>
      <c r="L357" s="23"/>
    </row>
    <row r="358" spans="1:12">
      <c r="A358" s="22"/>
      <c r="D358" s="21"/>
      <c r="E358" s="21"/>
      <c r="F358" s="21"/>
      <c r="H358" s="21"/>
      <c r="K358" s="21"/>
      <c r="L358" s="23"/>
    </row>
    <row r="359" spans="1:12">
      <c r="A359" s="22"/>
      <c r="D359" s="21"/>
      <c r="E359" s="21"/>
      <c r="F359" s="21"/>
      <c r="H359" s="21"/>
      <c r="K359" s="21"/>
      <c r="L359" s="23"/>
    </row>
    <row r="360" spans="1:12">
      <c r="A360" s="22"/>
      <c r="D360" s="21"/>
      <c r="E360" s="21"/>
      <c r="F360" s="21"/>
      <c r="H360" s="21"/>
      <c r="K360" s="21"/>
      <c r="L360" s="23"/>
    </row>
    <row r="361" spans="1:12">
      <c r="A361" s="22"/>
      <c r="D361" s="21"/>
      <c r="E361" s="21"/>
      <c r="F361" s="21"/>
      <c r="H361" s="21"/>
      <c r="K361" s="21"/>
      <c r="L361" s="23"/>
    </row>
    <row r="362" spans="1:12">
      <c r="A362" s="22"/>
      <c r="D362" s="21"/>
      <c r="E362" s="21"/>
      <c r="F362" s="21"/>
      <c r="H362" s="21"/>
      <c r="K362" s="21"/>
      <c r="L362" s="23"/>
    </row>
    <row r="363" spans="1:12">
      <c r="A363" s="22"/>
      <c r="D363" s="21"/>
      <c r="E363" s="21"/>
      <c r="F363" s="21"/>
      <c r="H363" s="21"/>
      <c r="K363" s="21"/>
      <c r="L363" s="23"/>
    </row>
    <row r="364" spans="1:12">
      <c r="A364" s="22"/>
      <c r="D364" s="21"/>
      <c r="E364" s="21"/>
      <c r="F364" s="21"/>
      <c r="H364" s="21"/>
      <c r="K364" s="21"/>
      <c r="L364" s="23"/>
    </row>
    <row r="365" spans="1:12">
      <c r="A365" s="22"/>
      <c r="D365" s="21"/>
      <c r="E365" s="21"/>
      <c r="F365" s="21"/>
      <c r="H365" s="21"/>
      <c r="K365" s="21"/>
      <c r="L365" s="23"/>
    </row>
    <row r="366" spans="1:12">
      <c r="A366" s="22"/>
      <c r="D366" s="21"/>
      <c r="E366" s="21"/>
      <c r="F366" s="21"/>
      <c r="H366" s="21"/>
      <c r="K366" s="21"/>
      <c r="L366" s="23"/>
    </row>
    <row r="367" spans="1:12">
      <c r="A367" s="22"/>
      <c r="D367" s="21"/>
      <c r="E367" s="21"/>
      <c r="F367" s="21"/>
      <c r="H367" s="21"/>
      <c r="K367" s="21"/>
      <c r="L367" s="23"/>
    </row>
    <row r="368" spans="1:12">
      <c r="A368" s="22"/>
      <c r="D368" s="21"/>
      <c r="E368" s="21"/>
      <c r="F368" s="21"/>
      <c r="H368" s="21"/>
      <c r="K368" s="21"/>
      <c r="L368" s="23"/>
    </row>
    <row r="369" spans="1:12">
      <c r="A369" s="22"/>
      <c r="D369" s="21"/>
      <c r="E369" s="21"/>
      <c r="F369" s="21"/>
      <c r="H369" s="21"/>
      <c r="K369" s="21"/>
      <c r="L369" s="23"/>
    </row>
    <row r="370" spans="1:12">
      <c r="A370" s="22"/>
      <c r="D370" s="21"/>
      <c r="E370" s="21"/>
      <c r="F370" s="21"/>
      <c r="H370" s="21"/>
      <c r="K370" s="21"/>
      <c r="L370" s="23"/>
    </row>
    <row r="371" spans="1:12">
      <c r="A371" s="22"/>
      <c r="D371" s="21"/>
      <c r="E371" s="21"/>
      <c r="F371" s="21"/>
      <c r="H371" s="21"/>
      <c r="K371" s="21"/>
      <c r="L371" s="23"/>
    </row>
    <row r="372" spans="1:12">
      <c r="A372" s="22"/>
      <c r="D372" s="21"/>
      <c r="E372" s="21"/>
      <c r="F372" s="21"/>
      <c r="H372" s="21"/>
      <c r="K372" s="21"/>
      <c r="L372" s="23"/>
    </row>
    <row r="373" spans="1:12">
      <c r="A373" s="22"/>
      <c r="D373" s="21"/>
      <c r="E373" s="21"/>
      <c r="F373" s="21"/>
      <c r="H373" s="21"/>
      <c r="K373" s="21"/>
      <c r="L373" s="23"/>
    </row>
    <row r="374" spans="1:12">
      <c r="A374" s="22"/>
      <c r="D374" s="21"/>
      <c r="E374" s="21"/>
      <c r="F374" s="21"/>
      <c r="H374" s="21"/>
      <c r="K374" s="21"/>
      <c r="L374" s="23"/>
    </row>
    <row r="375" spans="1:12">
      <c r="A375" s="22"/>
      <c r="D375" s="21"/>
      <c r="E375" s="21"/>
      <c r="F375" s="21"/>
      <c r="H375" s="21"/>
      <c r="K375" s="21"/>
      <c r="L375" s="23"/>
    </row>
    <row r="376" spans="1:12">
      <c r="A376" s="22"/>
      <c r="D376" s="21"/>
      <c r="E376" s="21"/>
      <c r="F376" s="21"/>
      <c r="H376" s="21"/>
      <c r="K376" s="21"/>
      <c r="L376" s="23"/>
    </row>
    <row r="377" spans="1:12">
      <c r="A377" s="22"/>
      <c r="D377" s="21"/>
      <c r="E377" s="21"/>
      <c r="F377" s="21"/>
      <c r="H377" s="21"/>
      <c r="K377" s="21"/>
      <c r="L377" s="23"/>
    </row>
    <row r="378" spans="1:12">
      <c r="A378" s="22"/>
      <c r="D378" s="21"/>
      <c r="E378" s="21"/>
      <c r="F378" s="21"/>
      <c r="H378" s="21"/>
      <c r="K378" s="21"/>
      <c r="L378" s="23"/>
    </row>
    <row r="379" spans="1:12">
      <c r="A379" s="22"/>
      <c r="D379" s="21"/>
      <c r="E379" s="21"/>
      <c r="F379" s="21"/>
      <c r="H379" s="21"/>
      <c r="K379" s="21"/>
      <c r="L379" s="23"/>
    </row>
    <row r="380" spans="1:12">
      <c r="A380" s="22"/>
      <c r="D380" s="21"/>
      <c r="E380" s="21"/>
      <c r="F380" s="21"/>
      <c r="H380" s="21"/>
      <c r="K380" s="21"/>
      <c r="L380" s="23"/>
    </row>
    <row r="381" spans="1:12">
      <c r="A381" s="22"/>
      <c r="D381" s="21"/>
      <c r="E381" s="21"/>
      <c r="F381" s="21"/>
      <c r="H381" s="21"/>
      <c r="K381" s="21"/>
      <c r="L381" s="23"/>
    </row>
    <row r="382" spans="1:12">
      <c r="A382" s="22"/>
      <c r="D382" s="21"/>
      <c r="E382" s="21"/>
      <c r="F382" s="21"/>
      <c r="H382" s="21"/>
      <c r="K382" s="21"/>
      <c r="L382" s="23"/>
    </row>
    <row r="383" spans="1:12">
      <c r="A383" s="22"/>
      <c r="D383" s="21"/>
      <c r="E383" s="21"/>
      <c r="F383" s="21"/>
      <c r="H383" s="21"/>
      <c r="K383" s="21"/>
      <c r="L383" s="23"/>
    </row>
    <row r="384" spans="1:12">
      <c r="A384" s="22"/>
      <c r="D384" s="21"/>
      <c r="E384" s="21"/>
      <c r="F384" s="21"/>
      <c r="H384" s="21"/>
      <c r="K384" s="21"/>
      <c r="L384" s="23"/>
    </row>
    <row r="385" spans="1:12">
      <c r="A385" s="22"/>
      <c r="D385" s="21"/>
      <c r="E385" s="21"/>
      <c r="F385" s="21"/>
      <c r="H385" s="21"/>
      <c r="K385" s="21"/>
      <c r="L385" s="23"/>
    </row>
    <row r="386" spans="1:12">
      <c r="A386" s="22"/>
      <c r="D386" s="21"/>
      <c r="E386" s="21"/>
      <c r="F386" s="21"/>
      <c r="H386" s="21"/>
      <c r="K386" s="21"/>
      <c r="L386" s="23"/>
    </row>
    <row r="387" spans="1:12">
      <c r="A387" s="22"/>
      <c r="D387" s="21"/>
      <c r="E387" s="21"/>
      <c r="F387" s="21"/>
      <c r="H387" s="21"/>
      <c r="K387" s="21"/>
      <c r="L387" s="23"/>
    </row>
    <row r="388" spans="1:12">
      <c r="A388" s="22"/>
      <c r="D388" s="21"/>
      <c r="E388" s="21"/>
      <c r="F388" s="21"/>
      <c r="H388" s="21"/>
      <c r="K388" s="21"/>
      <c r="L388" s="23"/>
    </row>
    <row r="389" spans="1:12">
      <c r="A389" s="22"/>
      <c r="D389" s="21"/>
      <c r="E389" s="21"/>
      <c r="F389" s="21"/>
      <c r="H389" s="21"/>
      <c r="K389" s="21"/>
      <c r="L389" s="23"/>
    </row>
    <row r="390" spans="1:12">
      <c r="A390" s="22"/>
      <c r="D390" s="21"/>
      <c r="E390" s="21"/>
      <c r="F390" s="21"/>
      <c r="H390" s="21"/>
      <c r="K390" s="21"/>
      <c r="L390" s="23"/>
    </row>
    <row r="391" spans="1:12">
      <c r="A391" s="22"/>
      <c r="D391" s="21"/>
      <c r="E391" s="21"/>
      <c r="F391" s="21"/>
      <c r="H391" s="21"/>
      <c r="K391" s="21"/>
      <c r="L391" s="23"/>
    </row>
    <row r="392" spans="1:12">
      <c r="A392" s="22"/>
      <c r="D392" s="21"/>
      <c r="E392" s="21"/>
      <c r="F392" s="21"/>
      <c r="H392" s="21"/>
      <c r="K392" s="21"/>
      <c r="L392" s="23"/>
    </row>
    <row r="393" spans="1:12">
      <c r="A393" s="22"/>
      <c r="D393" s="21"/>
      <c r="E393" s="21"/>
      <c r="F393" s="21"/>
      <c r="H393" s="21"/>
      <c r="K393" s="21"/>
      <c r="L393" s="23"/>
    </row>
    <row r="394" spans="1:12">
      <c r="A394" s="22"/>
      <c r="D394" s="21"/>
      <c r="E394" s="21"/>
      <c r="F394" s="21"/>
      <c r="H394" s="21"/>
      <c r="K394" s="21"/>
      <c r="L394" s="23"/>
    </row>
    <row r="395" spans="1:12">
      <c r="A395" s="22"/>
      <c r="D395" s="21"/>
      <c r="E395" s="21"/>
      <c r="F395" s="21"/>
      <c r="H395" s="21"/>
      <c r="K395" s="21"/>
      <c r="L395" s="23"/>
    </row>
    <row r="396" spans="1:12">
      <c r="A396" s="22"/>
      <c r="D396" s="21"/>
      <c r="E396" s="21"/>
      <c r="F396" s="21"/>
      <c r="H396" s="21"/>
      <c r="K396" s="21"/>
      <c r="L396" s="23"/>
    </row>
    <row r="397" spans="1:12">
      <c r="A397" s="22"/>
      <c r="D397" s="21"/>
      <c r="E397" s="21"/>
      <c r="F397" s="21"/>
      <c r="H397" s="21"/>
      <c r="K397" s="21"/>
      <c r="L397" s="23"/>
    </row>
    <row r="398" spans="1:12">
      <c r="A398" s="22"/>
      <c r="D398" s="21"/>
      <c r="E398" s="21"/>
      <c r="F398" s="21"/>
      <c r="H398" s="21"/>
      <c r="K398" s="21"/>
      <c r="L398" s="23"/>
    </row>
    <row r="399" spans="1:12">
      <c r="A399" s="22"/>
      <c r="D399" s="21"/>
      <c r="E399" s="21"/>
      <c r="F399" s="21"/>
      <c r="H399" s="21"/>
      <c r="K399" s="21"/>
      <c r="L399" s="23"/>
    </row>
    <row r="400" spans="1:12">
      <c r="A400" s="22"/>
      <c r="D400" s="21"/>
      <c r="E400" s="21"/>
      <c r="F400" s="21"/>
      <c r="H400" s="21"/>
      <c r="K400" s="21"/>
      <c r="L400" s="23"/>
    </row>
    <row r="401" spans="1:12">
      <c r="A401" s="22"/>
      <c r="D401" s="21"/>
      <c r="E401" s="21"/>
      <c r="F401" s="21"/>
      <c r="H401" s="21"/>
      <c r="K401" s="21"/>
      <c r="L401" s="23"/>
    </row>
    <row r="402" spans="1:12">
      <c r="A402" s="22"/>
      <c r="D402" s="21"/>
      <c r="E402" s="21"/>
      <c r="F402" s="21"/>
      <c r="H402" s="21"/>
      <c r="K402" s="21"/>
      <c r="L402" s="23"/>
    </row>
    <row r="403" spans="1:12">
      <c r="A403" s="22"/>
      <c r="D403" s="21"/>
      <c r="E403" s="21"/>
      <c r="F403" s="21"/>
      <c r="H403" s="21"/>
      <c r="K403" s="21"/>
      <c r="L403" s="23"/>
    </row>
    <row r="404" spans="1:12">
      <c r="A404" s="22"/>
      <c r="D404" s="21"/>
      <c r="E404" s="21"/>
      <c r="F404" s="21"/>
      <c r="H404" s="21"/>
      <c r="K404" s="21"/>
      <c r="L404" s="23"/>
    </row>
    <row r="405" spans="1:12">
      <c r="A405" s="22"/>
      <c r="D405" s="21"/>
      <c r="E405" s="21"/>
      <c r="F405" s="21"/>
      <c r="H405" s="21"/>
      <c r="K405" s="21"/>
      <c r="L405" s="23"/>
    </row>
    <row r="406" spans="1:12">
      <c r="A406" s="22"/>
      <c r="D406" s="21"/>
      <c r="E406" s="21"/>
      <c r="F406" s="21"/>
      <c r="H406" s="21"/>
      <c r="K406" s="21"/>
      <c r="L406" s="23"/>
    </row>
    <row r="407" spans="1:12">
      <c r="A407" s="22"/>
      <c r="D407" s="21"/>
      <c r="E407" s="21"/>
      <c r="F407" s="21"/>
      <c r="H407" s="21"/>
      <c r="K407" s="21"/>
      <c r="L407" s="23"/>
    </row>
    <row r="408" spans="1:12">
      <c r="A408" s="22"/>
      <c r="D408" s="21"/>
      <c r="E408" s="21"/>
      <c r="F408" s="21"/>
      <c r="H408" s="21"/>
      <c r="K408" s="21"/>
      <c r="L408" s="23"/>
    </row>
    <row r="409" spans="1:12">
      <c r="A409" s="22"/>
      <c r="D409" s="21"/>
      <c r="E409" s="21"/>
      <c r="F409" s="21"/>
      <c r="H409" s="21"/>
      <c r="K409" s="21"/>
      <c r="L409" s="23"/>
    </row>
    <row r="410" spans="1:12">
      <c r="A410" s="22"/>
      <c r="D410" s="21"/>
      <c r="E410" s="21"/>
      <c r="F410" s="21"/>
      <c r="H410" s="21"/>
      <c r="K410" s="21"/>
      <c r="L410" s="23"/>
    </row>
    <row r="411" spans="1:12">
      <c r="A411" s="22"/>
      <c r="D411" s="21"/>
      <c r="E411" s="21"/>
      <c r="F411" s="21"/>
      <c r="H411" s="21"/>
      <c r="K411" s="21"/>
      <c r="L411" s="23"/>
    </row>
    <row r="412" spans="1:12">
      <c r="A412" s="22"/>
      <c r="D412" s="21"/>
      <c r="E412" s="21"/>
      <c r="F412" s="21"/>
      <c r="H412" s="21"/>
      <c r="K412" s="21"/>
      <c r="L412" s="23"/>
    </row>
    <row r="413" spans="1:12">
      <c r="A413" s="22"/>
      <c r="D413" s="21"/>
      <c r="E413" s="21"/>
      <c r="F413" s="21"/>
      <c r="H413" s="21"/>
      <c r="K413" s="21"/>
      <c r="L413" s="23"/>
    </row>
    <row r="414" spans="1:12">
      <c r="A414" s="22"/>
      <c r="D414" s="21"/>
      <c r="E414" s="21"/>
      <c r="F414" s="21"/>
      <c r="H414" s="21"/>
      <c r="K414" s="21"/>
      <c r="L414" s="23"/>
    </row>
    <row r="415" spans="1:12">
      <c r="A415" s="22"/>
      <c r="D415" s="21"/>
      <c r="E415" s="21"/>
      <c r="F415" s="21"/>
      <c r="H415" s="21"/>
      <c r="K415" s="21"/>
      <c r="L415" s="23"/>
    </row>
    <row r="416" spans="1:12">
      <c r="A416" s="22"/>
      <c r="D416" s="21"/>
      <c r="E416" s="21"/>
      <c r="F416" s="21"/>
      <c r="H416" s="21"/>
      <c r="K416" s="21"/>
      <c r="L416" s="23"/>
    </row>
    <row r="417" spans="1:12">
      <c r="A417" s="22"/>
      <c r="D417" s="21"/>
      <c r="E417" s="21"/>
      <c r="F417" s="21"/>
      <c r="H417" s="21"/>
      <c r="K417" s="21"/>
      <c r="L417" s="23"/>
    </row>
    <row r="418" spans="1:12">
      <c r="A418" s="22"/>
      <c r="D418" s="21"/>
      <c r="E418" s="21"/>
      <c r="F418" s="21"/>
      <c r="H418" s="21"/>
      <c r="K418" s="21"/>
      <c r="L418" s="23"/>
    </row>
    <row r="419" spans="1:12">
      <c r="A419" s="22"/>
      <c r="D419" s="21"/>
      <c r="E419" s="21"/>
      <c r="F419" s="21"/>
      <c r="H419" s="21"/>
      <c r="K419" s="21"/>
      <c r="L419" s="23"/>
    </row>
    <row r="420" spans="1:12">
      <c r="A420" s="22"/>
      <c r="D420" s="21"/>
      <c r="E420" s="21"/>
      <c r="F420" s="21"/>
      <c r="H420" s="21"/>
      <c r="K420" s="21"/>
      <c r="L420" s="23"/>
    </row>
    <row r="421" spans="1:12">
      <c r="A421" s="22"/>
      <c r="D421" s="21"/>
      <c r="E421" s="21"/>
      <c r="F421" s="21"/>
      <c r="H421" s="21"/>
      <c r="K421" s="21"/>
      <c r="L421" s="23"/>
    </row>
    <row r="422" spans="1:12">
      <c r="A422" s="22"/>
      <c r="D422" s="21"/>
      <c r="E422" s="21"/>
      <c r="F422" s="21"/>
      <c r="H422" s="21"/>
      <c r="K422" s="21"/>
      <c r="L422" s="23"/>
    </row>
    <row r="423" spans="1:12">
      <c r="A423" s="22"/>
      <c r="D423" s="21"/>
      <c r="E423" s="21"/>
      <c r="F423" s="21"/>
      <c r="H423" s="21"/>
      <c r="K423" s="21"/>
      <c r="L423" s="23"/>
    </row>
    <row r="424" spans="1:12">
      <c r="A424" s="22"/>
      <c r="D424" s="21"/>
      <c r="E424" s="21"/>
      <c r="F424" s="21"/>
      <c r="H424" s="21"/>
      <c r="K424" s="21"/>
      <c r="L424" s="23"/>
    </row>
    <row r="425" spans="1:12">
      <c r="A425" s="22"/>
      <c r="D425" s="21"/>
      <c r="E425" s="21"/>
      <c r="F425" s="21"/>
      <c r="H425" s="21"/>
      <c r="K425" s="21"/>
      <c r="L425" s="23"/>
    </row>
    <row r="426" spans="1:12">
      <c r="A426" s="22"/>
      <c r="D426" s="21"/>
      <c r="E426" s="21"/>
      <c r="F426" s="21"/>
      <c r="H426" s="21"/>
      <c r="K426" s="21"/>
      <c r="L426" s="23"/>
    </row>
    <row r="427" spans="1:12">
      <c r="A427" s="22"/>
      <c r="D427" s="21"/>
      <c r="E427" s="21"/>
      <c r="F427" s="21"/>
      <c r="H427" s="21"/>
      <c r="K427" s="21"/>
      <c r="L427" s="23"/>
    </row>
    <row r="428" spans="1:12">
      <c r="A428" s="22"/>
      <c r="D428" s="21"/>
      <c r="E428" s="21"/>
      <c r="F428" s="21"/>
      <c r="H428" s="21"/>
      <c r="K428" s="21"/>
      <c r="L428" s="23"/>
    </row>
    <row r="429" spans="1:12">
      <c r="A429" s="22"/>
      <c r="D429" s="21"/>
      <c r="E429" s="21"/>
      <c r="F429" s="21"/>
      <c r="H429" s="21"/>
      <c r="K429" s="21"/>
      <c r="L429" s="23"/>
    </row>
    <row r="430" spans="1:12">
      <c r="A430" s="22"/>
      <c r="D430" s="21"/>
      <c r="E430" s="21"/>
      <c r="F430" s="21"/>
      <c r="H430" s="21"/>
      <c r="K430" s="21"/>
      <c r="L430" s="23"/>
    </row>
    <row r="431" spans="1:12">
      <c r="A431" s="22"/>
      <c r="D431" s="21"/>
      <c r="E431" s="21"/>
      <c r="F431" s="21"/>
      <c r="H431" s="21"/>
      <c r="K431" s="21"/>
      <c r="L431" s="23"/>
    </row>
    <row r="432" spans="1:12">
      <c r="A432" s="22"/>
      <c r="D432" s="21"/>
      <c r="E432" s="21"/>
      <c r="F432" s="21"/>
      <c r="H432" s="21"/>
      <c r="K432" s="21"/>
      <c r="L432" s="23"/>
    </row>
    <row r="433" spans="1:12">
      <c r="A433" s="22"/>
      <c r="D433" s="21"/>
      <c r="E433" s="21"/>
      <c r="F433" s="21"/>
      <c r="H433" s="21"/>
      <c r="K433" s="21"/>
      <c r="L433" s="23"/>
    </row>
    <row r="434" spans="1:12">
      <c r="A434" s="22"/>
      <c r="D434" s="21"/>
      <c r="E434" s="21"/>
      <c r="F434" s="21"/>
      <c r="H434" s="21"/>
      <c r="K434" s="21"/>
      <c r="L434" s="23"/>
    </row>
    <row r="435" spans="1:12">
      <c r="A435" s="22"/>
      <c r="D435" s="21"/>
      <c r="E435" s="21"/>
      <c r="F435" s="21"/>
      <c r="H435" s="21"/>
      <c r="K435" s="21"/>
      <c r="L435" s="23"/>
    </row>
    <row r="436" spans="1:12">
      <c r="A436" s="22"/>
      <c r="D436" s="21"/>
      <c r="E436" s="21"/>
      <c r="F436" s="21"/>
      <c r="H436" s="21"/>
      <c r="K436" s="21"/>
      <c r="L436" s="23"/>
    </row>
    <row r="437" spans="1:12">
      <c r="A437" s="22"/>
      <c r="D437" s="21"/>
      <c r="E437" s="21"/>
      <c r="F437" s="21"/>
      <c r="H437" s="21"/>
      <c r="K437" s="21"/>
      <c r="L437" s="23"/>
    </row>
    <row r="438" spans="1:12">
      <c r="A438" s="22"/>
      <c r="D438" s="21"/>
      <c r="E438" s="21"/>
      <c r="F438" s="21"/>
      <c r="H438" s="21"/>
      <c r="K438" s="21"/>
      <c r="L438" s="23"/>
    </row>
    <row r="439" spans="1:12">
      <c r="A439" s="22"/>
      <c r="D439" s="21"/>
      <c r="E439" s="21"/>
      <c r="F439" s="21"/>
      <c r="H439" s="21"/>
      <c r="K439" s="21"/>
      <c r="L439" s="23"/>
    </row>
    <row r="440" spans="1:12">
      <c r="A440" s="22"/>
      <c r="D440" s="21"/>
      <c r="E440" s="21"/>
      <c r="F440" s="21"/>
      <c r="H440" s="21"/>
      <c r="K440" s="21"/>
      <c r="L440" s="23"/>
    </row>
    <row r="441" spans="1:12">
      <c r="A441" s="22"/>
      <c r="D441" s="21"/>
      <c r="E441" s="21"/>
      <c r="F441" s="21"/>
      <c r="H441" s="21"/>
      <c r="K441" s="21"/>
      <c r="L441" s="23"/>
    </row>
    <row r="442" spans="1:12">
      <c r="A442" s="22"/>
      <c r="D442" s="21"/>
      <c r="E442" s="21"/>
      <c r="F442" s="21"/>
      <c r="H442" s="21"/>
      <c r="K442" s="21"/>
      <c r="L442" s="23"/>
    </row>
    <row r="443" spans="1:12">
      <c r="A443" s="22"/>
      <c r="D443" s="21"/>
      <c r="E443" s="21"/>
      <c r="F443" s="21"/>
      <c r="H443" s="21"/>
      <c r="K443" s="21"/>
      <c r="L443" s="23"/>
    </row>
    <row r="444" spans="1:12">
      <c r="A444" s="22"/>
      <c r="D444" s="21"/>
      <c r="E444" s="21"/>
      <c r="F444" s="21"/>
      <c r="H444" s="21"/>
      <c r="K444" s="21"/>
      <c r="L444" s="23"/>
    </row>
    <row r="445" spans="1:12">
      <c r="A445" s="22"/>
      <c r="D445" s="21"/>
      <c r="E445" s="21"/>
      <c r="F445" s="21"/>
      <c r="H445" s="21"/>
      <c r="K445" s="21"/>
      <c r="L445" s="23"/>
    </row>
    <row r="446" spans="1:12">
      <c r="A446" s="22"/>
      <c r="D446" s="21"/>
      <c r="E446" s="21"/>
      <c r="F446" s="21"/>
      <c r="H446" s="21"/>
      <c r="K446" s="21"/>
      <c r="L446" s="23"/>
    </row>
    <row r="447" spans="1:12">
      <c r="A447" s="22"/>
      <c r="D447" s="21"/>
      <c r="E447" s="21"/>
      <c r="F447" s="21"/>
      <c r="H447" s="21"/>
      <c r="K447" s="21"/>
      <c r="L447" s="23"/>
    </row>
    <row r="448" spans="1:12">
      <c r="A448" s="22"/>
      <c r="D448" s="21"/>
      <c r="E448" s="21"/>
      <c r="F448" s="21"/>
      <c r="H448" s="21"/>
      <c r="K448" s="21"/>
      <c r="L448" s="23"/>
    </row>
    <row r="449" spans="1:12">
      <c r="A449" s="22"/>
      <c r="D449" s="21"/>
      <c r="E449" s="21"/>
      <c r="F449" s="21"/>
      <c r="H449" s="21"/>
      <c r="K449" s="21"/>
      <c r="L449" s="23"/>
    </row>
    <row r="450" spans="1:12">
      <c r="A450" s="22"/>
      <c r="D450" s="21"/>
      <c r="E450" s="21"/>
      <c r="F450" s="21"/>
      <c r="H450" s="21"/>
      <c r="K450" s="21"/>
      <c r="L450" s="23"/>
    </row>
    <row r="451" spans="1:12">
      <c r="A451" s="22"/>
      <c r="D451" s="21"/>
      <c r="E451" s="21"/>
      <c r="F451" s="21"/>
      <c r="H451" s="21"/>
      <c r="K451" s="21"/>
      <c r="L451" s="23"/>
    </row>
    <row r="452" spans="1:12">
      <c r="A452" s="22"/>
      <c r="D452" s="21"/>
      <c r="E452" s="21"/>
      <c r="F452" s="21"/>
      <c r="H452" s="21"/>
      <c r="K452" s="21"/>
      <c r="L452" s="23"/>
    </row>
    <row r="453" spans="1:12">
      <c r="A453" s="22"/>
      <c r="D453" s="21"/>
      <c r="E453" s="21"/>
      <c r="F453" s="21"/>
      <c r="H453" s="21"/>
      <c r="K453" s="21"/>
      <c r="L453" s="23"/>
    </row>
    <row r="454" spans="1:12">
      <c r="A454" s="22"/>
      <c r="D454" s="21"/>
      <c r="E454" s="21"/>
      <c r="F454" s="21"/>
      <c r="H454" s="21"/>
      <c r="K454" s="21"/>
      <c r="L454" s="23"/>
    </row>
    <row r="455" spans="1:12">
      <c r="A455" s="22"/>
      <c r="D455" s="21"/>
      <c r="E455" s="21"/>
      <c r="F455" s="21"/>
      <c r="H455" s="21"/>
      <c r="K455" s="21"/>
      <c r="L455" s="23"/>
    </row>
    <row r="456" spans="1:12">
      <c r="A456" s="22"/>
      <c r="D456" s="21"/>
      <c r="E456" s="21"/>
      <c r="F456" s="21"/>
      <c r="H456" s="21"/>
      <c r="K456" s="21"/>
      <c r="L456" s="23"/>
    </row>
    <row r="457" spans="1:12">
      <c r="A457" s="22"/>
      <c r="D457" s="21"/>
      <c r="E457" s="21"/>
      <c r="F457" s="21"/>
      <c r="H457" s="21"/>
      <c r="K457" s="21"/>
      <c r="L457" s="23"/>
    </row>
    <row r="458" spans="1:12">
      <c r="A458" s="22"/>
      <c r="D458" s="21"/>
      <c r="E458" s="21"/>
      <c r="F458" s="21"/>
      <c r="H458" s="21"/>
      <c r="K458" s="21"/>
      <c r="L458" s="23"/>
    </row>
    <row r="459" spans="1:12">
      <c r="A459" s="22"/>
      <c r="D459" s="21"/>
      <c r="E459" s="21"/>
      <c r="F459" s="21"/>
      <c r="H459" s="21"/>
      <c r="K459" s="21"/>
      <c r="L459" s="23"/>
    </row>
    <row r="460" spans="1:12">
      <c r="A460" s="22"/>
      <c r="D460" s="21"/>
      <c r="E460" s="21"/>
      <c r="F460" s="21"/>
      <c r="H460" s="21"/>
      <c r="K460" s="21"/>
      <c r="L460" s="23"/>
    </row>
    <row r="461" spans="1:12">
      <c r="A461" s="22"/>
      <c r="D461" s="21"/>
      <c r="E461" s="21"/>
      <c r="F461" s="21"/>
      <c r="H461" s="21"/>
      <c r="K461" s="21"/>
      <c r="L461" s="23"/>
    </row>
    <row r="462" spans="1:12">
      <c r="A462" s="22"/>
      <c r="D462" s="21"/>
      <c r="E462" s="21"/>
      <c r="F462" s="21"/>
      <c r="H462" s="21"/>
      <c r="K462" s="21"/>
      <c r="L462" s="23"/>
    </row>
    <row r="463" spans="1:12">
      <c r="A463" s="22"/>
      <c r="D463" s="21"/>
      <c r="E463" s="21"/>
      <c r="F463" s="21"/>
      <c r="H463" s="21"/>
      <c r="K463" s="21"/>
      <c r="L463" s="23"/>
    </row>
    <row r="464" spans="1:12">
      <c r="A464" s="22"/>
      <c r="D464" s="21"/>
      <c r="E464" s="21"/>
      <c r="F464" s="21"/>
      <c r="H464" s="21"/>
      <c r="K464" s="21"/>
      <c r="L464" s="23"/>
    </row>
    <row r="465" spans="1:12">
      <c r="A465" s="22"/>
      <c r="D465" s="21"/>
      <c r="E465" s="21"/>
      <c r="F465" s="21"/>
      <c r="H465" s="21"/>
      <c r="K465" s="21"/>
      <c r="L465" s="23"/>
    </row>
    <row r="466" spans="1:12">
      <c r="A466" s="22"/>
      <c r="D466" s="21"/>
      <c r="E466" s="21"/>
      <c r="F466" s="21"/>
      <c r="H466" s="21"/>
      <c r="K466" s="21"/>
      <c r="L466" s="23"/>
    </row>
    <row r="467" spans="1:12">
      <c r="A467" s="22"/>
      <c r="D467" s="21"/>
      <c r="E467" s="21"/>
      <c r="F467" s="21"/>
      <c r="H467" s="21"/>
      <c r="K467" s="21"/>
      <c r="L467" s="23"/>
    </row>
    <row r="468" spans="1:12">
      <c r="A468" s="22"/>
      <c r="D468" s="21"/>
      <c r="E468" s="21"/>
      <c r="F468" s="21"/>
      <c r="H468" s="21"/>
      <c r="K468" s="21"/>
      <c r="L468" s="23"/>
    </row>
    <row r="469" spans="1:12">
      <c r="A469" s="22"/>
      <c r="D469" s="21"/>
      <c r="E469" s="21"/>
      <c r="F469" s="21"/>
      <c r="H469" s="21"/>
      <c r="K469" s="21"/>
      <c r="L469" s="23"/>
    </row>
    <row r="470" spans="1:12">
      <c r="A470" s="22"/>
      <c r="D470" s="21"/>
      <c r="E470" s="21"/>
      <c r="F470" s="21"/>
      <c r="H470" s="21"/>
      <c r="K470" s="21"/>
      <c r="L470" s="23"/>
    </row>
    <row r="471" spans="1:12">
      <c r="A471" s="22"/>
      <c r="D471" s="21"/>
      <c r="E471" s="21"/>
      <c r="F471" s="21"/>
      <c r="H471" s="21"/>
      <c r="K471" s="21"/>
      <c r="L471" s="23"/>
    </row>
    <row r="472" spans="1:12">
      <c r="A472" s="22"/>
      <c r="D472" s="21"/>
      <c r="E472" s="21"/>
      <c r="F472" s="21"/>
      <c r="H472" s="21"/>
      <c r="K472" s="21"/>
      <c r="L472" s="23"/>
    </row>
    <row r="473" spans="1:12">
      <c r="A473" s="22"/>
      <c r="D473" s="21"/>
      <c r="E473" s="21"/>
      <c r="F473" s="21"/>
      <c r="H473" s="21"/>
      <c r="K473" s="21"/>
      <c r="L473" s="23"/>
    </row>
    <row r="474" spans="1:12">
      <c r="A474" s="22"/>
      <c r="D474" s="21"/>
      <c r="E474" s="21"/>
      <c r="F474" s="21"/>
      <c r="H474" s="21"/>
      <c r="K474" s="21"/>
      <c r="L474" s="23"/>
    </row>
    <row r="475" spans="1:12">
      <c r="A475" s="22"/>
      <c r="D475" s="21"/>
      <c r="E475" s="21"/>
      <c r="F475" s="21"/>
      <c r="H475" s="21"/>
      <c r="K475" s="21"/>
      <c r="L475" s="23"/>
    </row>
    <row r="476" spans="1:12">
      <c r="A476" s="22"/>
      <c r="D476" s="21"/>
      <c r="E476" s="21"/>
      <c r="F476" s="21"/>
      <c r="H476" s="21"/>
      <c r="K476" s="21"/>
      <c r="L476" s="23"/>
    </row>
    <row r="477" spans="1:12">
      <c r="A477" s="22"/>
      <c r="D477" s="21"/>
      <c r="E477" s="21"/>
      <c r="F477" s="21"/>
      <c r="H477" s="21"/>
      <c r="K477" s="21"/>
      <c r="L477" s="23"/>
    </row>
    <row r="478" spans="1:12">
      <c r="A478" s="22"/>
      <c r="D478" s="21"/>
      <c r="E478" s="21"/>
      <c r="F478" s="21"/>
      <c r="H478" s="21"/>
      <c r="K478" s="21"/>
      <c r="L478" s="23"/>
    </row>
    <row r="479" spans="1:12">
      <c r="A479" s="22"/>
      <c r="D479" s="21"/>
      <c r="E479" s="21"/>
      <c r="F479" s="21"/>
      <c r="H479" s="21"/>
      <c r="K479" s="21"/>
      <c r="L479" s="23"/>
    </row>
    <row r="480" spans="1:12">
      <c r="A480" s="22"/>
      <c r="D480" s="21"/>
      <c r="E480" s="21"/>
      <c r="F480" s="21"/>
      <c r="H480" s="21"/>
      <c r="K480" s="21"/>
      <c r="L480" s="23"/>
    </row>
    <row r="481" spans="1:12">
      <c r="A481" s="22"/>
      <c r="D481" s="21"/>
      <c r="E481" s="21"/>
      <c r="F481" s="21"/>
      <c r="H481" s="21"/>
      <c r="K481" s="21"/>
      <c r="L481" s="23"/>
    </row>
    <row r="482" spans="1:12">
      <c r="A482" s="22"/>
      <c r="D482" s="21"/>
      <c r="E482" s="21"/>
      <c r="F482" s="21"/>
      <c r="H482" s="21"/>
      <c r="K482" s="21"/>
      <c r="L482" s="23"/>
    </row>
    <row r="483" spans="1:12">
      <c r="A483" s="22"/>
      <c r="D483" s="21"/>
      <c r="E483" s="21"/>
      <c r="F483" s="21"/>
      <c r="H483" s="21"/>
      <c r="K483" s="21"/>
      <c r="L483" s="23"/>
    </row>
    <row r="484" spans="1:12">
      <c r="A484" s="22"/>
      <c r="D484" s="21"/>
      <c r="E484" s="21"/>
      <c r="F484" s="21"/>
      <c r="H484" s="21"/>
      <c r="K484" s="21"/>
      <c r="L484" s="23"/>
    </row>
    <row r="485" spans="1:12">
      <c r="A485" s="22"/>
      <c r="D485" s="21"/>
      <c r="E485" s="21"/>
      <c r="F485" s="21"/>
      <c r="H485" s="21"/>
      <c r="K485" s="21"/>
      <c r="L485" s="23"/>
    </row>
    <row r="486" spans="1:12">
      <c r="A486" s="22"/>
      <c r="D486" s="21"/>
      <c r="E486" s="21"/>
      <c r="F486" s="21"/>
      <c r="H486" s="21"/>
      <c r="K486" s="21"/>
      <c r="L486" s="23"/>
    </row>
    <row r="487" spans="1:12">
      <c r="A487" s="22"/>
      <c r="D487" s="21"/>
      <c r="E487" s="21"/>
      <c r="F487" s="21"/>
      <c r="H487" s="21"/>
      <c r="K487" s="21"/>
      <c r="L487" s="23"/>
    </row>
    <row r="488" spans="1:12">
      <c r="A488" s="22"/>
      <c r="D488" s="21"/>
      <c r="E488" s="21"/>
      <c r="F488" s="21"/>
      <c r="H488" s="21"/>
      <c r="K488" s="21"/>
      <c r="L488" s="23"/>
    </row>
    <row r="489" spans="1:12">
      <c r="A489" s="22"/>
      <c r="D489" s="21"/>
      <c r="E489" s="21"/>
      <c r="F489" s="21"/>
      <c r="H489" s="21"/>
      <c r="K489" s="21"/>
      <c r="L489" s="23"/>
    </row>
    <row r="490" spans="1:12">
      <c r="A490" s="22"/>
      <c r="D490" s="21"/>
      <c r="E490" s="21"/>
      <c r="F490" s="21"/>
      <c r="H490" s="21"/>
      <c r="K490" s="21"/>
      <c r="L490" s="23"/>
    </row>
    <row r="491" spans="1:12">
      <c r="A491" s="22"/>
      <c r="D491" s="21"/>
      <c r="E491" s="21"/>
      <c r="F491" s="21"/>
      <c r="H491" s="21"/>
      <c r="K491" s="21"/>
      <c r="L491" s="23"/>
    </row>
    <row r="492" spans="1:12">
      <c r="A492" s="22"/>
      <c r="D492" s="21"/>
      <c r="E492" s="21"/>
      <c r="F492" s="21"/>
      <c r="H492" s="21"/>
      <c r="K492" s="21"/>
      <c r="L492" s="23"/>
    </row>
    <row r="493" spans="1:12">
      <c r="A493" s="22"/>
      <c r="D493" s="21"/>
      <c r="E493" s="21"/>
      <c r="F493" s="21"/>
      <c r="H493" s="21"/>
      <c r="K493" s="21"/>
      <c r="L493" s="23"/>
    </row>
    <row r="494" spans="1:12">
      <c r="A494" s="22"/>
      <c r="D494" s="21"/>
      <c r="E494" s="21"/>
      <c r="F494" s="21"/>
      <c r="H494" s="21"/>
      <c r="K494" s="21"/>
      <c r="L494" s="23"/>
    </row>
    <row r="495" spans="1:12">
      <c r="A495" s="22"/>
      <c r="D495" s="21"/>
      <c r="E495" s="21"/>
      <c r="F495" s="21"/>
      <c r="H495" s="21"/>
      <c r="K495" s="21"/>
      <c r="L495" s="23"/>
    </row>
    <row r="496" spans="1:12">
      <c r="A496" s="22"/>
      <c r="D496" s="21"/>
      <c r="E496" s="21"/>
      <c r="F496" s="21"/>
      <c r="H496" s="21"/>
      <c r="K496" s="21"/>
      <c r="L496" s="23"/>
    </row>
    <row r="497" spans="1:12">
      <c r="A497" s="22"/>
      <c r="D497" s="21"/>
      <c r="E497" s="21"/>
      <c r="F497" s="21"/>
      <c r="H497" s="21"/>
      <c r="K497" s="21"/>
      <c r="L497" s="23"/>
    </row>
    <row r="498" spans="1:12">
      <c r="A498" s="22"/>
      <c r="D498" s="21"/>
      <c r="E498" s="21"/>
      <c r="F498" s="21"/>
      <c r="H498" s="21"/>
      <c r="K498" s="21"/>
      <c r="L498" s="23"/>
    </row>
    <row r="499" spans="1:12">
      <c r="A499" s="22"/>
      <c r="D499" s="21"/>
      <c r="E499" s="21"/>
      <c r="F499" s="21"/>
      <c r="H499" s="21"/>
      <c r="K499" s="21"/>
      <c r="L499" s="23"/>
    </row>
    <row r="500" spans="1:12">
      <c r="A500" s="22"/>
      <c r="D500" s="21"/>
      <c r="E500" s="21"/>
      <c r="F500" s="21"/>
      <c r="H500" s="21"/>
      <c r="K500" s="21"/>
      <c r="L500" s="23"/>
    </row>
    <row r="501" spans="1:12">
      <c r="A501" s="22"/>
      <c r="D501" s="21"/>
      <c r="E501" s="21"/>
      <c r="F501" s="21"/>
      <c r="H501" s="21"/>
      <c r="K501" s="21"/>
      <c r="L501" s="23"/>
    </row>
    <row r="502" spans="1:12">
      <c r="A502" s="22"/>
      <c r="D502" s="21"/>
      <c r="E502" s="21"/>
      <c r="F502" s="21"/>
      <c r="H502" s="21"/>
      <c r="K502" s="21"/>
      <c r="L502" s="23"/>
    </row>
    <row r="503" spans="1:12">
      <c r="A503" s="22"/>
      <c r="D503" s="21"/>
      <c r="E503" s="21"/>
      <c r="F503" s="21"/>
      <c r="H503" s="21"/>
      <c r="K503" s="21"/>
      <c r="L503" s="23"/>
    </row>
    <row r="504" spans="1:12">
      <c r="A504" s="22"/>
      <c r="D504" s="21"/>
      <c r="E504" s="21"/>
      <c r="F504" s="21"/>
      <c r="H504" s="21"/>
      <c r="K504" s="21"/>
      <c r="L504" s="23"/>
    </row>
    <row r="505" spans="1:12">
      <c r="A505" s="22"/>
      <c r="D505" s="21"/>
      <c r="E505" s="21"/>
      <c r="F505" s="21"/>
      <c r="H505" s="21"/>
      <c r="K505" s="21"/>
      <c r="L505" s="23"/>
    </row>
    <row r="506" spans="1:12">
      <c r="A506" s="22"/>
      <c r="D506" s="21"/>
      <c r="E506" s="21"/>
      <c r="F506" s="21"/>
      <c r="H506" s="21"/>
      <c r="K506" s="21"/>
      <c r="L506" s="23"/>
    </row>
    <row r="507" spans="1:12">
      <c r="A507" s="22"/>
      <c r="D507" s="21"/>
      <c r="E507" s="21"/>
      <c r="F507" s="21"/>
      <c r="H507" s="21"/>
      <c r="K507" s="21"/>
      <c r="L507" s="23"/>
    </row>
    <row r="508" spans="1:12">
      <c r="A508" s="22"/>
      <c r="D508" s="21"/>
      <c r="E508" s="21"/>
      <c r="F508" s="21"/>
      <c r="H508" s="21"/>
      <c r="K508" s="21"/>
      <c r="L508" s="23"/>
    </row>
    <row r="509" spans="1:12">
      <c r="A509" s="22"/>
      <c r="D509" s="21"/>
      <c r="E509" s="21"/>
      <c r="F509" s="21"/>
      <c r="H509" s="21"/>
      <c r="K509" s="21"/>
      <c r="L509" s="23"/>
    </row>
    <row r="510" spans="1:12">
      <c r="A510" s="22"/>
      <c r="D510" s="21"/>
      <c r="E510" s="21"/>
      <c r="F510" s="21"/>
      <c r="H510" s="21"/>
      <c r="K510" s="21"/>
      <c r="L510" s="23"/>
    </row>
    <row r="511" spans="1:12">
      <c r="A511" s="22"/>
      <c r="D511" s="21"/>
      <c r="E511" s="21"/>
      <c r="F511" s="21"/>
      <c r="H511" s="21"/>
      <c r="K511" s="21"/>
      <c r="L511" s="23"/>
    </row>
    <row r="512" spans="1:12">
      <c r="A512" s="22"/>
      <c r="D512" s="21"/>
      <c r="E512" s="21"/>
      <c r="F512" s="21"/>
      <c r="H512" s="21"/>
      <c r="K512" s="21"/>
      <c r="L512" s="23"/>
    </row>
    <row r="513" spans="1:12">
      <c r="A513" s="22"/>
      <c r="D513" s="21"/>
      <c r="E513" s="21"/>
      <c r="F513" s="21"/>
      <c r="H513" s="21"/>
      <c r="K513" s="21"/>
      <c r="L513" s="23"/>
    </row>
    <row r="514" spans="1:12">
      <c r="A514" s="22"/>
      <c r="D514" s="21"/>
      <c r="E514" s="21"/>
      <c r="F514" s="21"/>
      <c r="H514" s="21"/>
      <c r="K514" s="21"/>
      <c r="L514" s="23"/>
    </row>
    <row r="515" spans="1:12">
      <c r="A515" s="22"/>
      <c r="D515" s="21"/>
      <c r="E515" s="21"/>
      <c r="F515" s="21"/>
      <c r="H515" s="21"/>
      <c r="K515" s="21"/>
      <c r="L515" s="23"/>
    </row>
    <row r="516" spans="1:12">
      <c r="A516" s="22"/>
      <c r="D516" s="21"/>
      <c r="E516" s="21"/>
      <c r="F516" s="21"/>
      <c r="H516" s="21"/>
      <c r="K516" s="21"/>
      <c r="L516" s="23"/>
    </row>
    <row r="517" spans="1:12">
      <c r="A517" s="22"/>
      <c r="D517" s="21"/>
      <c r="E517" s="21"/>
      <c r="F517" s="21"/>
      <c r="H517" s="21"/>
      <c r="K517" s="21"/>
      <c r="L517" s="23"/>
    </row>
    <row r="518" spans="1:12">
      <c r="A518" s="22"/>
      <c r="D518" s="21"/>
      <c r="E518" s="21"/>
      <c r="F518" s="21"/>
      <c r="H518" s="21"/>
      <c r="K518" s="21"/>
      <c r="L518" s="23"/>
    </row>
    <row r="519" spans="1:12">
      <c r="A519" s="22"/>
      <c r="D519" s="21"/>
      <c r="E519" s="21"/>
      <c r="F519" s="21"/>
      <c r="H519" s="21"/>
      <c r="K519" s="21"/>
      <c r="L519" s="23"/>
    </row>
    <row r="520" spans="1:12">
      <c r="A520" s="22"/>
      <c r="D520" s="21"/>
      <c r="E520" s="21"/>
      <c r="F520" s="21"/>
      <c r="H520" s="21"/>
      <c r="K520" s="21"/>
      <c r="L520" s="23"/>
    </row>
    <row r="521" spans="1:12">
      <c r="A521" s="22"/>
      <c r="D521" s="21"/>
      <c r="E521" s="21"/>
      <c r="F521" s="21"/>
      <c r="H521" s="21"/>
      <c r="K521" s="21"/>
      <c r="L521" s="23"/>
    </row>
    <row r="522" spans="1:12">
      <c r="A522" s="22"/>
      <c r="D522" s="21"/>
      <c r="E522" s="21"/>
      <c r="F522" s="21"/>
      <c r="H522" s="21"/>
      <c r="K522" s="21"/>
      <c r="L522" s="23"/>
    </row>
    <row r="523" spans="1:12">
      <c r="A523" s="22"/>
      <c r="D523" s="21"/>
      <c r="E523" s="21"/>
      <c r="F523" s="21"/>
      <c r="H523" s="21"/>
      <c r="K523" s="21"/>
      <c r="L523" s="23"/>
    </row>
    <row r="524" spans="1:12">
      <c r="A524" s="22"/>
      <c r="D524" s="21"/>
      <c r="E524" s="21"/>
      <c r="F524" s="21"/>
      <c r="H524" s="21"/>
      <c r="K524" s="21"/>
      <c r="L524" s="23"/>
    </row>
    <row r="525" spans="1:12">
      <c r="A525" s="22"/>
      <c r="D525" s="21"/>
      <c r="E525" s="21"/>
      <c r="F525" s="21"/>
      <c r="H525" s="21"/>
      <c r="K525" s="21"/>
      <c r="L525" s="23"/>
    </row>
    <row r="526" spans="1:12">
      <c r="A526" s="22"/>
      <c r="D526" s="21"/>
      <c r="E526" s="21"/>
      <c r="F526" s="21"/>
      <c r="H526" s="21"/>
      <c r="K526" s="21"/>
      <c r="L526" s="23"/>
    </row>
    <row r="527" spans="1:12">
      <c r="A527" s="22"/>
      <c r="D527" s="21"/>
      <c r="E527" s="21"/>
      <c r="F527" s="21"/>
      <c r="H527" s="21"/>
      <c r="K527" s="21"/>
      <c r="L527" s="23"/>
    </row>
    <row r="528" spans="1:12">
      <c r="A528" s="22"/>
      <c r="D528" s="21"/>
      <c r="E528" s="21"/>
      <c r="F528" s="21"/>
      <c r="H528" s="21"/>
      <c r="K528" s="21"/>
      <c r="L528" s="23"/>
    </row>
    <row r="529" spans="1:12">
      <c r="A529" s="22"/>
      <c r="D529" s="21"/>
      <c r="E529" s="21"/>
      <c r="F529" s="21"/>
      <c r="H529" s="21"/>
      <c r="K529" s="21"/>
      <c r="L529" s="23"/>
    </row>
    <row r="530" spans="1:12">
      <c r="A530" s="22"/>
      <c r="D530" s="21"/>
      <c r="E530" s="21"/>
      <c r="F530" s="21"/>
      <c r="H530" s="21"/>
      <c r="K530" s="21"/>
      <c r="L530" s="23"/>
    </row>
    <row r="531" spans="1:12">
      <c r="A531" s="22"/>
      <c r="D531" s="21"/>
      <c r="E531" s="21"/>
      <c r="F531" s="21"/>
      <c r="H531" s="21"/>
      <c r="K531" s="21"/>
      <c r="L531" s="23"/>
    </row>
    <row r="532" spans="1:12">
      <c r="A532" s="22"/>
      <c r="D532" s="21"/>
      <c r="E532" s="21"/>
      <c r="F532" s="21"/>
      <c r="H532" s="21"/>
      <c r="K532" s="21"/>
      <c r="L532" s="23"/>
    </row>
    <row r="533" spans="1:12">
      <c r="A533" s="22"/>
      <c r="D533" s="21"/>
      <c r="E533" s="21"/>
      <c r="F533" s="21"/>
      <c r="H533" s="21"/>
      <c r="K533" s="21"/>
      <c r="L533" s="23"/>
    </row>
    <row r="534" spans="1:12">
      <c r="A534" s="22"/>
      <c r="D534" s="21"/>
      <c r="E534" s="21"/>
      <c r="F534" s="21"/>
      <c r="H534" s="21"/>
      <c r="K534" s="21"/>
      <c r="L534" s="23"/>
    </row>
    <row r="535" spans="1:12">
      <c r="A535" s="22"/>
      <c r="D535" s="21"/>
      <c r="E535" s="21"/>
      <c r="F535" s="21"/>
      <c r="H535" s="21"/>
      <c r="K535" s="21"/>
      <c r="L535" s="23"/>
    </row>
    <row r="536" spans="1:12">
      <c r="A536" s="22"/>
      <c r="D536" s="21"/>
      <c r="E536" s="21"/>
      <c r="F536" s="21"/>
      <c r="H536" s="21"/>
      <c r="K536" s="21"/>
      <c r="L536" s="23"/>
    </row>
    <row r="537" spans="1:12">
      <c r="A537" s="22"/>
      <c r="D537" s="21"/>
      <c r="E537" s="21"/>
      <c r="F537" s="21"/>
      <c r="H537" s="21"/>
      <c r="K537" s="21"/>
      <c r="L537" s="23"/>
    </row>
    <row r="538" spans="1:12">
      <c r="A538" s="22"/>
      <c r="D538" s="21"/>
      <c r="E538" s="21"/>
      <c r="F538" s="21"/>
      <c r="H538" s="21"/>
      <c r="K538" s="21"/>
      <c r="L538" s="23"/>
    </row>
    <row r="539" spans="1:12">
      <c r="A539" s="22"/>
      <c r="D539" s="21"/>
      <c r="E539" s="21"/>
      <c r="F539" s="21"/>
      <c r="H539" s="21"/>
      <c r="K539" s="21"/>
      <c r="L539" s="23"/>
    </row>
    <row r="540" spans="1:12">
      <c r="A540" s="22"/>
      <c r="D540" s="21"/>
      <c r="E540" s="21"/>
      <c r="F540" s="21"/>
      <c r="H540" s="21"/>
      <c r="K540" s="21"/>
      <c r="L540" s="23"/>
    </row>
    <row r="541" spans="1:12">
      <c r="A541" s="22"/>
      <c r="D541" s="21"/>
      <c r="E541" s="21"/>
      <c r="F541" s="21"/>
      <c r="H541" s="21"/>
      <c r="K541" s="21"/>
      <c r="L541" s="23"/>
    </row>
    <row r="542" spans="1:12">
      <c r="A542" s="22"/>
      <c r="D542" s="21"/>
      <c r="E542" s="21"/>
      <c r="F542" s="21"/>
      <c r="H542" s="21"/>
      <c r="K542" s="21"/>
      <c r="L542" s="23"/>
    </row>
    <row r="543" spans="1:12">
      <c r="A543" s="22"/>
      <c r="D543" s="21"/>
      <c r="E543" s="21"/>
      <c r="F543" s="21"/>
      <c r="H543" s="21"/>
      <c r="K543" s="21"/>
      <c r="L543" s="23"/>
    </row>
    <row r="544" spans="1:12">
      <c r="A544" s="22"/>
      <c r="D544" s="21"/>
      <c r="E544" s="21"/>
      <c r="F544" s="21"/>
      <c r="H544" s="21"/>
      <c r="K544" s="21"/>
      <c r="L544" s="23"/>
    </row>
    <row r="545" spans="1:12">
      <c r="A545" s="22"/>
      <c r="D545" s="21"/>
      <c r="E545" s="21"/>
      <c r="F545" s="21"/>
      <c r="H545" s="21"/>
      <c r="K545" s="21"/>
      <c r="L545" s="23"/>
    </row>
    <row r="546" spans="1:12">
      <c r="A546" s="22"/>
      <c r="D546" s="21"/>
      <c r="E546" s="21"/>
      <c r="F546" s="21"/>
      <c r="H546" s="21"/>
      <c r="K546" s="21"/>
      <c r="L546" s="23"/>
    </row>
    <row r="547" spans="1:12">
      <c r="A547" s="22"/>
      <c r="D547" s="21"/>
      <c r="E547" s="21"/>
      <c r="F547" s="21"/>
      <c r="H547" s="21"/>
      <c r="K547" s="21"/>
      <c r="L547" s="23"/>
    </row>
    <row r="548" spans="1:12">
      <c r="A548" s="22"/>
      <c r="D548" s="21"/>
      <c r="E548" s="21"/>
      <c r="F548" s="21"/>
      <c r="H548" s="21"/>
      <c r="K548" s="21"/>
      <c r="L548" s="23"/>
    </row>
    <row r="549" spans="1:12">
      <c r="A549" s="22"/>
      <c r="D549" s="21"/>
      <c r="E549" s="21"/>
      <c r="F549" s="21"/>
      <c r="H549" s="21"/>
      <c r="K549" s="21"/>
      <c r="L549" s="23"/>
    </row>
    <row r="550" spans="1:12">
      <c r="A550" s="22"/>
      <c r="D550" s="21"/>
      <c r="E550" s="21"/>
      <c r="F550" s="21"/>
      <c r="H550" s="21"/>
      <c r="K550" s="21"/>
      <c r="L550" s="23"/>
    </row>
    <row r="551" spans="1:12">
      <c r="A551" s="22"/>
      <c r="D551" s="21"/>
      <c r="E551" s="21"/>
      <c r="F551" s="21"/>
      <c r="H551" s="21"/>
      <c r="K551" s="21"/>
      <c r="L551" s="23"/>
    </row>
    <row r="552" spans="1:12">
      <c r="A552" s="22"/>
      <c r="D552" s="21"/>
      <c r="E552" s="21"/>
      <c r="F552" s="21"/>
      <c r="H552" s="21"/>
      <c r="K552" s="21"/>
      <c r="L552" s="23"/>
    </row>
    <row r="553" spans="1:12">
      <c r="A553" s="22"/>
      <c r="D553" s="21"/>
      <c r="E553" s="21"/>
      <c r="F553" s="21"/>
      <c r="H553" s="21"/>
      <c r="K553" s="21"/>
      <c r="L553" s="23"/>
    </row>
    <row r="554" spans="1:12">
      <c r="A554" s="22"/>
      <c r="D554" s="21"/>
      <c r="E554" s="21"/>
      <c r="F554" s="21"/>
      <c r="H554" s="21"/>
      <c r="K554" s="21"/>
      <c r="L554" s="23"/>
    </row>
    <row r="555" spans="1:12">
      <c r="A555" s="22"/>
      <c r="D555" s="21"/>
      <c r="E555" s="21"/>
      <c r="F555" s="21"/>
      <c r="H555" s="21"/>
      <c r="K555" s="21"/>
      <c r="L555" s="23"/>
    </row>
    <row r="556" spans="1:12">
      <c r="A556" s="22"/>
      <c r="D556" s="21"/>
      <c r="E556" s="21"/>
      <c r="F556" s="21"/>
      <c r="H556" s="21"/>
      <c r="K556" s="21"/>
      <c r="L556" s="23"/>
    </row>
    <row r="557" spans="1:12">
      <c r="A557" s="22"/>
      <c r="D557" s="21"/>
      <c r="E557" s="21"/>
      <c r="F557" s="21"/>
      <c r="H557" s="21"/>
      <c r="K557" s="21"/>
      <c r="L557" s="23"/>
    </row>
    <row r="558" spans="1:12">
      <c r="A558" s="22"/>
      <c r="D558" s="21"/>
      <c r="E558" s="21"/>
      <c r="F558" s="21"/>
      <c r="H558" s="21"/>
      <c r="K558" s="21"/>
      <c r="L558" s="23"/>
    </row>
    <row r="559" spans="1:12">
      <c r="A559" s="22"/>
      <c r="D559" s="21"/>
      <c r="E559" s="21"/>
      <c r="F559" s="21"/>
      <c r="H559" s="21"/>
      <c r="K559" s="21"/>
      <c r="L559" s="23"/>
    </row>
    <row r="560" spans="1:12">
      <c r="A560" s="22"/>
      <c r="D560" s="21"/>
      <c r="E560" s="21"/>
      <c r="F560" s="21"/>
      <c r="H560" s="21"/>
      <c r="K560" s="21"/>
      <c r="L560" s="23"/>
    </row>
    <row r="561" spans="1:12">
      <c r="A561" s="22"/>
      <c r="D561" s="21"/>
      <c r="E561" s="21"/>
      <c r="F561" s="21"/>
      <c r="H561" s="21"/>
      <c r="K561" s="21"/>
      <c r="L561" s="23"/>
    </row>
    <row r="562" spans="1:12">
      <c r="A562" s="22"/>
      <c r="D562" s="21"/>
      <c r="E562" s="21"/>
      <c r="F562" s="21"/>
      <c r="H562" s="21"/>
      <c r="K562" s="21"/>
      <c r="L562" s="23"/>
    </row>
    <row r="563" spans="1:12">
      <c r="A563" s="22"/>
      <c r="D563" s="21"/>
      <c r="E563" s="21"/>
      <c r="F563" s="21"/>
      <c r="H563" s="21"/>
      <c r="K563" s="21"/>
      <c r="L563" s="23"/>
    </row>
    <row r="564" spans="1:12">
      <c r="A564" s="22"/>
      <c r="D564" s="21"/>
      <c r="E564" s="21"/>
      <c r="F564" s="21"/>
      <c r="H564" s="21"/>
      <c r="K564" s="21"/>
      <c r="L564" s="23"/>
    </row>
    <row r="565" spans="1:12">
      <c r="A565" s="22"/>
      <c r="D565" s="21"/>
      <c r="E565" s="21"/>
      <c r="F565" s="21"/>
      <c r="H565" s="21"/>
      <c r="K565" s="21"/>
      <c r="L565" s="23"/>
    </row>
    <row r="566" spans="1:12">
      <c r="A566" s="22"/>
      <c r="D566" s="21"/>
      <c r="E566" s="21"/>
      <c r="F566" s="21"/>
      <c r="H566" s="21"/>
      <c r="K566" s="21"/>
      <c r="L566" s="23"/>
    </row>
    <row r="567" spans="1:12">
      <c r="A567" s="22"/>
      <c r="D567" s="21"/>
      <c r="E567" s="21"/>
      <c r="F567" s="21"/>
      <c r="H567" s="21"/>
      <c r="K567" s="21"/>
      <c r="L567" s="23"/>
    </row>
    <row r="568" spans="1:12">
      <c r="A568" s="22"/>
      <c r="D568" s="21"/>
      <c r="E568" s="21"/>
      <c r="F568" s="21"/>
      <c r="H568" s="21"/>
      <c r="K568" s="21"/>
      <c r="L568" s="23"/>
    </row>
    <row r="569" spans="1:12">
      <c r="A569" s="22"/>
      <c r="D569" s="21"/>
      <c r="E569" s="21"/>
      <c r="F569" s="21"/>
      <c r="H569" s="21"/>
      <c r="K569" s="21"/>
      <c r="L569" s="23"/>
    </row>
    <row r="570" spans="1:12">
      <c r="A570" s="22"/>
      <c r="D570" s="21"/>
      <c r="E570" s="21"/>
      <c r="F570" s="21"/>
      <c r="H570" s="21"/>
      <c r="K570" s="21"/>
      <c r="L570" s="23"/>
    </row>
    <row r="571" spans="1:12">
      <c r="A571" s="22"/>
      <c r="D571" s="21"/>
      <c r="E571" s="21"/>
      <c r="F571" s="21"/>
      <c r="H571" s="21"/>
      <c r="K571" s="21"/>
      <c r="L571" s="23"/>
    </row>
    <row r="572" spans="1:12">
      <c r="A572" s="22"/>
      <c r="D572" s="21"/>
      <c r="E572" s="21"/>
      <c r="F572" s="21"/>
      <c r="H572" s="21"/>
      <c r="K572" s="21"/>
      <c r="L572" s="23"/>
    </row>
    <row r="573" spans="1:12">
      <c r="A573" s="22"/>
      <c r="D573" s="21"/>
      <c r="E573" s="21"/>
      <c r="F573" s="21"/>
      <c r="H573" s="21"/>
      <c r="K573" s="21"/>
      <c r="L573" s="23"/>
    </row>
    <row r="574" spans="1:12">
      <c r="A574" s="22"/>
      <c r="D574" s="21"/>
      <c r="E574" s="21"/>
      <c r="F574" s="21"/>
      <c r="H574" s="21"/>
      <c r="K574" s="21"/>
      <c r="L574" s="23"/>
    </row>
    <row r="575" spans="1:12">
      <c r="A575" s="22"/>
      <c r="D575" s="21"/>
      <c r="E575" s="21"/>
      <c r="F575" s="21"/>
      <c r="H575" s="21"/>
      <c r="K575" s="21"/>
      <c r="L575" s="23"/>
    </row>
    <row r="576" spans="1:12">
      <c r="A576" s="22"/>
      <c r="D576" s="21"/>
      <c r="E576" s="21"/>
      <c r="F576" s="21"/>
      <c r="H576" s="21"/>
      <c r="K576" s="21"/>
      <c r="L576" s="23"/>
    </row>
    <row r="577" spans="1:12">
      <c r="A577" s="22"/>
      <c r="D577" s="21"/>
      <c r="E577" s="21"/>
      <c r="F577" s="21"/>
      <c r="H577" s="21"/>
      <c r="K577" s="21"/>
      <c r="L577" s="23"/>
    </row>
    <row r="578" spans="1:12">
      <c r="A578" s="22"/>
      <c r="D578" s="21"/>
      <c r="E578" s="21"/>
      <c r="F578" s="21"/>
      <c r="H578" s="21"/>
      <c r="K578" s="21"/>
      <c r="L578" s="23"/>
    </row>
    <row r="579" spans="1:12">
      <c r="A579" s="22"/>
      <c r="D579" s="21"/>
      <c r="E579" s="21"/>
      <c r="F579" s="21"/>
      <c r="H579" s="21"/>
      <c r="K579" s="21"/>
      <c r="L579" s="23"/>
    </row>
    <row r="580" spans="1:12">
      <c r="A580" s="22"/>
      <c r="D580" s="21"/>
      <c r="E580" s="21"/>
      <c r="F580" s="21"/>
      <c r="H580" s="21"/>
      <c r="K580" s="21"/>
      <c r="L580" s="23"/>
    </row>
    <row r="581" spans="1:12">
      <c r="A581" s="22"/>
      <c r="D581" s="21"/>
      <c r="E581" s="21"/>
      <c r="F581" s="21"/>
      <c r="H581" s="21"/>
      <c r="K581" s="21"/>
      <c r="L581" s="23"/>
    </row>
    <row r="582" spans="1:12">
      <c r="A582" s="22"/>
      <c r="D582" s="21"/>
      <c r="E582" s="21"/>
      <c r="F582" s="21"/>
      <c r="H582" s="21"/>
      <c r="K582" s="21"/>
      <c r="L582" s="23"/>
    </row>
    <row r="583" spans="1:12">
      <c r="A583" s="22"/>
      <c r="D583" s="21"/>
      <c r="E583" s="21"/>
      <c r="F583" s="21"/>
      <c r="H583" s="21"/>
      <c r="K583" s="21"/>
      <c r="L583" s="23"/>
    </row>
    <row r="584" spans="1:12">
      <c r="A584" s="22"/>
      <c r="D584" s="21"/>
      <c r="E584" s="21"/>
      <c r="F584" s="21"/>
      <c r="H584" s="21"/>
      <c r="K584" s="21"/>
      <c r="L584" s="23"/>
    </row>
    <row r="585" spans="1:12">
      <c r="A585" s="22"/>
      <c r="D585" s="21"/>
      <c r="E585" s="21"/>
      <c r="F585" s="21"/>
      <c r="H585" s="21"/>
      <c r="K585" s="21"/>
      <c r="L585" s="23"/>
    </row>
    <row r="586" spans="1:12">
      <c r="A586" s="22"/>
      <c r="D586" s="21"/>
      <c r="E586" s="21"/>
      <c r="F586" s="21"/>
      <c r="H586" s="21"/>
      <c r="K586" s="21"/>
      <c r="L586" s="23"/>
    </row>
    <row r="587" spans="1:12">
      <c r="A587" s="22"/>
      <c r="D587" s="21"/>
      <c r="E587" s="21"/>
      <c r="F587" s="21"/>
      <c r="H587" s="21"/>
      <c r="K587" s="21"/>
      <c r="L587" s="23"/>
    </row>
    <row r="588" spans="1:12">
      <c r="A588" s="22"/>
      <c r="D588" s="21"/>
      <c r="E588" s="21"/>
      <c r="F588" s="21"/>
      <c r="H588" s="21"/>
      <c r="K588" s="21"/>
      <c r="L588" s="23"/>
    </row>
    <row r="589" spans="1:12">
      <c r="A589" s="22"/>
      <c r="D589" s="21"/>
      <c r="E589" s="21"/>
      <c r="F589" s="21"/>
      <c r="H589" s="21"/>
      <c r="K589" s="21"/>
      <c r="L589" s="23"/>
    </row>
    <row r="590" spans="1:12">
      <c r="A590" s="22"/>
      <c r="D590" s="21"/>
      <c r="E590" s="21"/>
      <c r="F590" s="21"/>
      <c r="H590" s="21"/>
      <c r="K590" s="21"/>
      <c r="L590" s="23"/>
    </row>
    <row r="591" spans="1:12">
      <c r="A591" s="22"/>
      <c r="D591" s="21"/>
      <c r="E591" s="21"/>
      <c r="F591" s="21"/>
      <c r="H591" s="21"/>
      <c r="K591" s="21"/>
      <c r="L591" s="23"/>
    </row>
    <row r="592" spans="1:12">
      <c r="A592" s="22"/>
      <c r="D592" s="21"/>
      <c r="E592" s="21"/>
      <c r="F592" s="21"/>
      <c r="H592" s="21"/>
      <c r="K592" s="21"/>
      <c r="L592" s="23"/>
    </row>
    <row r="593" spans="1:12">
      <c r="A593" s="22"/>
      <c r="D593" s="21"/>
      <c r="E593" s="21"/>
      <c r="F593" s="21"/>
      <c r="H593" s="21"/>
      <c r="K593" s="21"/>
      <c r="L593" s="23"/>
    </row>
    <row r="594" spans="1:12">
      <c r="A594" s="22"/>
      <c r="D594" s="21"/>
      <c r="E594" s="21"/>
      <c r="F594" s="21"/>
      <c r="H594" s="21"/>
      <c r="K594" s="21"/>
      <c r="L594" s="23"/>
    </row>
    <row r="595" spans="1:12">
      <c r="A595" s="22"/>
      <c r="D595" s="21"/>
      <c r="E595" s="21"/>
      <c r="F595" s="21"/>
      <c r="H595" s="21"/>
      <c r="K595" s="21"/>
      <c r="L595" s="23"/>
    </row>
    <row r="596" spans="1:12">
      <c r="A596" s="22"/>
      <c r="D596" s="21"/>
      <c r="E596" s="21"/>
      <c r="F596" s="21"/>
      <c r="H596" s="21"/>
      <c r="K596" s="21"/>
      <c r="L596" s="23"/>
    </row>
    <row r="597" spans="1:12">
      <c r="A597" s="22"/>
      <c r="D597" s="21"/>
      <c r="E597" s="21"/>
      <c r="F597" s="21"/>
      <c r="H597" s="21"/>
      <c r="K597" s="21"/>
      <c r="L597" s="23"/>
    </row>
    <row r="598" spans="1:12">
      <c r="A598" s="22"/>
      <c r="D598" s="21"/>
      <c r="E598" s="21"/>
      <c r="F598" s="21"/>
      <c r="H598" s="21"/>
      <c r="K598" s="21"/>
      <c r="L598" s="23"/>
    </row>
    <row r="599" spans="1:12">
      <c r="A599" s="22"/>
      <c r="D599" s="21"/>
      <c r="E599" s="21"/>
      <c r="F599" s="21"/>
      <c r="H599" s="21"/>
      <c r="K599" s="21"/>
      <c r="L599" s="23"/>
    </row>
    <row r="600" spans="1:12">
      <c r="A600" s="22"/>
      <c r="D600" s="21"/>
      <c r="E600" s="21"/>
      <c r="F600" s="21"/>
      <c r="H600" s="21"/>
      <c r="K600" s="21"/>
      <c r="L600" s="23"/>
    </row>
    <row r="601" spans="1:12">
      <c r="A601" s="22"/>
      <c r="D601" s="21"/>
      <c r="E601" s="21"/>
      <c r="F601" s="21"/>
      <c r="H601" s="21"/>
      <c r="K601" s="21"/>
      <c r="L601" s="23"/>
    </row>
    <row r="602" spans="1:12">
      <c r="A602" s="22"/>
      <c r="D602" s="21"/>
      <c r="E602" s="21"/>
      <c r="F602" s="21"/>
      <c r="H602" s="21"/>
      <c r="K602" s="21"/>
      <c r="L602" s="23"/>
    </row>
    <row r="603" spans="1:12">
      <c r="A603" s="22"/>
      <c r="D603" s="21"/>
      <c r="E603" s="21"/>
      <c r="F603" s="21"/>
      <c r="H603" s="21"/>
      <c r="K603" s="21"/>
      <c r="L603" s="23"/>
    </row>
    <row r="604" spans="1:12">
      <c r="A604" s="22"/>
      <c r="D604" s="21"/>
      <c r="E604" s="21"/>
      <c r="F604" s="21"/>
      <c r="H604" s="21"/>
      <c r="K604" s="21"/>
      <c r="L604" s="23"/>
    </row>
    <row r="605" spans="1:12">
      <c r="A605" s="22"/>
      <c r="D605" s="21"/>
      <c r="E605" s="21"/>
      <c r="F605" s="21"/>
      <c r="H605" s="21"/>
      <c r="K605" s="21"/>
      <c r="L605" s="23"/>
    </row>
    <row r="606" spans="1:12">
      <c r="A606" s="22"/>
      <c r="D606" s="21"/>
      <c r="E606" s="21"/>
      <c r="F606" s="21"/>
      <c r="H606" s="21"/>
      <c r="K606" s="21"/>
      <c r="L606" s="23"/>
    </row>
    <row r="607" spans="1:12">
      <c r="A607" s="22"/>
      <c r="D607" s="21"/>
      <c r="E607" s="21"/>
      <c r="F607" s="21"/>
      <c r="H607" s="21"/>
      <c r="K607" s="21"/>
      <c r="L607" s="23"/>
    </row>
    <row r="608" spans="1:12">
      <c r="A608" s="22"/>
      <c r="D608" s="21"/>
      <c r="E608" s="21"/>
      <c r="F608" s="21"/>
      <c r="H608" s="21"/>
      <c r="K608" s="21"/>
      <c r="L608" s="23"/>
    </row>
    <row r="609" spans="1:12">
      <c r="A609" s="22"/>
      <c r="D609" s="21"/>
      <c r="E609" s="21"/>
      <c r="F609" s="21"/>
      <c r="H609" s="21"/>
      <c r="K609" s="21"/>
      <c r="L609" s="23"/>
    </row>
    <row r="610" spans="1:12">
      <c r="A610" s="22"/>
      <c r="D610" s="21"/>
      <c r="E610" s="21"/>
      <c r="F610" s="21"/>
      <c r="H610" s="21"/>
      <c r="K610" s="21"/>
      <c r="L610" s="23"/>
    </row>
    <row r="611" spans="1:12">
      <c r="A611" s="22"/>
      <c r="D611" s="21"/>
      <c r="E611" s="21"/>
      <c r="F611" s="21"/>
      <c r="H611" s="21"/>
      <c r="K611" s="21"/>
      <c r="L611" s="23"/>
    </row>
    <row r="612" spans="1:12">
      <c r="A612" s="22"/>
      <c r="D612" s="21"/>
      <c r="E612" s="21"/>
      <c r="F612" s="21"/>
      <c r="H612" s="21"/>
      <c r="K612" s="21"/>
      <c r="L612" s="23"/>
    </row>
    <row r="613" spans="1:12">
      <c r="A613" s="22"/>
      <c r="D613" s="21"/>
      <c r="E613" s="21"/>
      <c r="F613" s="21"/>
      <c r="H613" s="21"/>
      <c r="K613" s="21"/>
      <c r="L613" s="23"/>
    </row>
    <row r="614" spans="1:12">
      <c r="A614" s="22"/>
      <c r="D614" s="21"/>
      <c r="E614" s="21"/>
      <c r="F614" s="21"/>
      <c r="H614" s="21"/>
      <c r="K614" s="21"/>
      <c r="L614" s="23"/>
    </row>
    <row r="615" spans="1:12">
      <c r="A615" s="22"/>
      <c r="D615" s="21"/>
      <c r="E615" s="21"/>
      <c r="F615" s="21"/>
      <c r="H615" s="21"/>
      <c r="K615" s="21"/>
      <c r="L615" s="23"/>
    </row>
    <row r="616" spans="1:12">
      <c r="A616" s="22"/>
      <c r="D616" s="21"/>
      <c r="E616" s="21"/>
      <c r="F616" s="21"/>
      <c r="H616" s="21"/>
      <c r="K616" s="21"/>
      <c r="L616" s="23"/>
    </row>
    <row r="617" spans="1:12">
      <c r="A617" s="22"/>
      <c r="D617" s="21"/>
      <c r="E617" s="21"/>
      <c r="F617" s="21"/>
      <c r="H617" s="21"/>
      <c r="K617" s="21"/>
      <c r="L617" s="23"/>
    </row>
    <row r="618" spans="1:12">
      <c r="A618" s="22"/>
      <c r="D618" s="21"/>
      <c r="E618" s="21"/>
      <c r="F618" s="21"/>
      <c r="H618" s="21"/>
      <c r="K618" s="21"/>
      <c r="L618" s="23"/>
    </row>
    <row r="619" spans="1:12">
      <c r="A619" s="22"/>
      <c r="D619" s="21"/>
      <c r="E619" s="21"/>
      <c r="F619" s="21"/>
      <c r="H619" s="21"/>
      <c r="K619" s="21"/>
      <c r="L619" s="23"/>
    </row>
    <row r="620" spans="1:12">
      <c r="A620" s="22"/>
      <c r="D620" s="21"/>
      <c r="E620" s="21"/>
      <c r="F620" s="21"/>
      <c r="H620" s="21"/>
      <c r="K620" s="21"/>
      <c r="L620" s="23"/>
    </row>
    <row r="621" spans="1:12">
      <c r="A621" s="22"/>
      <c r="D621" s="21"/>
      <c r="E621" s="21"/>
      <c r="F621" s="21"/>
      <c r="H621" s="21"/>
      <c r="K621" s="21"/>
      <c r="L621" s="23"/>
    </row>
    <row r="622" spans="1:12">
      <c r="A622" s="22"/>
      <c r="D622" s="21"/>
      <c r="E622" s="21"/>
      <c r="F622" s="21"/>
      <c r="H622" s="21"/>
      <c r="K622" s="21"/>
      <c r="L622" s="23"/>
    </row>
    <row r="623" spans="1:12">
      <c r="A623" s="22"/>
      <c r="D623" s="21"/>
      <c r="E623" s="21"/>
      <c r="F623" s="21"/>
      <c r="H623" s="21"/>
      <c r="K623" s="21"/>
      <c r="L623" s="23"/>
    </row>
    <row r="624" spans="1:12">
      <c r="A624" s="22"/>
      <c r="D624" s="21"/>
      <c r="E624" s="21"/>
      <c r="F624" s="21"/>
      <c r="H624" s="21"/>
      <c r="K624" s="21"/>
      <c r="L624" s="23"/>
    </row>
    <row r="625" spans="1:12">
      <c r="A625" s="22"/>
      <c r="D625" s="21"/>
      <c r="E625" s="21"/>
      <c r="F625" s="21"/>
      <c r="H625" s="21"/>
      <c r="K625" s="21"/>
      <c r="L625" s="23"/>
    </row>
    <row r="626" spans="1:12">
      <c r="A626" s="22"/>
      <c r="D626" s="21"/>
      <c r="E626" s="21"/>
      <c r="F626" s="21"/>
      <c r="H626" s="21"/>
      <c r="K626" s="21"/>
      <c r="L626" s="23"/>
    </row>
    <row r="627" spans="1:12">
      <c r="A627" s="22"/>
      <c r="D627" s="21"/>
      <c r="E627" s="21"/>
      <c r="F627" s="21"/>
      <c r="H627" s="21"/>
      <c r="K627" s="21"/>
      <c r="L627" s="23"/>
    </row>
    <row r="628" spans="1:12">
      <c r="A628" s="22"/>
      <c r="D628" s="21"/>
      <c r="E628" s="21"/>
      <c r="F628" s="21"/>
      <c r="H628" s="21"/>
      <c r="K628" s="21"/>
      <c r="L628" s="23"/>
    </row>
    <row r="629" spans="1:12">
      <c r="A629" s="22"/>
      <c r="D629" s="21"/>
      <c r="E629" s="21"/>
      <c r="F629" s="21"/>
      <c r="H629" s="21"/>
      <c r="K629" s="21"/>
      <c r="L629" s="23"/>
    </row>
    <row r="630" spans="1:12">
      <c r="A630" s="22"/>
      <c r="D630" s="21"/>
      <c r="E630" s="21"/>
      <c r="F630" s="21"/>
      <c r="H630" s="21"/>
      <c r="K630" s="21"/>
      <c r="L630" s="23"/>
    </row>
    <row r="631" spans="1:12">
      <c r="A631" s="22"/>
      <c r="D631" s="21"/>
      <c r="E631" s="21"/>
      <c r="F631" s="21"/>
      <c r="H631" s="21"/>
      <c r="K631" s="21"/>
      <c r="L631" s="23"/>
    </row>
    <row r="632" spans="1:12">
      <c r="A632" s="22"/>
      <c r="D632" s="21"/>
      <c r="E632" s="21"/>
      <c r="F632" s="21"/>
      <c r="H632" s="21"/>
      <c r="K632" s="21"/>
      <c r="L632" s="23"/>
    </row>
    <row r="633" spans="1:12">
      <c r="A633" s="22"/>
      <c r="D633" s="21"/>
      <c r="E633" s="21"/>
      <c r="F633" s="21"/>
      <c r="H633" s="21"/>
      <c r="K633" s="21"/>
      <c r="L633" s="23"/>
    </row>
    <row r="634" spans="1:12">
      <c r="A634" s="22"/>
      <c r="D634" s="21"/>
      <c r="E634" s="21"/>
      <c r="F634" s="21"/>
      <c r="H634" s="21"/>
      <c r="K634" s="21"/>
      <c r="L634" s="23"/>
    </row>
    <row r="635" spans="1:12">
      <c r="A635" s="22"/>
      <c r="D635" s="21"/>
      <c r="E635" s="21"/>
      <c r="F635" s="21"/>
      <c r="H635" s="21"/>
      <c r="K635" s="21"/>
      <c r="L635" s="23"/>
    </row>
    <row r="636" spans="1:12">
      <c r="A636" s="22"/>
      <c r="D636" s="21"/>
      <c r="E636" s="21"/>
      <c r="F636" s="21"/>
      <c r="H636" s="21"/>
      <c r="K636" s="21"/>
      <c r="L636" s="23"/>
    </row>
    <row r="637" spans="1:12">
      <c r="A637" s="22"/>
      <c r="D637" s="21"/>
      <c r="E637" s="21"/>
      <c r="F637" s="21"/>
      <c r="H637" s="21"/>
      <c r="K637" s="21"/>
      <c r="L637" s="23"/>
    </row>
    <row r="638" spans="1:12">
      <c r="A638" s="22"/>
      <c r="D638" s="21"/>
      <c r="E638" s="21"/>
      <c r="F638" s="21"/>
      <c r="H638" s="21"/>
      <c r="K638" s="21"/>
      <c r="L638" s="23"/>
    </row>
    <row r="639" spans="1:12">
      <c r="A639" s="22"/>
      <c r="D639" s="21"/>
      <c r="E639" s="21"/>
      <c r="F639" s="21"/>
      <c r="H639" s="21"/>
      <c r="K639" s="21"/>
      <c r="L639" s="23"/>
    </row>
    <row r="640" spans="1:12">
      <c r="A640" s="22"/>
      <c r="D640" s="21"/>
      <c r="E640" s="21"/>
      <c r="F640" s="21"/>
      <c r="H640" s="21"/>
      <c r="K640" s="21"/>
      <c r="L640" s="23"/>
    </row>
    <row r="641" spans="1:12">
      <c r="A641" s="22"/>
      <c r="D641" s="21"/>
      <c r="E641" s="21"/>
      <c r="F641" s="21"/>
      <c r="H641" s="21"/>
      <c r="K641" s="21"/>
      <c r="L641" s="23"/>
    </row>
    <row r="642" spans="1:12">
      <c r="A642" s="22"/>
      <c r="D642" s="21"/>
      <c r="E642" s="21"/>
      <c r="F642" s="21"/>
      <c r="H642" s="21"/>
      <c r="K642" s="21"/>
      <c r="L642" s="23"/>
    </row>
    <row r="643" spans="1:12">
      <c r="A643" s="22"/>
      <c r="D643" s="21"/>
      <c r="E643" s="21"/>
      <c r="F643" s="21"/>
      <c r="H643" s="21"/>
      <c r="K643" s="21"/>
      <c r="L643" s="23"/>
    </row>
    <row r="644" spans="1:12">
      <c r="A644" s="22"/>
      <c r="D644" s="21"/>
      <c r="E644" s="21"/>
      <c r="F644" s="21"/>
      <c r="H644" s="21"/>
      <c r="K644" s="21"/>
      <c r="L644" s="23"/>
    </row>
    <row r="645" spans="1:12">
      <c r="A645" s="22"/>
      <c r="D645" s="21"/>
      <c r="E645" s="21"/>
      <c r="F645" s="21"/>
      <c r="H645" s="21"/>
      <c r="K645" s="21"/>
      <c r="L645" s="23"/>
    </row>
    <row r="646" spans="1:12">
      <c r="A646" s="22"/>
      <c r="D646" s="21"/>
      <c r="E646" s="21"/>
      <c r="F646" s="21"/>
      <c r="H646" s="21"/>
      <c r="K646" s="21"/>
      <c r="L646" s="23"/>
    </row>
    <row r="647" spans="1:12">
      <c r="A647" s="22"/>
      <c r="D647" s="21"/>
      <c r="E647" s="21"/>
      <c r="F647" s="21"/>
      <c r="H647" s="21"/>
      <c r="K647" s="21"/>
      <c r="L647" s="23"/>
    </row>
    <row r="648" spans="1:12">
      <c r="A648" s="22"/>
      <c r="D648" s="21"/>
      <c r="E648" s="21"/>
      <c r="F648" s="21"/>
      <c r="H648" s="21"/>
      <c r="K648" s="21"/>
      <c r="L648" s="23"/>
    </row>
    <row r="649" spans="1:12">
      <c r="A649" s="22"/>
      <c r="D649" s="21"/>
      <c r="E649" s="21"/>
      <c r="F649" s="21"/>
      <c r="H649" s="21"/>
      <c r="K649" s="21"/>
      <c r="L649" s="23"/>
    </row>
    <row r="650" spans="1:12">
      <c r="A650" s="22"/>
      <c r="D650" s="21"/>
      <c r="E650" s="21"/>
      <c r="F650" s="21"/>
      <c r="H650" s="21"/>
      <c r="K650" s="21"/>
      <c r="L650" s="23"/>
    </row>
    <row r="651" spans="1:12">
      <c r="A651" s="22"/>
      <c r="D651" s="21"/>
      <c r="E651" s="21"/>
      <c r="F651" s="21"/>
      <c r="H651" s="21"/>
      <c r="K651" s="21"/>
      <c r="L651" s="23"/>
    </row>
    <row r="652" spans="1:12">
      <c r="A652" s="22"/>
      <c r="D652" s="21"/>
      <c r="E652" s="21"/>
      <c r="F652" s="21"/>
      <c r="H652" s="21"/>
      <c r="K652" s="21"/>
      <c r="L652" s="23"/>
    </row>
    <row r="653" spans="1:12">
      <c r="A653" s="22"/>
      <c r="D653" s="21"/>
      <c r="E653" s="21"/>
      <c r="F653" s="21"/>
      <c r="H653" s="21"/>
      <c r="K653" s="21"/>
      <c r="L653" s="23"/>
    </row>
    <row r="654" spans="1:12">
      <c r="A654" s="22"/>
      <c r="D654" s="21"/>
      <c r="E654" s="21"/>
      <c r="F654" s="21"/>
      <c r="H654" s="21"/>
      <c r="K654" s="21"/>
      <c r="L654" s="23"/>
    </row>
    <row r="655" spans="1:12">
      <c r="A655" s="22"/>
      <c r="D655" s="21"/>
      <c r="E655" s="21"/>
      <c r="F655" s="21"/>
      <c r="H655" s="21"/>
      <c r="K655" s="21"/>
      <c r="L655" s="23"/>
    </row>
    <row r="656" spans="1:12">
      <c r="A656" s="22"/>
      <c r="D656" s="21"/>
      <c r="E656" s="21"/>
      <c r="F656" s="21"/>
      <c r="H656" s="21"/>
      <c r="K656" s="21"/>
      <c r="L656" s="23"/>
    </row>
    <row r="657" spans="1:12">
      <c r="A657" s="22"/>
      <c r="D657" s="21"/>
      <c r="E657" s="21"/>
      <c r="F657" s="21"/>
      <c r="H657" s="21"/>
      <c r="K657" s="21"/>
      <c r="L657" s="23"/>
    </row>
    <row r="658" spans="1:12">
      <c r="A658" s="22"/>
      <c r="D658" s="21"/>
      <c r="E658" s="21"/>
      <c r="F658" s="21"/>
      <c r="H658" s="21"/>
      <c r="K658" s="21"/>
      <c r="L658" s="23"/>
    </row>
    <row r="659" spans="1:12">
      <c r="A659" s="22"/>
      <c r="D659" s="21"/>
      <c r="E659" s="21"/>
      <c r="F659" s="21"/>
      <c r="H659" s="21"/>
      <c r="K659" s="21"/>
      <c r="L659" s="23"/>
    </row>
    <row r="660" spans="1:12">
      <c r="A660" s="22"/>
      <c r="D660" s="21"/>
      <c r="E660" s="21"/>
      <c r="F660" s="21"/>
      <c r="H660" s="21"/>
      <c r="K660" s="21"/>
      <c r="L660" s="23"/>
    </row>
    <row r="661" spans="1:12">
      <c r="A661" s="22"/>
      <c r="D661" s="21"/>
      <c r="E661" s="21"/>
      <c r="F661" s="21"/>
      <c r="H661" s="21"/>
      <c r="K661" s="21"/>
      <c r="L661" s="23"/>
    </row>
    <row r="662" spans="1:12">
      <c r="A662" s="22"/>
      <c r="D662" s="21"/>
      <c r="E662" s="21"/>
      <c r="F662" s="21"/>
      <c r="H662" s="21"/>
      <c r="K662" s="21"/>
      <c r="L662" s="23"/>
    </row>
    <row r="663" spans="1:12">
      <c r="A663" s="22"/>
      <c r="D663" s="21"/>
      <c r="E663" s="21"/>
      <c r="F663" s="21"/>
      <c r="H663" s="21"/>
      <c r="K663" s="21"/>
      <c r="L663" s="23"/>
    </row>
    <row r="664" spans="1:12">
      <c r="A664" s="22"/>
      <c r="D664" s="21"/>
      <c r="E664" s="21"/>
      <c r="F664" s="21"/>
      <c r="H664" s="21"/>
      <c r="K664" s="21"/>
      <c r="L664" s="23"/>
    </row>
    <row r="665" spans="1:12">
      <c r="A665" s="22"/>
      <c r="D665" s="21"/>
      <c r="E665" s="21"/>
      <c r="F665" s="21"/>
      <c r="H665" s="21"/>
      <c r="K665" s="21"/>
      <c r="L665" s="23"/>
    </row>
    <row r="666" spans="1:12">
      <c r="A666" s="22"/>
      <c r="D666" s="21"/>
      <c r="E666" s="21"/>
      <c r="F666" s="21"/>
      <c r="H666" s="21"/>
      <c r="K666" s="21"/>
      <c r="L666" s="23"/>
    </row>
    <row r="667" spans="1:12">
      <c r="A667" s="22"/>
      <c r="D667" s="21"/>
      <c r="E667" s="21"/>
      <c r="F667" s="21"/>
      <c r="H667" s="21"/>
      <c r="K667" s="21"/>
      <c r="L667" s="23"/>
    </row>
    <row r="668" spans="1:12">
      <c r="A668" s="22"/>
      <c r="D668" s="21"/>
      <c r="E668" s="21"/>
      <c r="F668" s="21"/>
      <c r="H668" s="21"/>
      <c r="K668" s="21"/>
      <c r="L668" s="23"/>
    </row>
    <row r="669" spans="1:12">
      <c r="A669" s="22"/>
      <c r="D669" s="21"/>
      <c r="E669" s="21"/>
      <c r="F669" s="21"/>
      <c r="H669" s="21"/>
      <c r="K669" s="21"/>
      <c r="L669" s="23"/>
    </row>
    <row r="670" spans="1:12">
      <c r="A670" s="22"/>
      <c r="D670" s="21"/>
      <c r="E670" s="21"/>
      <c r="F670" s="21"/>
      <c r="H670" s="21"/>
      <c r="K670" s="21"/>
      <c r="L670" s="23"/>
    </row>
    <row r="671" spans="1:12">
      <c r="A671" s="22"/>
      <c r="D671" s="21"/>
      <c r="E671" s="21"/>
      <c r="F671" s="21"/>
      <c r="H671" s="21"/>
      <c r="K671" s="21"/>
      <c r="L671" s="23"/>
    </row>
    <row r="672" spans="1:12">
      <c r="A672" s="22"/>
      <c r="D672" s="21"/>
      <c r="E672" s="21"/>
      <c r="F672" s="21"/>
      <c r="H672" s="21"/>
      <c r="K672" s="21"/>
      <c r="L672" s="23"/>
    </row>
    <row r="673" spans="1:12">
      <c r="A673" s="22"/>
      <c r="D673" s="21"/>
      <c r="E673" s="21"/>
      <c r="F673" s="21"/>
      <c r="H673" s="21"/>
      <c r="K673" s="21"/>
      <c r="L673" s="23"/>
    </row>
    <row r="674" spans="1:12">
      <c r="A674" s="22"/>
      <c r="D674" s="21"/>
      <c r="E674" s="21"/>
      <c r="F674" s="21"/>
      <c r="H674" s="21"/>
      <c r="K674" s="21"/>
      <c r="L674" s="23"/>
    </row>
    <row r="675" spans="1:12">
      <c r="A675" s="22"/>
      <c r="D675" s="21"/>
      <c r="E675" s="21"/>
      <c r="F675" s="21"/>
      <c r="H675" s="21"/>
      <c r="K675" s="21"/>
      <c r="L675" s="23"/>
    </row>
    <row r="676" spans="1:12">
      <c r="A676" s="22"/>
      <c r="D676" s="21"/>
      <c r="E676" s="21"/>
      <c r="F676" s="21"/>
      <c r="H676" s="21"/>
      <c r="K676" s="21"/>
      <c r="L676" s="23"/>
    </row>
    <row r="677" spans="1:12">
      <c r="A677" s="22"/>
      <c r="D677" s="21"/>
      <c r="E677" s="21"/>
      <c r="F677" s="21"/>
      <c r="H677" s="21"/>
      <c r="K677" s="21"/>
      <c r="L677" s="23"/>
    </row>
    <row r="678" spans="1:12">
      <c r="A678" s="22"/>
      <c r="D678" s="21"/>
      <c r="E678" s="21"/>
      <c r="F678" s="21"/>
      <c r="H678" s="21"/>
      <c r="K678" s="21"/>
      <c r="L678" s="23"/>
    </row>
    <row r="679" spans="1:12">
      <c r="A679" s="22"/>
      <c r="D679" s="21"/>
      <c r="E679" s="21"/>
      <c r="F679" s="21"/>
      <c r="H679" s="21"/>
      <c r="K679" s="21"/>
      <c r="L679" s="23"/>
    </row>
    <row r="680" spans="1:12">
      <c r="A680" s="22"/>
      <c r="D680" s="21"/>
      <c r="E680" s="21"/>
      <c r="F680" s="21"/>
      <c r="H680" s="21"/>
      <c r="K680" s="21"/>
      <c r="L680" s="23"/>
    </row>
    <row r="681" spans="1:12">
      <c r="A681" s="22"/>
      <c r="D681" s="21"/>
      <c r="E681" s="21"/>
      <c r="F681" s="21"/>
      <c r="H681" s="21"/>
      <c r="K681" s="21"/>
      <c r="L681" s="23"/>
    </row>
    <row r="682" spans="1:12">
      <c r="A682" s="22"/>
      <c r="D682" s="21"/>
      <c r="E682" s="21"/>
      <c r="F682" s="21"/>
      <c r="H682" s="21"/>
      <c r="K682" s="21"/>
      <c r="L682" s="23"/>
    </row>
    <row r="683" spans="1:12">
      <c r="A683" s="22"/>
      <c r="D683" s="21"/>
      <c r="E683" s="21"/>
      <c r="F683" s="21"/>
      <c r="H683" s="21"/>
      <c r="K683" s="21"/>
      <c r="L683" s="23"/>
    </row>
    <row r="684" spans="1:12">
      <c r="A684" s="22"/>
      <c r="D684" s="21"/>
      <c r="E684" s="21"/>
      <c r="F684" s="21"/>
      <c r="H684" s="21"/>
      <c r="K684" s="21"/>
      <c r="L684" s="23"/>
    </row>
    <row r="685" spans="1:12">
      <c r="A685" s="22"/>
      <c r="D685" s="21"/>
      <c r="E685" s="21"/>
      <c r="F685" s="21"/>
      <c r="H685" s="21"/>
      <c r="K685" s="21"/>
      <c r="L685" s="23"/>
    </row>
    <row r="686" spans="1:12">
      <c r="A686" s="22"/>
      <c r="D686" s="21"/>
      <c r="E686" s="21"/>
      <c r="F686" s="21"/>
      <c r="H686" s="21"/>
      <c r="K686" s="21"/>
      <c r="L686" s="23"/>
    </row>
    <row r="687" spans="1:12">
      <c r="A687" s="22"/>
      <c r="D687" s="21"/>
      <c r="E687" s="21"/>
      <c r="F687" s="21"/>
      <c r="H687" s="21"/>
      <c r="K687" s="21"/>
      <c r="L687" s="23"/>
    </row>
    <row r="688" spans="1:12">
      <c r="A688" s="22"/>
      <c r="D688" s="21"/>
      <c r="E688" s="21"/>
      <c r="F688" s="21"/>
      <c r="H688" s="21"/>
      <c r="K688" s="21"/>
      <c r="L688" s="23"/>
    </row>
    <row r="689" spans="1:12">
      <c r="A689" s="22"/>
      <c r="D689" s="21"/>
      <c r="E689" s="21"/>
      <c r="F689" s="21"/>
      <c r="H689" s="21"/>
      <c r="K689" s="21"/>
      <c r="L689" s="23"/>
    </row>
    <row r="690" spans="1:12">
      <c r="A690" s="22"/>
      <c r="D690" s="21"/>
      <c r="E690" s="21"/>
      <c r="F690" s="21"/>
      <c r="H690" s="21"/>
      <c r="K690" s="21"/>
      <c r="L690" s="23"/>
    </row>
    <row r="691" spans="1:12">
      <c r="A691" s="22"/>
      <c r="D691" s="21"/>
      <c r="E691" s="21"/>
      <c r="F691" s="21"/>
      <c r="H691" s="21"/>
      <c r="K691" s="21"/>
      <c r="L691" s="23"/>
    </row>
    <row r="692" spans="1:12">
      <c r="A692" s="22"/>
      <c r="D692" s="21"/>
      <c r="E692" s="21"/>
      <c r="F692" s="21"/>
      <c r="H692" s="21"/>
      <c r="K692" s="21"/>
      <c r="L692" s="23"/>
    </row>
    <row r="693" spans="1:12">
      <c r="A693" s="22"/>
      <c r="D693" s="21"/>
      <c r="E693" s="21"/>
      <c r="F693" s="21"/>
      <c r="H693" s="21"/>
      <c r="K693" s="21"/>
      <c r="L693" s="23"/>
    </row>
    <row r="694" spans="1:12">
      <c r="A694" s="22"/>
      <c r="D694" s="21"/>
      <c r="E694" s="21"/>
      <c r="F694" s="21"/>
      <c r="H694" s="21"/>
      <c r="K694" s="21"/>
      <c r="L694" s="23"/>
    </row>
    <row r="695" spans="1:12">
      <c r="A695" s="22"/>
      <c r="D695" s="21"/>
      <c r="E695" s="21"/>
      <c r="F695" s="21"/>
      <c r="H695" s="21"/>
      <c r="K695" s="21"/>
      <c r="L695" s="23"/>
    </row>
    <row r="696" spans="1:12">
      <c r="A696" s="22"/>
      <c r="D696" s="21"/>
      <c r="E696" s="21"/>
      <c r="F696" s="21"/>
      <c r="H696" s="21"/>
      <c r="K696" s="21"/>
      <c r="L696" s="23"/>
    </row>
    <row r="697" spans="1:12">
      <c r="A697" s="22"/>
      <c r="D697" s="21"/>
      <c r="E697" s="21"/>
      <c r="F697" s="21"/>
      <c r="H697" s="21"/>
      <c r="K697" s="21"/>
      <c r="L697" s="23"/>
    </row>
    <row r="698" spans="1:12">
      <c r="A698" s="22"/>
      <c r="D698" s="21"/>
      <c r="E698" s="21"/>
      <c r="F698" s="21"/>
      <c r="H698" s="21"/>
      <c r="K698" s="21"/>
      <c r="L698" s="23"/>
    </row>
    <row r="699" spans="1:12">
      <c r="A699" s="22"/>
      <c r="D699" s="21"/>
      <c r="E699" s="21"/>
      <c r="F699" s="21"/>
      <c r="H699" s="21"/>
      <c r="K699" s="21"/>
      <c r="L699" s="23"/>
    </row>
    <row r="700" spans="1:12">
      <c r="A700" s="22"/>
      <c r="D700" s="21"/>
      <c r="E700" s="21"/>
      <c r="F700" s="21"/>
      <c r="H700" s="21"/>
      <c r="K700" s="21"/>
      <c r="L700" s="23"/>
    </row>
    <row r="701" spans="1:12">
      <c r="A701" s="22"/>
      <c r="D701" s="21"/>
      <c r="E701" s="21"/>
      <c r="F701" s="21"/>
      <c r="H701" s="21"/>
      <c r="K701" s="21"/>
      <c r="L701" s="23"/>
    </row>
    <row r="702" spans="1:12">
      <c r="A702" s="22"/>
      <c r="D702" s="21"/>
      <c r="E702" s="21"/>
      <c r="F702" s="21"/>
      <c r="H702" s="21"/>
      <c r="K702" s="21"/>
      <c r="L702" s="23"/>
    </row>
    <row r="703" spans="1:12">
      <c r="A703" s="22"/>
      <c r="D703" s="21"/>
      <c r="E703" s="21"/>
      <c r="F703" s="21"/>
      <c r="H703" s="21"/>
      <c r="K703" s="21"/>
      <c r="L703" s="23"/>
    </row>
    <row r="704" spans="1:12">
      <c r="A704" s="22"/>
      <c r="D704" s="21"/>
      <c r="E704" s="21"/>
      <c r="F704" s="21"/>
      <c r="H704" s="21"/>
      <c r="K704" s="21"/>
      <c r="L704" s="23"/>
    </row>
    <row r="705" spans="1:12">
      <c r="A705" s="22"/>
      <c r="D705" s="21"/>
      <c r="E705" s="21"/>
      <c r="F705" s="21"/>
      <c r="H705" s="21"/>
      <c r="K705" s="21"/>
      <c r="L705" s="23"/>
    </row>
    <row r="706" spans="1:12">
      <c r="A706" s="22"/>
      <c r="D706" s="21"/>
      <c r="E706" s="21"/>
      <c r="F706" s="21"/>
      <c r="H706" s="21"/>
      <c r="K706" s="21"/>
      <c r="L706" s="23"/>
    </row>
    <row r="707" spans="1:12">
      <c r="A707" s="22"/>
      <c r="D707" s="21"/>
      <c r="E707" s="21"/>
      <c r="F707" s="21"/>
      <c r="H707" s="21"/>
      <c r="K707" s="21"/>
      <c r="L707" s="23"/>
    </row>
    <row r="708" spans="1:12">
      <c r="A708" s="22"/>
      <c r="D708" s="21"/>
      <c r="E708" s="21"/>
      <c r="F708" s="21"/>
      <c r="H708" s="21"/>
      <c r="K708" s="21"/>
      <c r="L708" s="23"/>
    </row>
    <row r="709" spans="1:12">
      <c r="A709" s="22"/>
      <c r="D709" s="21"/>
      <c r="E709" s="21"/>
      <c r="F709" s="21"/>
      <c r="H709" s="21"/>
      <c r="K709" s="21"/>
      <c r="L709" s="23"/>
    </row>
    <row r="710" spans="1:12">
      <c r="A710" s="22"/>
      <c r="D710" s="21"/>
      <c r="E710" s="21"/>
      <c r="F710" s="21"/>
      <c r="H710" s="21"/>
      <c r="K710" s="21"/>
      <c r="L710" s="23"/>
    </row>
    <row r="711" spans="1:12">
      <c r="A711" s="22"/>
      <c r="D711" s="21"/>
      <c r="E711" s="21"/>
      <c r="F711" s="21"/>
      <c r="H711" s="21"/>
      <c r="K711" s="21"/>
      <c r="L711" s="23"/>
    </row>
    <row r="712" spans="1:12">
      <c r="A712" s="22"/>
      <c r="D712" s="21"/>
      <c r="E712" s="21"/>
      <c r="F712" s="21"/>
      <c r="H712" s="21"/>
      <c r="K712" s="21"/>
      <c r="L712" s="23"/>
    </row>
    <row r="713" spans="1:12">
      <c r="A713" s="22"/>
      <c r="D713" s="21"/>
      <c r="E713" s="21"/>
      <c r="F713" s="21"/>
      <c r="H713" s="21"/>
      <c r="K713" s="21"/>
      <c r="L713" s="23"/>
    </row>
    <row r="714" spans="1:12">
      <c r="A714" s="22"/>
      <c r="D714" s="21"/>
      <c r="E714" s="21"/>
      <c r="F714" s="21"/>
      <c r="H714" s="21"/>
      <c r="K714" s="21"/>
      <c r="L714" s="23"/>
    </row>
    <row r="715" spans="1:12">
      <c r="A715" s="22"/>
      <c r="D715" s="21"/>
      <c r="E715" s="21"/>
      <c r="F715" s="21"/>
      <c r="H715" s="21"/>
      <c r="K715" s="21"/>
      <c r="L715" s="23"/>
    </row>
    <row r="716" spans="1:12">
      <c r="A716" s="22"/>
      <c r="D716" s="21"/>
      <c r="E716" s="21"/>
      <c r="F716" s="21"/>
      <c r="H716" s="21"/>
      <c r="K716" s="21"/>
      <c r="L716" s="23"/>
    </row>
    <row r="717" spans="1:12">
      <c r="A717" s="22"/>
      <c r="D717" s="21"/>
      <c r="E717" s="21"/>
      <c r="F717" s="21"/>
      <c r="H717" s="21"/>
      <c r="K717" s="21"/>
      <c r="L717" s="23"/>
    </row>
    <row r="718" spans="1:12">
      <c r="A718" s="22"/>
      <c r="D718" s="21"/>
      <c r="E718" s="21"/>
      <c r="F718" s="21"/>
      <c r="H718" s="21"/>
      <c r="K718" s="21"/>
      <c r="L718" s="23"/>
    </row>
    <row r="719" spans="1:12">
      <c r="A719" s="22"/>
      <c r="D719" s="21"/>
      <c r="E719" s="21"/>
      <c r="F719" s="21"/>
      <c r="H719" s="21"/>
      <c r="K719" s="21"/>
      <c r="L719" s="23"/>
    </row>
    <row r="720" spans="1:12">
      <c r="A720" s="22"/>
      <c r="D720" s="21"/>
      <c r="E720" s="21"/>
      <c r="F720" s="21"/>
      <c r="H720" s="21"/>
      <c r="K720" s="21"/>
      <c r="L720" s="23"/>
    </row>
    <row r="721" spans="1:12">
      <c r="A721" s="22"/>
      <c r="D721" s="21"/>
      <c r="E721" s="21"/>
      <c r="F721" s="21"/>
      <c r="H721" s="21"/>
      <c r="K721" s="21"/>
      <c r="L721" s="23"/>
    </row>
    <row r="722" spans="1:12">
      <c r="A722" s="22"/>
      <c r="D722" s="21"/>
      <c r="E722" s="21"/>
      <c r="F722" s="21"/>
      <c r="H722" s="21"/>
      <c r="K722" s="21"/>
      <c r="L722" s="23"/>
    </row>
    <row r="723" spans="1:12">
      <c r="A723" s="22"/>
      <c r="D723" s="21"/>
      <c r="E723" s="21"/>
      <c r="F723" s="21"/>
      <c r="H723" s="21"/>
      <c r="K723" s="21"/>
      <c r="L723" s="23"/>
    </row>
    <row r="724" spans="1:12">
      <c r="A724" s="22"/>
      <c r="D724" s="21"/>
      <c r="E724" s="21"/>
      <c r="F724" s="21"/>
      <c r="H724" s="21"/>
      <c r="K724" s="21"/>
      <c r="L724" s="23"/>
    </row>
    <row r="725" spans="1:12">
      <c r="A725" s="22"/>
      <c r="D725" s="21"/>
      <c r="E725" s="21"/>
      <c r="F725" s="21"/>
      <c r="H725" s="21"/>
      <c r="K725" s="21"/>
      <c r="L725" s="23"/>
    </row>
    <row r="726" spans="1:12">
      <c r="A726" s="22"/>
      <c r="D726" s="21"/>
      <c r="E726" s="21"/>
      <c r="F726" s="21"/>
      <c r="H726" s="21"/>
      <c r="K726" s="21"/>
      <c r="L726" s="23"/>
    </row>
    <row r="727" spans="1:12">
      <c r="A727" s="22"/>
      <c r="D727" s="21"/>
      <c r="E727" s="21"/>
      <c r="F727" s="21"/>
      <c r="H727" s="21"/>
      <c r="K727" s="21"/>
      <c r="L727" s="23"/>
    </row>
    <row r="728" spans="1:12">
      <c r="A728" s="22"/>
      <c r="D728" s="21"/>
      <c r="E728" s="21"/>
      <c r="F728" s="21"/>
      <c r="H728" s="21"/>
      <c r="K728" s="21"/>
      <c r="L728" s="23"/>
    </row>
    <row r="729" spans="1:12">
      <c r="A729" s="22"/>
      <c r="D729" s="21"/>
      <c r="E729" s="21"/>
      <c r="F729" s="21"/>
      <c r="H729" s="21"/>
      <c r="K729" s="21"/>
      <c r="L729" s="23"/>
    </row>
    <row r="730" spans="1:12">
      <c r="A730" s="22"/>
      <c r="D730" s="21"/>
      <c r="E730" s="21"/>
      <c r="F730" s="21"/>
      <c r="H730" s="21"/>
      <c r="K730" s="21"/>
      <c r="L730" s="23"/>
    </row>
    <row r="731" spans="1:12">
      <c r="A731" s="22"/>
      <c r="D731" s="21"/>
      <c r="E731" s="21"/>
      <c r="F731" s="21"/>
      <c r="H731" s="21"/>
      <c r="K731" s="21"/>
      <c r="L731" s="23"/>
    </row>
    <row r="732" spans="1:12">
      <c r="A732" s="22"/>
      <c r="D732" s="21"/>
      <c r="E732" s="21"/>
      <c r="F732" s="21"/>
      <c r="H732" s="21"/>
      <c r="K732" s="21"/>
      <c r="L732" s="23"/>
    </row>
    <row r="733" spans="1:12">
      <c r="A733" s="22"/>
      <c r="D733" s="21"/>
      <c r="E733" s="21"/>
      <c r="F733" s="21"/>
      <c r="H733" s="21"/>
      <c r="K733" s="21"/>
      <c r="L733" s="23"/>
    </row>
    <row r="734" spans="1:12">
      <c r="A734" s="22"/>
      <c r="D734" s="21"/>
      <c r="E734" s="21"/>
      <c r="F734" s="21"/>
      <c r="H734" s="21"/>
      <c r="K734" s="21"/>
      <c r="L734" s="23"/>
    </row>
    <row r="735" spans="1:12">
      <c r="A735" s="22"/>
      <c r="D735" s="21"/>
      <c r="E735" s="21"/>
      <c r="F735" s="21"/>
      <c r="H735" s="21"/>
      <c r="K735" s="21"/>
      <c r="L735" s="23"/>
    </row>
    <row r="736" spans="1:12">
      <c r="A736" s="22"/>
      <c r="D736" s="21"/>
      <c r="E736" s="21"/>
      <c r="F736" s="21"/>
      <c r="H736" s="21"/>
      <c r="K736" s="21"/>
      <c r="L736" s="23"/>
    </row>
    <row r="737" spans="1:12">
      <c r="A737" s="22"/>
      <c r="D737" s="21"/>
      <c r="E737" s="21"/>
      <c r="F737" s="21"/>
      <c r="H737" s="21"/>
      <c r="K737" s="21"/>
      <c r="L737" s="23"/>
    </row>
    <row r="738" spans="1:12">
      <c r="A738" s="22"/>
      <c r="D738" s="21"/>
      <c r="E738" s="21"/>
      <c r="F738" s="21"/>
      <c r="H738" s="21"/>
      <c r="K738" s="21"/>
      <c r="L738" s="23"/>
    </row>
    <row r="739" spans="1:12">
      <c r="A739" s="22"/>
      <c r="D739" s="21"/>
      <c r="E739" s="21"/>
      <c r="F739" s="21"/>
      <c r="H739" s="21"/>
      <c r="K739" s="21"/>
      <c r="L739" s="23"/>
    </row>
    <row r="740" spans="1:12">
      <c r="A740" s="22"/>
      <c r="D740" s="21"/>
      <c r="E740" s="21"/>
      <c r="F740" s="21"/>
      <c r="H740" s="21"/>
      <c r="K740" s="21"/>
      <c r="L740" s="23"/>
    </row>
    <row r="741" spans="1:12">
      <c r="A741" s="22"/>
      <c r="D741" s="21"/>
      <c r="E741" s="21"/>
      <c r="F741" s="21"/>
      <c r="H741" s="21"/>
      <c r="K741" s="21"/>
      <c r="L741" s="23"/>
    </row>
    <row r="742" spans="1:12">
      <c r="A742" s="22"/>
      <c r="D742" s="21"/>
      <c r="E742" s="21"/>
      <c r="F742" s="21"/>
      <c r="H742" s="21"/>
      <c r="K742" s="21"/>
      <c r="L742" s="23"/>
    </row>
    <row r="743" spans="1:12">
      <c r="A743" s="22"/>
      <c r="D743" s="21"/>
      <c r="E743" s="21"/>
      <c r="F743" s="21"/>
      <c r="H743" s="21"/>
      <c r="K743" s="21"/>
      <c r="L743" s="23"/>
    </row>
    <row r="744" spans="1:12">
      <c r="A744" s="22"/>
      <c r="D744" s="21"/>
      <c r="E744" s="21"/>
      <c r="F744" s="21"/>
      <c r="H744" s="21"/>
      <c r="K744" s="21"/>
      <c r="L744" s="23"/>
    </row>
    <row r="745" spans="1:12">
      <c r="A745" s="22"/>
      <c r="D745" s="21"/>
      <c r="E745" s="21"/>
      <c r="F745" s="21"/>
      <c r="H745" s="21"/>
      <c r="K745" s="21"/>
      <c r="L745" s="23"/>
    </row>
    <row r="746" spans="1:12">
      <c r="A746" s="22"/>
      <c r="D746" s="21"/>
      <c r="E746" s="21"/>
      <c r="F746" s="21"/>
      <c r="H746" s="21"/>
      <c r="K746" s="21"/>
      <c r="L746" s="23"/>
    </row>
    <row r="747" spans="1:12">
      <c r="A747" s="22"/>
      <c r="D747" s="21"/>
      <c r="E747" s="21"/>
      <c r="F747" s="21"/>
      <c r="H747" s="21"/>
      <c r="K747" s="21"/>
      <c r="L747" s="23"/>
    </row>
    <row r="748" spans="1:12">
      <c r="A748" s="22"/>
      <c r="D748" s="21"/>
      <c r="E748" s="21"/>
      <c r="F748" s="21"/>
      <c r="H748" s="21"/>
      <c r="K748" s="21"/>
      <c r="L748" s="23"/>
    </row>
    <row r="749" spans="1:12">
      <c r="A749" s="22"/>
      <c r="D749" s="21"/>
      <c r="E749" s="21"/>
      <c r="F749" s="21"/>
      <c r="H749" s="21"/>
      <c r="K749" s="21"/>
      <c r="L749" s="23"/>
    </row>
    <row r="750" spans="1:12">
      <c r="A750" s="22"/>
      <c r="D750" s="21"/>
      <c r="E750" s="21"/>
      <c r="F750" s="21"/>
      <c r="H750" s="21"/>
      <c r="K750" s="21"/>
      <c r="L750" s="23"/>
    </row>
    <row r="751" spans="1:12">
      <c r="A751" s="22"/>
      <c r="D751" s="21"/>
      <c r="E751" s="21"/>
      <c r="F751" s="21"/>
      <c r="H751" s="21"/>
      <c r="K751" s="21"/>
      <c r="L751" s="23"/>
    </row>
    <row r="752" spans="1:12">
      <c r="A752" s="22"/>
      <c r="D752" s="21"/>
      <c r="E752" s="21"/>
      <c r="F752" s="21"/>
      <c r="H752" s="21"/>
      <c r="K752" s="21"/>
      <c r="L752" s="23"/>
    </row>
    <row r="753" spans="1:12">
      <c r="A753" s="22"/>
      <c r="D753" s="21"/>
      <c r="E753" s="21"/>
      <c r="F753" s="21"/>
      <c r="H753" s="21"/>
      <c r="K753" s="21"/>
      <c r="L753" s="23"/>
    </row>
    <row r="754" spans="1:12">
      <c r="A754" s="22"/>
      <c r="D754" s="21"/>
      <c r="E754" s="21"/>
      <c r="F754" s="21"/>
      <c r="H754" s="21"/>
      <c r="K754" s="21"/>
      <c r="L754" s="23"/>
    </row>
    <row r="755" spans="1:12">
      <c r="A755" s="22"/>
      <c r="D755" s="21"/>
      <c r="E755" s="21"/>
      <c r="F755" s="21"/>
      <c r="H755" s="21"/>
      <c r="K755" s="21"/>
      <c r="L755" s="23"/>
    </row>
    <row r="756" spans="1:12">
      <c r="A756" s="22"/>
      <c r="D756" s="21"/>
      <c r="E756" s="21"/>
      <c r="F756" s="21"/>
      <c r="H756" s="21"/>
      <c r="K756" s="21"/>
      <c r="L756" s="23"/>
    </row>
    <row r="757" spans="1:12">
      <c r="A757" s="22"/>
      <c r="D757" s="21"/>
      <c r="E757" s="21"/>
      <c r="F757" s="21"/>
      <c r="H757" s="21"/>
      <c r="K757" s="21"/>
      <c r="L757" s="23"/>
    </row>
    <row r="758" spans="1:12">
      <c r="A758" s="22"/>
      <c r="D758" s="21"/>
      <c r="E758" s="21"/>
      <c r="F758" s="21"/>
      <c r="H758" s="21"/>
      <c r="K758" s="21"/>
      <c r="L758" s="23"/>
    </row>
    <row r="759" spans="1:12">
      <c r="A759" s="22"/>
      <c r="D759" s="21"/>
      <c r="E759" s="21"/>
      <c r="F759" s="21"/>
      <c r="H759" s="21"/>
      <c r="K759" s="21"/>
      <c r="L759" s="23"/>
    </row>
    <row r="760" spans="1:12">
      <c r="A760" s="22"/>
      <c r="D760" s="21"/>
      <c r="E760" s="21"/>
      <c r="F760" s="21"/>
      <c r="H760" s="21"/>
      <c r="K760" s="21"/>
      <c r="L760" s="23"/>
    </row>
    <row r="761" spans="1:12">
      <c r="A761" s="22"/>
      <c r="D761" s="21"/>
      <c r="E761" s="21"/>
      <c r="F761" s="21"/>
      <c r="H761" s="21"/>
      <c r="K761" s="21"/>
      <c r="L761" s="23"/>
    </row>
    <row r="762" spans="1:12">
      <c r="A762" s="22"/>
      <c r="D762" s="21"/>
      <c r="E762" s="21"/>
      <c r="F762" s="21"/>
      <c r="H762" s="21"/>
      <c r="K762" s="21"/>
      <c r="L762" s="23"/>
    </row>
    <row r="763" spans="1:12">
      <c r="A763" s="22"/>
      <c r="D763" s="21"/>
      <c r="E763" s="21"/>
      <c r="F763" s="21"/>
      <c r="H763" s="21"/>
      <c r="K763" s="21"/>
      <c r="L763" s="23"/>
    </row>
    <row r="764" spans="1:12">
      <c r="A764" s="22"/>
      <c r="D764" s="21"/>
      <c r="E764" s="21"/>
      <c r="F764" s="21"/>
      <c r="H764" s="21"/>
      <c r="K764" s="21"/>
      <c r="L764" s="23"/>
    </row>
    <row r="765" spans="1:12">
      <c r="A765" s="22"/>
      <c r="D765" s="21"/>
      <c r="E765" s="21"/>
      <c r="F765" s="21"/>
      <c r="H765" s="21"/>
      <c r="K765" s="21"/>
      <c r="L765" s="23"/>
    </row>
    <row r="766" spans="1:12">
      <c r="A766" s="22"/>
      <c r="D766" s="21"/>
      <c r="E766" s="21"/>
      <c r="F766" s="21"/>
      <c r="H766" s="21"/>
      <c r="K766" s="21"/>
      <c r="L766" s="23"/>
    </row>
    <row r="767" spans="1:12">
      <c r="A767" s="22"/>
      <c r="D767" s="21"/>
      <c r="E767" s="21"/>
      <c r="F767" s="21"/>
      <c r="H767" s="21"/>
      <c r="K767" s="21"/>
      <c r="L767" s="23"/>
    </row>
    <row r="768" spans="1:12">
      <c r="A768" s="22"/>
      <c r="D768" s="21"/>
      <c r="E768" s="21"/>
      <c r="F768" s="21"/>
      <c r="H768" s="21"/>
      <c r="K768" s="21"/>
      <c r="L768" s="23"/>
    </row>
    <row r="769" spans="1:12">
      <c r="A769" s="22"/>
      <c r="D769" s="21"/>
      <c r="E769" s="21"/>
      <c r="F769" s="21"/>
      <c r="H769" s="21"/>
      <c r="K769" s="21"/>
      <c r="L769" s="23"/>
    </row>
    <row r="770" spans="1:12">
      <c r="A770" s="22"/>
      <c r="D770" s="21"/>
      <c r="E770" s="21"/>
      <c r="F770" s="21"/>
      <c r="H770" s="21"/>
      <c r="K770" s="21"/>
      <c r="L770" s="23"/>
    </row>
    <row r="771" spans="1:12">
      <c r="A771" s="22"/>
      <c r="D771" s="21"/>
      <c r="E771" s="21"/>
      <c r="F771" s="21"/>
      <c r="H771" s="21"/>
      <c r="K771" s="21"/>
      <c r="L771" s="23"/>
    </row>
    <row r="772" spans="1:12">
      <c r="A772" s="22"/>
      <c r="D772" s="21"/>
      <c r="E772" s="21"/>
      <c r="F772" s="21"/>
      <c r="H772" s="21"/>
      <c r="K772" s="21"/>
      <c r="L772" s="23"/>
    </row>
    <row r="773" spans="1:12">
      <c r="A773" s="22"/>
      <c r="D773" s="21"/>
      <c r="E773" s="21"/>
      <c r="F773" s="21"/>
      <c r="H773" s="21"/>
      <c r="K773" s="21"/>
      <c r="L773" s="23"/>
    </row>
    <row r="774" spans="1:12">
      <c r="A774" s="22"/>
      <c r="D774" s="21"/>
      <c r="E774" s="21"/>
      <c r="F774" s="21"/>
      <c r="H774" s="21"/>
      <c r="K774" s="21"/>
      <c r="L774" s="23"/>
    </row>
    <row r="775" spans="1:12">
      <c r="A775" s="22"/>
      <c r="D775" s="21"/>
      <c r="E775" s="21"/>
      <c r="F775" s="21"/>
      <c r="H775" s="21"/>
      <c r="K775" s="21"/>
      <c r="L775" s="23"/>
    </row>
    <row r="776" spans="1:12">
      <c r="A776" s="22"/>
      <c r="D776" s="21"/>
      <c r="E776" s="21"/>
      <c r="F776" s="21"/>
      <c r="H776" s="21"/>
      <c r="K776" s="21"/>
      <c r="L776" s="23"/>
    </row>
    <row r="777" spans="1:12">
      <c r="A777" s="22"/>
      <c r="D777" s="21"/>
      <c r="E777" s="21"/>
      <c r="F777" s="21"/>
      <c r="H777" s="21"/>
      <c r="K777" s="21"/>
      <c r="L777" s="23"/>
    </row>
    <row r="778" spans="1:12">
      <c r="A778" s="22"/>
      <c r="D778" s="21"/>
      <c r="E778" s="21"/>
      <c r="F778" s="21"/>
      <c r="H778" s="21"/>
      <c r="K778" s="21"/>
      <c r="L778" s="23"/>
    </row>
    <row r="779" spans="1:12">
      <c r="A779" s="22"/>
      <c r="D779" s="21"/>
      <c r="E779" s="21"/>
      <c r="F779" s="21"/>
      <c r="H779" s="21"/>
      <c r="K779" s="21"/>
      <c r="L779" s="23"/>
    </row>
    <row r="780" spans="1:12">
      <c r="A780" s="22"/>
      <c r="D780" s="21"/>
      <c r="E780" s="21"/>
      <c r="F780" s="21"/>
      <c r="H780" s="21"/>
      <c r="K780" s="21"/>
      <c r="L780" s="23"/>
    </row>
    <row r="781" spans="1:12">
      <c r="A781" s="22"/>
      <c r="D781" s="21"/>
      <c r="E781" s="21"/>
      <c r="F781" s="21"/>
      <c r="H781" s="21"/>
      <c r="K781" s="21"/>
      <c r="L781" s="23"/>
    </row>
    <row r="782" spans="1:12">
      <c r="A782" s="22"/>
      <c r="D782" s="21"/>
      <c r="E782" s="21"/>
      <c r="F782" s="21"/>
      <c r="H782" s="21"/>
      <c r="K782" s="21"/>
      <c r="L782" s="23"/>
    </row>
    <row r="783" spans="1:12">
      <c r="A783" s="22"/>
      <c r="D783" s="21"/>
      <c r="E783" s="21"/>
      <c r="F783" s="21"/>
      <c r="H783" s="21"/>
      <c r="K783" s="21"/>
      <c r="L783" s="23"/>
    </row>
    <row r="784" spans="1:12">
      <c r="A784" s="22"/>
      <c r="D784" s="21"/>
      <c r="E784" s="21"/>
      <c r="F784" s="21"/>
      <c r="H784" s="21"/>
      <c r="K784" s="21"/>
      <c r="L784" s="23"/>
    </row>
    <row r="785" spans="1:12">
      <c r="A785" s="22"/>
      <c r="D785" s="21"/>
      <c r="E785" s="21"/>
      <c r="F785" s="21"/>
      <c r="H785" s="21"/>
      <c r="K785" s="21"/>
      <c r="L785" s="23"/>
    </row>
    <row r="786" spans="1:12">
      <c r="A786" s="22"/>
      <c r="D786" s="21"/>
      <c r="E786" s="21"/>
      <c r="F786" s="21"/>
      <c r="H786" s="21"/>
      <c r="K786" s="21"/>
      <c r="L786" s="23"/>
    </row>
    <row r="787" spans="1:12">
      <c r="A787" s="22"/>
      <c r="D787" s="21"/>
      <c r="E787" s="21"/>
      <c r="F787" s="21"/>
      <c r="H787" s="21"/>
      <c r="K787" s="21"/>
      <c r="L787" s="23"/>
    </row>
    <row r="788" spans="1:12">
      <c r="A788" s="22"/>
      <c r="D788" s="21"/>
      <c r="E788" s="21"/>
      <c r="F788" s="21"/>
      <c r="H788" s="21"/>
      <c r="K788" s="21"/>
      <c r="L788" s="23"/>
    </row>
    <row r="789" spans="1:12">
      <c r="A789" s="22"/>
      <c r="D789" s="21"/>
      <c r="E789" s="21"/>
      <c r="F789" s="21"/>
      <c r="H789" s="21"/>
      <c r="K789" s="21"/>
      <c r="L789" s="23"/>
    </row>
    <row r="790" spans="1:12">
      <c r="A790" s="22"/>
      <c r="D790" s="21"/>
      <c r="E790" s="21"/>
      <c r="F790" s="21"/>
      <c r="H790" s="21"/>
      <c r="K790" s="21"/>
      <c r="L790" s="23"/>
    </row>
    <row r="791" spans="1:12">
      <c r="A791" s="22"/>
      <c r="D791" s="21"/>
      <c r="E791" s="21"/>
      <c r="F791" s="21"/>
      <c r="H791" s="21"/>
      <c r="K791" s="21"/>
      <c r="L791" s="23"/>
    </row>
    <row r="792" spans="1:12">
      <c r="A792" s="22"/>
      <c r="D792" s="21"/>
      <c r="E792" s="21"/>
      <c r="F792" s="21"/>
      <c r="H792" s="21"/>
      <c r="K792" s="21"/>
      <c r="L792" s="23"/>
    </row>
    <row r="793" spans="1:12">
      <c r="A793" s="22"/>
      <c r="D793" s="21"/>
      <c r="E793" s="21"/>
      <c r="F793" s="21"/>
      <c r="H793" s="21"/>
      <c r="K793" s="21"/>
      <c r="L793" s="23"/>
    </row>
    <row r="794" spans="1:12">
      <c r="A794" s="22"/>
      <c r="D794" s="21"/>
      <c r="E794" s="21"/>
      <c r="F794" s="21"/>
      <c r="H794" s="21"/>
      <c r="K794" s="21"/>
      <c r="L794" s="23"/>
    </row>
    <row r="795" spans="1:12">
      <c r="A795" s="22"/>
      <c r="D795" s="21"/>
      <c r="E795" s="21"/>
      <c r="F795" s="21"/>
      <c r="H795" s="21"/>
      <c r="K795" s="21"/>
      <c r="L795" s="23"/>
    </row>
    <row r="796" spans="1:12">
      <c r="A796" s="22"/>
      <c r="D796" s="21"/>
      <c r="E796" s="21"/>
      <c r="F796" s="21"/>
      <c r="H796" s="21"/>
      <c r="K796" s="21"/>
      <c r="L796" s="23"/>
    </row>
    <row r="797" spans="1:12">
      <c r="A797" s="22"/>
      <c r="D797" s="21"/>
      <c r="E797" s="21"/>
      <c r="F797" s="21"/>
      <c r="H797" s="21"/>
      <c r="K797" s="21"/>
      <c r="L797" s="23"/>
    </row>
    <row r="798" spans="1:12">
      <c r="A798" s="22"/>
      <c r="D798" s="21"/>
      <c r="E798" s="21"/>
      <c r="F798" s="21"/>
      <c r="H798" s="21"/>
      <c r="K798" s="21"/>
      <c r="L798" s="23"/>
    </row>
    <row r="799" spans="1:12">
      <c r="A799" s="22"/>
      <c r="D799" s="21"/>
      <c r="E799" s="21"/>
      <c r="F799" s="21"/>
      <c r="H799" s="21"/>
      <c r="K799" s="21"/>
      <c r="L799" s="23"/>
    </row>
    <row r="800" spans="1:12">
      <c r="A800" s="22"/>
      <c r="D800" s="21"/>
      <c r="E800" s="21"/>
      <c r="F800" s="21"/>
      <c r="H800" s="21"/>
      <c r="K800" s="21"/>
      <c r="L800" s="23"/>
    </row>
    <row r="801" spans="1:12">
      <c r="A801" s="22"/>
      <c r="D801" s="21"/>
      <c r="E801" s="21"/>
      <c r="F801" s="21"/>
      <c r="H801" s="21"/>
      <c r="K801" s="21"/>
      <c r="L801" s="23"/>
    </row>
    <row r="802" spans="1:12">
      <c r="A802" s="22"/>
      <c r="D802" s="21"/>
      <c r="E802" s="21"/>
      <c r="F802" s="21"/>
      <c r="H802" s="21"/>
      <c r="K802" s="21"/>
      <c r="L802" s="23"/>
    </row>
    <row r="803" spans="1:12">
      <c r="A803" s="22"/>
      <c r="D803" s="21"/>
      <c r="E803" s="21"/>
      <c r="F803" s="21"/>
      <c r="H803" s="21"/>
      <c r="K803" s="21"/>
      <c r="L803" s="23"/>
    </row>
    <row r="804" spans="1:12">
      <c r="A804" s="22"/>
      <c r="D804" s="21"/>
      <c r="E804" s="21"/>
      <c r="F804" s="21"/>
      <c r="H804" s="21"/>
      <c r="K804" s="21"/>
      <c r="L804" s="23"/>
    </row>
    <row r="805" spans="1:12">
      <c r="A805" s="22"/>
      <c r="D805" s="21"/>
      <c r="E805" s="21"/>
      <c r="F805" s="21"/>
      <c r="H805" s="21"/>
      <c r="K805" s="21"/>
      <c r="L805" s="23"/>
    </row>
    <row r="806" spans="1:12">
      <c r="A806" s="22"/>
      <c r="D806" s="21"/>
      <c r="E806" s="21"/>
      <c r="F806" s="21"/>
      <c r="H806" s="21"/>
      <c r="K806" s="21"/>
      <c r="L806" s="23"/>
    </row>
    <row r="807" spans="1:12">
      <c r="A807" s="22"/>
      <c r="D807" s="21"/>
      <c r="E807" s="21"/>
      <c r="F807" s="21"/>
      <c r="H807" s="21"/>
      <c r="K807" s="21"/>
      <c r="L807" s="23"/>
    </row>
    <row r="808" spans="1:12">
      <c r="A808" s="22"/>
      <c r="D808" s="21"/>
      <c r="E808" s="21"/>
      <c r="F808" s="21"/>
      <c r="H808" s="21"/>
      <c r="K808" s="21"/>
      <c r="L808" s="23"/>
    </row>
    <row r="809" spans="1:12">
      <c r="A809" s="22"/>
      <c r="D809" s="21"/>
      <c r="E809" s="21"/>
      <c r="F809" s="21"/>
      <c r="H809" s="21"/>
      <c r="K809" s="21"/>
      <c r="L809" s="23"/>
    </row>
    <row r="810" spans="1:12">
      <c r="A810" s="22"/>
      <c r="D810" s="21"/>
      <c r="E810" s="21"/>
      <c r="F810" s="21"/>
      <c r="H810" s="21"/>
      <c r="K810" s="21"/>
      <c r="L810" s="23"/>
    </row>
    <row r="811" spans="1:12">
      <c r="A811" s="22"/>
      <c r="D811" s="21"/>
      <c r="E811" s="21"/>
      <c r="F811" s="21"/>
      <c r="H811" s="21"/>
      <c r="K811" s="21"/>
      <c r="L811" s="23"/>
    </row>
    <row r="812" spans="1:12">
      <c r="A812" s="22"/>
      <c r="D812" s="21"/>
      <c r="E812" s="21"/>
      <c r="F812" s="21"/>
      <c r="H812" s="21"/>
      <c r="K812" s="21"/>
      <c r="L812" s="23"/>
    </row>
    <row r="813" spans="1:12">
      <c r="A813" s="22"/>
      <c r="D813" s="21"/>
      <c r="E813" s="21"/>
      <c r="F813" s="21"/>
      <c r="H813" s="21"/>
      <c r="K813" s="21"/>
      <c r="L813" s="23"/>
    </row>
    <row r="814" spans="1:12">
      <c r="A814" s="22"/>
      <c r="D814" s="21"/>
      <c r="E814" s="21"/>
      <c r="F814" s="21"/>
      <c r="H814" s="21"/>
      <c r="K814" s="21"/>
      <c r="L814" s="23"/>
    </row>
    <row r="815" spans="1:12">
      <c r="A815" s="22"/>
      <c r="D815" s="21"/>
      <c r="E815" s="21"/>
      <c r="F815" s="21"/>
      <c r="H815" s="21"/>
      <c r="K815" s="21"/>
      <c r="L815" s="23"/>
    </row>
    <row r="816" spans="1:12">
      <c r="A816" s="22"/>
      <c r="D816" s="21"/>
      <c r="E816" s="21"/>
      <c r="F816" s="21"/>
      <c r="H816" s="21"/>
      <c r="K816" s="21"/>
      <c r="L816" s="23"/>
    </row>
    <row r="817" spans="1:12">
      <c r="A817" s="22"/>
      <c r="D817" s="21"/>
      <c r="E817" s="21"/>
      <c r="F817" s="21"/>
      <c r="H817" s="21"/>
      <c r="K817" s="21"/>
      <c r="L817" s="23"/>
    </row>
    <row r="818" spans="1:12">
      <c r="A818" s="22"/>
      <c r="D818" s="21"/>
      <c r="E818" s="21"/>
      <c r="F818" s="21"/>
      <c r="H818" s="21"/>
      <c r="K818" s="21"/>
      <c r="L818" s="23"/>
    </row>
    <row r="819" spans="1:12">
      <c r="A819" s="22"/>
      <c r="D819" s="21"/>
      <c r="E819" s="21"/>
      <c r="F819" s="21"/>
      <c r="H819" s="21"/>
      <c r="K819" s="21"/>
      <c r="L819" s="23"/>
    </row>
    <row r="820" spans="1:12">
      <c r="A820" s="22"/>
      <c r="D820" s="21"/>
      <c r="E820" s="21"/>
      <c r="F820" s="21"/>
      <c r="H820" s="21"/>
      <c r="K820" s="21"/>
      <c r="L820" s="23"/>
    </row>
    <row r="821" spans="1:12">
      <c r="A821" s="22"/>
      <c r="D821" s="21"/>
      <c r="E821" s="21"/>
      <c r="F821" s="21"/>
      <c r="H821" s="21"/>
      <c r="K821" s="21"/>
      <c r="L821" s="23"/>
    </row>
    <row r="822" spans="1:12">
      <c r="A822" s="22"/>
      <c r="D822" s="21"/>
      <c r="E822" s="21"/>
      <c r="F822" s="21"/>
      <c r="H822" s="21"/>
      <c r="K822" s="21"/>
      <c r="L822" s="23"/>
    </row>
    <row r="823" spans="1:12">
      <c r="A823" s="22"/>
      <c r="D823" s="21"/>
      <c r="E823" s="21"/>
      <c r="F823" s="21"/>
      <c r="H823" s="21"/>
      <c r="K823" s="21"/>
      <c r="L823" s="23"/>
    </row>
    <row r="824" spans="1:12">
      <c r="A824" s="22"/>
      <c r="D824" s="21"/>
      <c r="E824" s="21"/>
      <c r="F824" s="21"/>
      <c r="H824" s="21"/>
      <c r="K824" s="21"/>
      <c r="L824" s="23"/>
    </row>
    <row r="825" spans="1:12">
      <c r="A825" s="22"/>
      <c r="D825" s="21"/>
      <c r="E825" s="21"/>
      <c r="F825" s="21"/>
      <c r="H825" s="21"/>
      <c r="K825" s="21"/>
      <c r="L825" s="23"/>
    </row>
    <row r="826" spans="1:12">
      <c r="A826" s="22"/>
      <c r="D826" s="21"/>
      <c r="E826" s="21"/>
      <c r="F826" s="21"/>
      <c r="H826" s="21"/>
      <c r="K826" s="21"/>
      <c r="L826" s="23"/>
    </row>
    <row r="827" spans="1:12">
      <c r="A827" s="22"/>
      <c r="D827" s="21"/>
      <c r="E827" s="21"/>
      <c r="F827" s="21"/>
      <c r="H827" s="21"/>
      <c r="K827" s="21"/>
      <c r="L827" s="23"/>
    </row>
    <row r="828" spans="1:12">
      <c r="A828" s="22"/>
      <c r="D828" s="21"/>
      <c r="E828" s="21"/>
      <c r="F828" s="21"/>
      <c r="H828" s="21"/>
      <c r="K828" s="21"/>
      <c r="L828" s="23"/>
    </row>
    <row r="829" spans="1:12">
      <c r="A829" s="22"/>
      <c r="D829" s="21"/>
      <c r="E829" s="21"/>
      <c r="F829" s="21"/>
      <c r="H829" s="21"/>
      <c r="K829" s="21"/>
      <c r="L829" s="23"/>
    </row>
    <row r="830" spans="1:12">
      <c r="A830" s="22"/>
      <c r="D830" s="21"/>
      <c r="E830" s="21"/>
      <c r="F830" s="21"/>
      <c r="H830" s="21"/>
      <c r="K830" s="21"/>
      <c r="L830" s="23"/>
    </row>
    <row r="831" spans="1:12">
      <c r="A831" s="22"/>
      <c r="D831" s="21"/>
      <c r="E831" s="21"/>
      <c r="F831" s="21"/>
      <c r="H831" s="21"/>
      <c r="K831" s="21"/>
      <c r="L831" s="23"/>
    </row>
    <row r="832" spans="1:12">
      <c r="A832" s="22"/>
      <c r="D832" s="21"/>
      <c r="E832" s="21"/>
      <c r="F832" s="21"/>
      <c r="H832" s="21"/>
      <c r="K832" s="21"/>
      <c r="L832" s="23"/>
    </row>
    <row r="833" spans="1:12">
      <c r="A833" s="22"/>
      <c r="D833" s="21"/>
      <c r="E833" s="21"/>
      <c r="F833" s="21"/>
      <c r="H833" s="21"/>
      <c r="K833" s="21"/>
      <c r="L833" s="23"/>
    </row>
    <row r="834" spans="1:12">
      <c r="A834" s="22"/>
      <c r="D834" s="21"/>
      <c r="E834" s="21"/>
      <c r="F834" s="21"/>
      <c r="H834" s="21"/>
      <c r="K834" s="21"/>
      <c r="L834" s="23"/>
    </row>
    <row r="835" spans="1:12">
      <c r="A835" s="22"/>
      <c r="D835" s="21"/>
      <c r="E835" s="21"/>
      <c r="F835" s="21"/>
      <c r="H835" s="21"/>
      <c r="K835" s="21"/>
      <c r="L835" s="23"/>
    </row>
    <row r="836" spans="1:12">
      <c r="A836" s="22"/>
      <c r="D836" s="21"/>
      <c r="E836" s="21"/>
      <c r="F836" s="21"/>
      <c r="H836" s="21"/>
      <c r="K836" s="21"/>
      <c r="L836" s="23"/>
    </row>
    <row r="837" spans="1:12">
      <c r="A837" s="22"/>
      <c r="D837" s="21"/>
      <c r="E837" s="21"/>
      <c r="F837" s="21"/>
      <c r="H837" s="21"/>
      <c r="K837" s="21"/>
      <c r="L837" s="23"/>
    </row>
    <row r="838" spans="1:12">
      <c r="A838" s="22"/>
      <c r="D838" s="21"/>
      <c r="E838" s="21"/>
      <c r="F838" s="21"/>
      <c r="H838" s="21"/>
      <c r="K838" s="21"/>
      <c r="L838" s="23"/>
    </row>
    <row r="839" spans="1:12">
      <c r="A839" s="22"/>
      <c r="D839" s="21"/>
      <c r="E839" s="21"/>
      <c r="F839" s="21"/>
      <c r="H839" s="21"/>
      <c r="K839" s="21"/>
      <c r="L839" s="23"/>
    </row>
    <row r="840" spans="1:12">
      <c r="A840" s="22"/>
      <c r="D840" s="21"/>
      <c r="E840" s="21"/>
      <c r="F840" s="21"/>
      <c r="H840" s="21"/>
      <c r="K840" s="21"/>
      <c r="L840" s="23"/>
    </row>
    <row r="841" spans="1:12">
      <c r="A841" s="22"/>
      <c r="D841" s="21"/>
      <c r="E841" s="21"/>
      <c r="F841" s="21"/>
      <c r="H841" s="21"/>
      <c r="K841" s="21"/>
      <c r="L841" s="23"/>
    </row>
    <row r="842" spans="1:12">
      <c r="A842" s="22"/>
      <c r="D842" s="21"/>
      <c r="E842" s="21"/>
      <c r="F842" s="21"/>
      <c r="H842" s="21"/>
      <c r="K842" s="21"/>
      <c r="L842" s="23"/>
    </row>
    <row r="843" spans="1:12">
      <c r="A843" s="22"/>
      <c r="D843" s="21"/>
      <c r="E843" s="21"/>
      <c r="F843" s="21"/>
      <c r="H843" s="21"/>
      <c r="K843" s="21"/>
      <c r="L843" s="23"/>
    </row>
    <row r="844" spans="1:12">
      <c r="A844" s="22"/>
      <c r="D844" s="21"/>
      <c r="E844" s="21"/>
      <c r="F844" s="21"/>
      <c r="H844" s="21"/>
      <c r="K844" s="21"/>
      <c r="L844" s="23"/>
    </row>
    <row r="845" spans="1:12">
      <c r="A845" s="22"/>
      <c r="D845" s="21"/>
      <c r="E845" s="21"/>
      <c r="F845" s="21"/>
      <c r="H845" s="21"/>
      <c r="K845" s="21"/>
      <c r="L845" s="23"/>
    </row>
    <row r="846" spans="1:12">
      <c r="A846" s="22"/>
      <c r="D846" s="21"/>
      <c r="E846" s="21"/>
      <c r="F846" s="21"/>
      <c r="H846" s="21"/>
      <c r="K846" s="21"/>
      <c r="L846" s="23"/>
    </row>
    <row r="847" spans="1:12">
      <c r="A847" s="22"/>
      <c r="D847" s="21"/>
      <c r="E847" s="21"/>
      <c r="F847" s="21"/>
      <c r="H847" s="21"/>
      <c r="K847" s="21"/>
      <c r="L847" s="23"/>
    </row>
    <row r="848" spans="1:12">
      <c r="A848" s="22"/>
      <c r="D848" s="21"/>
      <c r="E848" s="21"/>
      <c r="F848" s="21"/>
      <c r="H848" s="21"/>
      <c r="K848" s="21"/>
      <c r="L848" s="23"/>
    </row>
    <row r="849" spans="1:12">
      <c r="A849" s="22"/>
      <c r="D849" s="21"/>
      <c r="E849" s="21"/>
      <c r="F849" s="21"/>
      <c r="H849" s="21"/>
      <c r="K849" s="21"/>
      <c r="L849" s="23"/>
    </row>
    <row r="850" spans="1:12">
      <c r="A850" s="22"/>
      <c r="D850" s="21"/>
      <c r="E850" s="21"/>
      <c r="F850" s="21"/>
      <c r="H850" s="21"/>
      <c r="K850" s="21"/>
      <c r="L850" s="23"/>
    </row>
    <row r="851" spans="1:12">
      <c r="A851" s="22"/>
      <c r="D851" s="21"/>
      <c r="E851" s="21"/>
      <c r="F851" s="21"/>
      <c r="H851" s="21"/>
      <c r="K851" s="21"/>
      <c r="L851" s="23"/>
    </row>
    <row r="852" spans="1:12">
      <c r="A852" s="22"/>
      <c r="D852" s="21"/>
      <c r="E852" s="21"/>
      <c r="F852" s="21"/>
      <c r="H852" s="21"/>
      <c r="K852" s="21"/>
      <c r="L852" s="23"/>
    </row>
    <row r="853" spans="1:12">
      <c r="A853" s="22"/>
      <c r="D853" s="21"/>
      <c r="E853" s="21"/>
      <c r="F853" s="21"/>
      <c r="H853" s="21"/>
      <c r="K853" s="21"/>
      <c r="L853" s="23"/>
    </row>
    <row r="854" spans="1:12">
      <c r="A854" s="22"/>
      <c r="D854" s="21"/>
      <c r="E854" s="21"/>
      <c r="F854" s="21"/>
      <c r="H854" s="21"/>
      <c r="K854" s="21"/>
      <c r="L854" s="23"/>
    </row>
    <row r="855" spans="1:12">
      <c r="A855" s="22"/>
      <c r="D855" s="21"/>
      <c r="E855" s="21"/>
      <c r="F855" s="21"/>
      <c r="H855" s="21"/>
      <c r="K855" s="21"/>
      <c r="L855" s="23"/>
    </row>
    <row r="856" spans="1:12">
      <c r="A856" s="22"/>
      <c r="D856" s="21"/>
      <c r="E856" s="21"/>
      <c r="F856" s="21"/>
      <c r="H856" s="21"/>
      <c r="K856" s="21"/>
      <c r="L856" s="23"/>
    </row>
    <row r="857" spans="1:12">
      <c r="A857" s="22"/>
      <c r="D857" s="21"/>
      <c r="E857" s="21"/>
      <c r="F857" s="21"/>
      <c r="H857" s="21"/>
      <c r="K857" s="21"/>
      <c r="L857" s="23"/>
    </row>
    <row r="858" spans="1:12">
      <c r="A858" s="22"/>
      <c r="D858" s="21"/>
      <c r="E858" s="21"/>
      <c r="F858" s="21"/>
      <c r="H858" s="21"/>
      <c r="K858" s="21"/>
      <c r="L858" s="23"/>
    </row>
    <row r="859" spans="1:12">
      <c r="A859" s="22"/>
      <c r="D859" s="21"/>
      <c r="E859" s="21"/>
      <c r="F859" s="21"/>
      <c r="H859" s="21"/>
      <c r="K859" s="21"/>
      <c r="L859" s="23"/>
    </row>
    <row r="860" spans="1:12">
      <c r="A860" s="22"/>
      <c r="D860" s="21"/>
      <c r="E860" s="21"/>
      <c r="F860" s="21"/>
      <c r="H860" s="21"/>
      <c r="K860" s="21"/>
      <c r="L860" s="23"/>
    </row>
    <row r="861" spans="1:12">
      <c r="A861" s="22"/>
      <c r="D861" s="21"/>
      <c r="E861" s="21"/>
      <c r="F861" s="21"/>
      <c r="H861" s="21"/>
      <c r="K861" s="21"/>
      <c r="L861" s="23"/>
    </row>
    <row r="862" spans="1:12">
      <c r="A862" s="22"/>
      <c r="D862" s="21"/>
      <c r="E862" s="21"/>
      <c r="F862" s="21"/>
      <c r="H862" s="21"/>
      <c r="K862" s="21"/>
      <c r="L862" s="23"/>
    </row>
    <row r="863" spans="1:12">
      <c r="A863" s="22"/>
      <c r="D863" s="21"/>
      <c r="E863" s="21"/>
      <c r="F863" s="21"/>
      <c r="H863" s="21"/>
      <c r="K863" s="21"/>
      <c r="L863" s="23"/>
    </row>
    <row r="864" spans="1:12">
      <c r="A864" s="22"/>
      <c r="D864" s="21"/>
      <c r="E864" s="21"/>
      <c r="F864" s="21"/>
      <c r="H864" s="21"/>
      <c r="K864" s="21"/>
      <c r="L864" s="23"/>
    </row>
    <row r="865" spans="1:12">
      <c r="A865" s="22"/>
      <c r="D865" s="21"/>
      <c r="E865" s="21"/>
      <c r="F865" s="21"/>
      <c r="H865" s="21"/>
      <c r="K865" s="21"/>
      <c r="L865" s="23"/>
    </row>
    <row r="866" spans="1:12">
      <c r="A866" s="22"/>
      <c r="D866" s="21"/>
      <c r="E866" s="21"/>
      <c r="F866" s="21"/>
      <c r="H866" s="21"/>
      <c r="K866" s="21"/>
      <c r="L866" s="23"/>
    </row>
    <row r="867" spans="1:12">
      <c r="A867" s="22"/>
      <c r="D867" s="21"/>
      <c r="E867" s="21"/>
      <c r="F867" s="21"/>
      <c r="H867" s="21"/>
      <c r="K867" s="21"/>
      <c r="L867" s="23"/>
    </row>
    <row r="868" spans="1:12">
      <c r="A868" s="22"/>
      <c r="D868" s="21"/>
      <c r="E868" s="21"/>
      <c r="F868" s="21"/>
      <c r="H868" s="21"/>
      <c r="K868" s="21"/>
      <c r="L868" s="23"/>
    </row>
    <row r="869" spans="1:12">
      <c r="A869" s="22"/>
      <c r="D869" s="21"/>
      <c r="E869" s="21"/>
      <c r="F869" s="21"/>
      <c r="H869" s="21"/>
      <c r="K869" s="21"/>
      <c r="L869" s="23"/>
    </row>
    <row r="870" spans="1:12">
      <c r="A870" s="22"/>
      <c r="D870" s="21"/>
      <c r="E870" s="21"/>
      <c r="F870" s="21"/>
      <c r="H870" s="21"/>
      <c r="K870" s="21"/>
      <c r="L870" s="23"/>
    </row>
    <row r="871" spans="1:12">
      <c r="A871" s="22"/>
      <c r="D871" s="21"/>
      <c r="E871" s="21"/>
      <c r="F871" s="21"/>
      <c r="H871" s="21"/>
      <c r="K871" s="21"/>
      <c r="L871" s="23"/>
    </row>
    <row r="872" spans="1:12">
      <c r="A872" s="22"/>
      <c r="D872" s="21"/>
      <c r="E872" s="21"/>
      <c r="F872" s="21"/>
      <c r="H872" s="21"/>
      <c r="K872" s="21"/>
      <c r="L872" s="23"/>
    </row>
    <row r="873" spans="1:12">
      <c r="A873" s="22"/>
      <c r="D873" s="21"/>
      <c r="E873" s="21"/>
      <c r="F873" s="21"/>
      <c r="H873" s="21"/>
      <c r="K873" s="21"/>
      <c r="L873" s="23"/>
    </row>
    <row r="874" spans="1:12">
      <c r="A874" s="22"/>
      <c r="D874" s="21"/>
      <c r="E874" s="21"/>
      <c r="F874" s="21"/>
      <c r="H874" s="21"/>
      <c r="K874" s="21"/>
      <c r="L874" s="23"/>
    </row>
    <row r="875" spans="1:12">
      <c r="A875" s="22"/>
      <c r="D875" s="21"/>
      <c r="E875" s="21"/>
      <c r="F875" s="21"/>
      <c r="H875" s="21"/>
      <c r="K875" s="21"/>
      <c r="L875" s="23"/>
    </row>
    <row r="876" spans="1:12">
      <c r="A876" s="22"/>
      <c r="D876" s="21"/>
      <c r="E876" s="21"/>
      <c r="F876" s="21"/>
      <c r="H876" s="21"/>
      <c r="K876" s="21"/>
      <c r="L876" s="23"/>
    </row>
    <row r="877" spans="1:12">
      <c r="A877" s="22"/>
      <c r="D877" s="21"/>
      <c r="E877" s="21"/>
      <c r="F877" s="21"/>
      <c r="H877" s="21"/>
      <c r="K877" s="21"/>
      <c r="L877" s="23"/>
    </row>
    <row r="878" spans="1:12">
      <c r="A878" s="22"/>
      <c r="D878" s="21"/>
      <c r="E878" s="21"/>
      <c r="F878" s="21"/>
      <c r="H878" s="21"/>
      <c r="K878" s="21"/>
      <c r="L878" s="23"/>
    </row>
    <row r="879" spans="1:12">
      <c r="A879" s="22"/>
      <c r="D879" s="21"/>
      <c r="E879" s="21"/>
      <c r="F879" s="21"/>
      <c r="H879" s="21"/>
      <c r="K879" s="21"/>
      <c r="L879" s="23"/>
    </row>
    <row r="880" spans="1:12">
      <c r="A880" s="22"/>
      <c r="D880" s="21"/>
      <c r="E880" s="21"/>
      <c r="F880" s="21"/>
      <c r="H880" s="21"/>
      <c r="K880" s="21"/>
      <c r="L880" s="23"/>
    </row>
    <row r="881" spans="1:12">
      <c r="A881" s="22"/>
      <c r="D881" s="21"/>
      <c r="E881" s="21"/>
      <c r="F881" s="21"/>
      <c r="H881" s="21"/>
      <c r="K881" s="21"/>
      <c r="L881" s="23"/>
    </row>
    <row r="882" spans="1:12">
      <c r="A882" s="22"/>
      <c r="D882" s="21"/>
      <c r="E882" s="21"/>
      <c r="F882" s="21"/>
      <c r="H882" s="21"/>
      <c r="K882" s="21"/>
      <c r="L882" s="23"/>
    </row>
    <row r="883" spans="1:12">
      <c r="A883" s="22"/>
      <c r="D883" s="21"/>
      <c r="E883" s="21"/>
      <c r="F883" s="21"/>
      <c r="H883" s="21"/>
      <c r="K883" s="21"/>
      <c r="L883" s="23"/>
    </row>
    <row r="884" spans="1:12">
      <c r="A884" s="22"/>
      <c r="D884" s="21"/>
      <c r="E884" s="21"/>
      <c r="F884" s="21"/>
      <c r="H884" s="21"/>
      <c r="K884" s="21"/>
      <c r="L884" s="23"/>
    </row>
    <row r="885" spans="1:12">
      <c r="A885" s="22"/>
      <c r="D885" s="21"/>
      <c r="E885" s="21"/>
      <c r="F885" s="21"/>
      <c r="H885" s="21"/>
      <c r="K885" s="21"/>
      <c r="L885" s="23"/>
    </row>
    <row r="886" spans="1:12">
      <c r="A886" s="22"/>
      <c r="D886" s="21"/>
      <c r="E886" s="21"/>
      <c r="F886" s="21"/>
      <c r="H886" s="21"/>
      <c r="K886" s="21"/>
      <c r="L886" s="23"/>
    </row>
    <row r="887" spans="1:12">
      <c r="A887" s="22"/>
      <c r="D887" s="21"/>
      <c r="E887" s="21"/>
      <c r="F887" s="21"/>
      <c r="H887" s="21"/>
      <c r="K887" s="21"/>
      <c r="L887" s="23"/>
    </row>
    <row r="888" spans="1:12">
      <c r="A888" s="22"/>
      <c r="D888" s="21"/>
      <c r="E888" s="21"/>
      <c r="F888" s="21"/>
      <c r="H888" s="21"/>
      <c r="K888" s="21"/>
      <c r="L888" s="23"/>
    </row>
    <row r="889" spans="1:12">
      <c r="A889" s="22"/>
      <c r="D889" s="21"/>
      <c r="E889" s="21"/>
      <c r="F889" s="21"/>
      <c r="H889" s="21"/>
      <c r="K889" s="21"/>
      <c r="L889" s="23"/>
    </row>
    <row r="890" spans="1:12">
      <c r="A890" s="22"/>
      <c r="D890" s="21"/>
      <c r="E890" s="21"/>
      <c r="F890" s="21"/>
      <c r="H890" s="21"/>
      <c r="K890" s="21"/>
      <c r="L890" s="23"/>
    </row>
    <row r="891" spans="1:12">
      <c r="A891" s="22"/>
      <c r="D891" s="21"/>
      <c r="E891" s="21"/>
      <c r="F891" s="21"/>
      <c r="H891" s="21"/>
      <c r="K891" s="21"/>
      <c r="L891" s="23"/>
    </row>
    <row r="892" spans="1:12">
      <c r="A892" s="22"/>
      <c r="D892" s="21"/>
      <c r="E892" s="21"/>
      <c r="F892" s="21"/>
      <c r="H892" s="21"/>
      <c r="K892" s="21"/>
      <c r="L892" s="23"/>
    </row>
    <row r="893" spans="1:12">
      <c r="A893" s="22"/>
      <c r="D893" s="21"/>
      <c r="E893" s="21"/>
      <c r="F893" s="21"/>
      <c r="H893" s="21"/>
      <c r="K893" s="21"/>
      <c r="L893" s="23"/>
    </row>
    <row r="894" spans="1:12">
      <c r="A894" s="22"/>
      <c r="D894" s="21"/>
      <c r="E894" s="21"/>
      <c r="F894" s="21"/>
      <c r="H894" s="21"/>
      <c r="K894" s="21"/>
      <c r="L894" s="23"/>
    </row>
    <row r="895" spans="1:12">
      <c r="A895" s="22"/>
      <c r="D895" s="21"/>
      <c r="E895" s="21"/>
      <c r="F895" s="21"/>
      <c r="H895" s="21"/>
      <c r="K895" s="21"/>
      <c r="L895" s="23"/>
    </row>
    <row r="896" spans="1:12">
      <c r="A896" s="22"/>
      <c r="D896" s="21"/>
      <c r="E896" s="21"/>
      <c r="F896" s="21"/>
      <c r="H896" s="21"/>
      <c r="K896" s="21"/>
      <c r="L896" s="23"/>
    </row>
    <row r="897" spans="1:12">
      <c r="A897" s="22"/>
      <c r="D897" s="21"/>
      <c r="E897" s="21"/>
      <c r="F897" s="21"/>
      <c r="H897" s="21"/>
      <c r="K897" s="21"/>
      <c r="L897" s="23"/>
    </row>
    <row r="898" spans="1:12">
      <c r="A898" s="22"/>
      <c r="D898" s="21"/>
      <c r="E898" s="21"/>
      <c r="F898" s="21"/>
      <c r="H898" s="21"/>
      <c r="K898" s="21"/>
      <c r="L898" s="23"/>
    </row>
    <row r="899" spans="1:12">
      <c r="A899" s="22"/>
      <c r="D899" s="21"/>
      <c r="E899" s="21"/>
      <c r="F899" s="21"/>
      <c r="H899" s="21"/>
      <c r="K899" s="21"/>
      <c r="L899" s="23"/>
    </row>
    <row r="900" spans="1:12">
      <c r="A900" s="22"/>
      <c r="D900" s="21"/>
      <c r="E900" s="21"/>
      <c r="F900" s="21"/>
      <c r="H900" s="21"/>
      <c r="K900" s="21"/>
      <c r="L900" s="23"/>
    </row>
    <row r="901" spans="1:12">
      <c r="A901" s="22"/>
      <c r="D901" s="21"/>
      <c r="E901" s="21"/>
      <c r="F901" s="21"/>
      <c r="H901" s="21"/>
      <c r="K901" s="21"/>
      <c r="L901" s="23"/>
    </row>
    <row r="902" spans="1:12">
      <c r="A902" s="22"/>
      <c r="D902" s="21"/>
      <c r="E902" s="21"/>
      <c r="F902" s="21"/>
      <c r="H902" s="21"/>
      <c r="K902" s="21"/>
      <c r="L902" s="23"/>
    </row>
    <row r="903" spans="1:12">
      <c r="A903" s="22"/>
      <c r="D903" s="21"/>
      <c r="E903" s="21"/>
      <c r="F903" s="21"/>
      <c r="H903" s="21"/>
      <c r="K903" s="21"/>
      <c r="L903" s="23"/>
    </row>
    <row r="904" spans="1:12">
      <c r="A904" s="22"/>
      <c r="D904" s="21"/>
      <c r="E904" s="21"/>
      <c r="F904" s="21"/>
      <c r="H904" s="21"/>
      <c r="K904" s="21"/>
      <c r="L904" s="23"/>
    </row>
    <row r="905" spans="1:12">
      <c r="A905" s="22"/>
      <c r="D905" s="21"/>
      <c r="E905" s="21"/>
      <c r="F905" s="21"/>
      <c r="H905" s="21"/>
      <c r="K905" s="21"/>
      <c r="L905" s="23"/>
    </row>
    <row r="906" spans="1:12">
      <c r="A906" s="22"/>
      <c r="D906" s="21"/>
      <c r="E906" s="21"/>
      <c r="F906" s="21"/>
      <c r="H906" s="21"/>
      <c r="K906" s="21"/>
      <c r="L906" s="23"/>
    </row>
    <row r="907" spans="1:12">
      <c r="A907" s="22"/>
      <c r="D907" s="21"/>
      <c r="E907" s="21"/>
      <c r="F907" s="21"/>
      <c r="H907" s="21"/>
      <c r="K907" s="21"/>
      <c r="L907" s="23"/>
    </row>
    <row r="908" spans="1:12">
      <c r="A908" s="22"/>
      <c r="D908" s="21"/>
      <c r="E908" s="21"/>
      <c r="F908" s="21"/>
      <c r="H908" s="21"/>
      <c r="K908" s="21"/>
      <c r="L908" s="23"/>
    </row>
    <row r="909" spans="1:12">
      <c r="A909" s="22"/>
      <c r="D909" s="21"/>
      <c r="E909" s="21"/>
      <c r="F909" s="21"/>
      <c r="H909" s="21"/>
      <c r="K909" s="21"/>
      <c r="L909" s="23"/>
    </row>
    <row r="910" spans="1:12">
      <c r="A910" s="22"/>
      <c r="D910" s="21"/>
      <c r="E910" s="21"/>
      <c r="F910" s="21"/>
      <c r="H910" s="21"/>
      <c r="K910" s="21"/>
      <c r="L910" s="23"/>
    </row>
    <row r="911" spans="1:12">
      <c r="A911" s="22"/>
      <c r="D911" s="21"/>
      <c r="E911" s="21"/>
      <c r="F911" s="21"/>
      <c r="H911" s="21"/>
      <c r="K911" s="21"/>
      <c r="L911" s="23"/>
    </row>
    <row r="912" spans="1:12">
      <c r="A912" s="22"/>
      <c r="D912" s="21"/>
      <c r="E912" s="21"/>
      <c r="F912" s="21"/>
      <c r="H912" s="21"/>
      <c r="K912" s="21"/>
      <c r="L912" s="23"/>
    </row>
    <row r="913" spans="1:12">
      <c r="A913" s="22"/>
      <c r="D913" s="21"/>
      <c r="E913" s="21"/>
      <c r="F913" s="21"/>
      <c r="H913" s="21"/>
      <c r="K913" s="21"/>
      <c r="L913" s="23"/>
    </row>
    <row r="914" spans="1:12">
      <c r="A914" s="22"/>
      <c r="D914" s="21"/>
      <c r="E914" s="21"/>
      <c r="F914" s="21"/>
      <c r="H914" s="21"/>
      <c r="K914" s="21"/>
      <c r="L914" s="23"/>
    </row>
    <row r="915" spans="1:12">
      <c r="A915" s="22"/>
      <c r="D915" s="21"/>
      <c r="E915" s="21"/>
      <c r="F915" s="21"/>
      <c r="H915" s="21"/>
      <c r="K915" s="21"/>
      <c r="L915" s="23"/>
    </row>
    <row r="916" spans="1:12">
      <c r="A916" s="22"/>
      <c r="D916" s="21"/>
      <c r="E916" s="21"/>
      <c r="F916" s="21"/>
      <c r="H916" s="21"/>
      <c r="K916" s="21"/>
      <c r="L916" s="23"/>
    </row>
    <row r="917" spans="1:12">
      <c r="A917" s="22"/>
      <c r="D917" s="21"/>
      <c r="E917" s="21"/>
      <c r="F917" s="21"/>
      <c r="H917" s="21"/>
      <c r="K917" s="21"/>
      <c r="L917" s="23"/>
    </row>
    <row r="918" spans="1:12">
      <c r="A918" s="22"/>
      <c r="D918" s="21"/>
      <c r="E918" s="21"/>
      <c r="F918" s="21"/>
      <c r="H918" s="21"/>
      <c r="K918" s="21"/>
      <c r="L918" s="23"/>
    </row>
    <row r="919" spans="1:12">
      <c r="A919" s="22"/>
      <c r="D919" s="21"/>
      <c r="E919" s="21"/>
      <c r="F919" s="21"/>
      <c r="H919" s="21"/>
      <c r="K919" s="21"/>
      <c r="L919" s="23"/>
    </row>
    <row r="920" spans="1:12">
      <c r="A920" s="22"/>
      <c r="D920" s="21"/>
      <c r="E920" s="21"/>
      <c r="F920" s="21"/>
      <c r="H920" s="21"/>
      <c r="K920" s="21"/>
      <c r="L920" s="23"/>
    </row>
    <row r="921" spans="1:12">
      <c r="A921" s="22"/>
      <c r="D921" s="21"/>
      <c r="E921" s="21"/>
      <c r="F921" s="21"/>
      <c r="H921" s="21"/>
      <c r="K921" s="21"/>
      <c r="L921" s="23"/>
    </row>
    <row r="922" spans="1:12">
      <c r="A922" s="22"/>
      <c r="D922" s="21"/>
      <c r="E922" s="21"/>
      <c r="F922" s="21"/>
      <c r="H922" s="21"/>
      <c r="K922" s="21"/>
      <c r="L922" s="23"/>
    </row>
    <row r="923" spans="1:12">
      <c r="A923" s="22"/>
      <c r="D923" s="21"/>
      <c r="E923" s="21"/>
      <c r="F923" s="21"/>
      <c r="H923" s="21"/>
      <c r="K923" s="21"/>
      <c r="L923" s="23"/>
    </row>
    <row r="924" spans="1:12">
      <c r="A924" s="22"/>
      <c r="D924" s="21"/>
      <c r="E924" s="21"/>
      <c r="F924" s="21"/>
      <c r="H924" s="21"/>
      <c r="K924" s="21"/>
      <c r="L924" s="23"/>
    </row>
    <row r="925" spans="1:12">
      <c r="A925" s="22"/>
      <c r="D925" s="21"/>
      <c r="E925" s="21"/>
      <c r="F925" s="21"/>
      <c r="H925" s="21"/>
      <c r="K925" s="21"/>
      <c r="L925" s="23"/>
    </row>
    <row r="926" spans="1:12">
      <c r="A926" s="22"/>
      <c r="D926" s="21"/>
      <c r="E926" s="21"/>
      <c r="F926" s="21"/>
      <c r="H926" s="21"/>
      <c r="K926" s="21"/>
      <c r="L926" s="23"/>
    </row>
    <row r="927" spans="1:12">
      <c r="A927" s="22"/>
      <c r="D927" s="21"/>
      <c r="E927" s="21"/>
      <c r="F927" s="21"/>
      <c r="H927" s="21"/>
      <c r="K927" s="21"/>
      <c r="L927" s="23"/>
    </row>
    <row r="928" spans="1:12">
      <c r="A928" s="22"/>
      <c r="D928" s="21"/>
      <c r="E928" s="21"/>
      <c r="F928" s="21"/>
      <c r="H928" s="21"/>
      <c r="K928" s="21"/>
      <c r="L928" s="23"/>
    </row>
    <row r="929" spans="1:12">
      <c r="A929" s="22"/>
      <c r="D929" s="21"/>
      <c r="E929" s="21"/>
      <c r="F929" s="21"/>
      <c r="H929" s="21"/>
      <c r="K929" s="21"/>
      <c r="L929" s="23"/>
    </row>
    <row r="930" spans="1:12">
      <c r="A930" s="22"/>
      <c r="D930" s="21"/>
      <c r="E930" s="21"/>
      <c r="F930" s="21"/>
      <c r="H930" s="21"/>
      <c r="K930" s="21"/>
      <c r="L930" s="23"/>
    </row>
    <row r="931" spans="1:12">
      <c r="A931" s="22"/>
      <c r="D931" s="21"/>
      <c r="E931" s="21"/>
      <c r="F931" s="21"/>
      <c r="H931" s="21"/>
      <c r="K931" s="21"/>
      <c r="L931" s="23"/>
    </row>
    <row r="932" spans="1:12">
      <c r="A932" s="22"/>
      <c r="D932" s="21"/>
      <c r="E932" s="21"/>
      <c r="F932" s="21"/>
      <c r="H932" s="21"/>
      <c r="K932" s="21"/>
      <c r="L932" s="23"/>
    </row>
    <row r="933" spans="1:12">
      <c r="A933" s="22"/>
      <c r="D933" s="21"/>
      <c r="E933" s="21"/>
      <c r="F933" s="21"/>
      <c r="H933" s="21"/>
      <c r="K933" s="21"/>
      <c r="L933" s="23"/>
    </row>
    <row r="934" spans="1:12">
      <c r="A934" s="22"/>
      <c r="D934" s="21"/>
      <c r="E934" s="21"/>
      <c r="F934" s="21"/>
      <c r="H934" s="21"/>
      <c r="K934" s="21"/>
      <c r="L934" s="23"/>
    </row>
    <row r="935" spans="1:12">
      <c r="A935" s="22"/>
      <c r="D935" s="21"/>
      <c r="E935" s="21"/>
      <c r="F935" s="21"/>
      <c r="H935" s="21"/>
      <c r="K935" s="21"/>
      <c r="L935" s="23"/>
    </row>
    <row r="936" spans="1:12">
      <c r="A936" s="22"/>
      <c r="D936" s="21"/>
      <c r="E936" s="21"/>
      <c r="F936" s="21"/>
      <c r="H936" s="21"/>
      <c r="K936" s="21"/>
      <c r="L936" s="23"/>
    </row>
    <row r="937" spans="1:12">
      <c r="A937" s="22"/>
      <c r="D937" s="21"/>
      <c r="E937" s="21"/>
      <c r="F937" s="21"/>
      <c r="H937" s="21"/>
      <c r="K937" s="21"/>
      <c r="L937" s="23"/>
    </row>
    <row r="938" spans="1:12">
      <c r="A938" s="22"/>
      <c r="D938" s="21"/>
      <c r="E938" s="21"/>
      <c r="F938" s="21"/>
      <c r="H938" s="21"/>
      <c r="K938" s="21"/>
      <c r="L938" s="23"/>
    </row>
    <row r="939" spans="1:12">
      <c r="A939" s="22"/>
      <c r="D939" s="21"/>
      <c r="E939" s="21"/>
      <c r="F939" s="21"/>
      <c r="H939" s="21"/>
      <c r="K939" s="21"/>
      <c r="L939" s="23"/>
    </row>
    <row r="940" spans="1:12">
      <c r="A940" s="22"/>
      <c r="D940" s="21"/>
      <c r="E940" s="21"/>
      <c r="F940" s="21"/>
      <c r="H940" s="21"/>
      <c r="K940" s="21"/>
      <c r="L940" s="23"/>
    </row>
    <row r="941" spans="1:12">
      <c r="A941" s="22"/>
      <c r="D941" s="21"/>
      <c r="E941" s="21"/>
      <c r="F941" s="21"/>
      <c r="H941" s="21"/>
      <c r="K941" s="21"/>
      <c r="L941" s="23"/>
    </row>
    <row r="942" spans="1:12">
      <c r="A942" s="22"/>
      <c r="D942" s="21"/>
      <c r="E942" s="21"/>
      <c r="F942" s="21"/>
      <c r="H942" s="21"/>
      <c r="K942" s="21"/>
      <c r="L942" s="23"/>
    </row>
    <row r="943" spans="1:12">
      <c r="A943" s="22"/>
      <c r="D943" s="21"/>
      <c r="E943" s="21"/>
      <c r="F943" s="21"/>
      <c r="H943" s="21"/>
      <c r="K943" s="21"/>
      <c r="L943" s="23"/>
    </row>
    <row r="944" spans="1:12">
      <c r="A944" s="22"/>
      <c r="D944" s="21"/>
      <c r="E944" s="21"/>
      <c r="F944" s="21"/>
      <c r="H944" s="21"/>
      <c r="K944" s="21"/>
      <c r="L944" s="23"/>
    </row>
    <row r="945" spans="1:12">
      <c r="A945" s="22"/>
      <c r="D945" s="21"/>
      <c r="E945" s="21"/>
      <c r="F945" s="21"/>
      <c r="H945" s="21"/>
      <c r="K945" s="21"/>
      <c r="L945" s="23"/>
    </row>
    <row r="946" spans="1:12">
      <c r="A946" s="22"/>
      <c r="D946" s="21"/>
      <c r="E946" s="21"/>
      <c r="F946" s="21"/>
      <c r="H946" s="21"/>
      <c r="K946" s="21"/>
      <c r="L946" s="23"/>
    </row>
    <row r="947" spans="1:12">
      <c r="A947" s="22"/>
      <c r="D947" s="21"/>
      <c r="E947" s="21"/>
      <c r="F947" s="21"/>
      <c r="H947" s="21"/>
      <c r="K947" s="21"/>
      <c r="L947" s="23"/>
    </row>
    <row r="948" spans="1:12">
      <c r="A948" s="22"/>
      <c r="D948" s="21"/>
      <c r="E948" s="21"/>
      <c r="F948" s="21"/>
      <c r="H948" s="21"/>
      <c r="K948" s="21"/>
      <c r="L948" s="23"/>
    </row>
    <row r="949" spans="1:12">
      <c r="A949" s="22"/>
      <c r="D949" s="21"/>
      <c r="E949" s="21"/>
      <c r="F949" s="21"/>
      <c r="H949" s="21"/>
      <c r="K949" s="21"/>
      <c r="L949" s="23"/>
    </row>
    <row r="950" spans="1:12">
      <c r="A950" s="22"/>
      <c r="D950" s="21"/>
      <c r="E950" s="21"/>
      <c r="F950" s="21"/>
      <c r="H950" s="21"/>
      <c r="K950" s="21"/>
      <c r="L950" s="23"/>
    </row>
    <row r="951" spans="1:12">
      <c r="A951" s="22"/>
      <c r="D951" s="21"/>
      <c r="E951" s="21"/>
      <c r="F951" s="21"/>
      <c r="H951" s="21"/>
      <c r="K951" s="21"/>
      <c r="L951" s="23"/>
    </row>
    <row r="952" spans="1:12">
      <c r="A952" s="22"/>
      <c r="D952" s="21"/>
      <c r="E952" s="21"/>
      <c r="F952" s="21"/>
      <c r="H952" s="21"/>
      <c r="K952" s="21"/>
      <c r="L952" s="23"/>
    </row>
    <row r="953" spans="1:12">
      <c r="A953" s="22"/>
      <c r="D953" s="21"/>
      <c r="E953" s="21"/>
      <c r="F953" s="21"/>
      <c r="H953" s="21"/>
      <c r="K953" s="21"/>
      <c r="L953" s="23"/>
    </row>
    <row r="954" spans="1:12">
      <c r="A954" s="22"/>
      <c r="D954" s="21"/>
      <c r="E954" s="21"/>
      <c r="F954" s="21"/>
      <c r="H954" s="21"/>
      <c r="K954" s="21"/>
      <c r="L954" s="23"/>
    </row>
    <row r="955" spans="1:12">
      <c r="A955" s="22"/>
      <c r="D955" s="21"/>
      <c r="E955" s="21"/>
      <c r="F955" s="21"/>
      <c r="H955" s="21"/>
      <c r="K955" s="21"/>
      <c r="L955" s="23"/>
    </row>
    <row r="956" spans="1:12">
      <c r="A956" s="22"/>
      <c r="D956" s="21"/>
      <c r="E956" s="21"/>
      <c r="F956" s="21"/>
      <c r="H956" s="21"/>
      <c r="K956" s="21"/>
      <c r="L956" s="23"/>
    </row>
    <row r="957" spans="1:12">
      <c r="A957" s="22"/>
      <c r="D957" s="21"/>
      <c r="E957" s="21"/>
      <c r="F957" s="21"/>
      <c r="H957" s="21"/>
      <c r="K957" s="21"/>
      <c r="L957" s="23"/>
    </row>
    <row r="958" spans="1:12">
      <c r="A958" s="22"/>
      <c r="D958" s="21"/>
      <c r="E958" s="21"/>
      <c r="F958" s="21"/>
      <c r="H958" s="21"/>
      <c r="K958" s="21"/>
      <c r="L958" s="23"/>
    </row>
    <row r="959" spans="1:12">
      <c r="A959" s="22"/>
      <c r="D959" s="21"/>
      <c r="E959" s="21"/>
      <c r="F959" s="21"/>
      <c r="H959" s="21"/>
      <c r="K959" s="21"/>
      <c r="L959" s="23"/>
    </row>
    <row r="960" spans="1:12">
      <c r="A960" s="22"/>
      <c r="D960" s="21"/>
      <c r="E960" s="21"/>
      <c r="F960" s="21"/>
      <c r="H960" s="21"/>
      <c r="K960" s="21"/>
      <c r="L960" s="23"/>
    </row>
    <row r="961" spans="1:12">
      <c r="A961" s="22"/>
      <c r="D961" s="21"/>
      <c r="E961" s="21"/>
      <c r="F961" s="21"/>
      <c r="H961" s="21"/>
      <c r="K961" s="21"/>
      <c r="L961" s="23"/>
    </row>
    <row r="962" spans="1:12">
      <c r="A962" s="22"/>
      <c r="D962" s="21"/>
      <c r="E962" s="21"/>
      <c r="F962" s="21"/>
      <c r="H962" s="21"/>
      <c r="K962" s="21"/>
      <c r="L962" s="23"/>
    </row>
    <row r="963" spans="1:12">
      <c r="A963" s="22"/>
      <c r="D963" s="21"/>
      <c r="E963" s="21"/>
      <c r="F963" s="21"/>
      <c r="H963" s="21"/>
      <c r="K963" s="21"/>
      <c r="L963" s="23"/>
    </row>
    <row r="964" spans="1:12">
      <c r="A964" s="22"/>
      <c r="D964" s="21"/>
      <c r="E964" s="21"/>
      <c r="F964" s="21"/>
      <c r="H964" s="21"/>
      <c r="K964" s="21"/>
      <c r="L964" s="23"/>
    </row>
    <row r="965" spans="1:12">
      <c r="A965" s="22"/>
      <c r="D965" s="21"/>
      <c r="E965" s="21"/>
      <c r="F965" s="21"/>
      <c r="H965" s="21"/>
      <c r="K965" s="21"/>
      <c r="L965" s="23"/>
    </row>
    <row r="966" spans="1:12">
      <c r="A966" s="22"/>
      <c r="D966" s="21"/>
      <c r="E966" s="21"/>
      <c r="F966" s="21"/>
      <c r="H966" s="21"/>
      <c r="K966" s="21"/>
      <c r="L966" s="23"/>
    </row>
    <row r="967" spans="1:12">
      <c r="A967" s="22"/>
      <c r="D967" s="21"/>
      <c r="E967" s="21"/>
      <c r="F967" s="21"/>
      <c r="H967" s="21"/>
      <c r="K967" s="21"/>
      <c r="L967" s="23"/>
    </row>
    <row r="968" spans="1:12">
      <c r="A968" s="22"/>
      <c r="D968" s="21"/>
      <c r="E968" s="21"/>
      <c r="F968" s="21"/>
      <c r="H968" s="21"/>
      <c r="K968" s="21"/>
      <c r="L968" s="23"/>
    </row>
    <row r="969" spans="1:12">
      <c r="A969" s="22"/>
      <c r="D969" s="21"/>
      <c r="E969" s="21"/>
      <c r="F969" s="21"/>
      <c r="H969" s="21"/>
      <c r="K969" s="21"/>
      <c r="L969" s="23"/>
    </row>
    <row r="970" spans="1:12">
      <c r="A970" s="22"/>
      <c r="D970" s="21"/>
      <c r="E970" s="21"/>
      <c r="F970" s="21"/>
      <c r="H970" s="21"/>
      <c r="K970" s="21"/>
      <c r="L970" s="23"/>
    </row>
    <row r="971" spans="1:12">
      <c r="A971" s="22"/>
      <c r="D971" s="21"/>
      <c r="E971" s="21"/>
      <c r="F971" s="21"/>
      <c r="H971" s="21"/>
      <c r="K971" s="21"/>
      <c r="L971" s="23"/>
    </row>
    <row r="972" spans="1:12">
      <c r="A972" s="22"/>
      <c r="D972" s="21"/>
      <c r="E972" s="21"/>
      <c r="F972" s="21"/>
      <c r="H972" s="21"/>
      <c r="K972" s="21"/>
      <c r="L972" s="23"/>
    </row>
    <row r="973" spans="1:12">
      <c r="A973" s="22"/>
      <c r="D973" s="21"/>
      <c r="E973" s="21"/>
      <c r="F973" s="21"/>
      <c r="H973" s="21"/>
      <c r="K973" s="21"/>
      <c r="L973" s="23"/>
    </row>
    <row r="974" spans="1:12">
      <c r="A974" s="22"/>
      <c r="D974" s="21"/>
      <c r="E974" s="21"/>
      <c r="F974" s="21"/>
      <c r="H974" s="21"/>
      <c r="K974" s="21"/>
      <c r="L974" s="23"/>
    </row>
    <row r="975" spans="1:12">
      <c r="A975" s="22"/>
      <c r="D975" s="21"/>
      <c r="E975" s="21"/>
      <c r="F975" s="21"/>
      <c r="H975" s="21"/>
      <c r="K975" s="21"/>
      <c r="L975" s="23"/>
    </row>
    <row r="976" spans="1:12">
      <c r="A976" s="22"/>
      <c r="D976" s="21"/>
      <c r="E976" s="21"/>
      <c r="F976" s="21"/>
      <c r="H976" s="21"/>
      <c r="K976" s="21"/>
      <c r="L976" s="23"/>
    </row>
    <row r="977" spans="1:12">
      <c r="A977" s="22"/>
      <c r="D977" s="21"/>
      <c r="E977" s="21"/>
      <c r="F977" s="21"/>
      <c r="H977" s="21"/>
      <c r="K977" s="21"/>
      <c r="L977" s="23"/>
    </row>
    <row r="978" spans="1:12">
      <c r="A978" s="22"/>
      <c r="D978" s="21"/>
      <c r="E978" s="21"/>
      <c r="F978" s="21"/>
      <c r="H978" s="21"/>
      <c r="K978" s="21"/>
      <c r="L978" s="23"/>
    </row>
    <row r="979" spans="1:12">
      <c r="A979" s="22"/>
      <c r="D979" s="21"/>
      <c r="E979" s="21"/>
      <c r="F979" s="21"/>
      <c r="H979" s="21"/>
      <c r="K979" s="21"/>
      <c r="L979" s="23"/>
    </row>
    <row r="980" spans="1:12">
      <c r="A980" s="22"/>
      <c r="D980" s="21"/>
      <c r="E980" s="21"/>
      <c r="F980" s="21"/>
      <c r="H980" s="21"/>
      <c r="K980" s="21"/>
      <c r="L980" s="23"/>
    </row>
    <row r="981" spans="1:12">
      <c r="A981" s="22"/>
      <c r="D981" s="21"/>
      <c r="E981" s="21"/>
      <c r="F981" s="21"/>
      <c r="H981" s="21"/>
      <c r="K981" s="21"/>
      <c r="L981" s="23"/>
    </row>
    <row r="982" spans="1:12">
      <c r="A982" s="22"/>
      <c r="D982" s="21"/>
      <c r="E982" s="21"/>
      <c r="F982" s="21"/>
      <c r="H982" s="21"/>
      <c r="K982" s="21"/>
      <c r="L982" s="23"/>
    </row>
    <row r="983" spans="1:12">
      <c r="A983" s="22"/>
      <c r="D983" s="21"/>
      <c r="E983" s="21"/>
      <c r="F983" s="21"/>
      <c r="H983" s="21"/>
      <c r="K983" s="21"/>
      <c r="L983" s="23"/>
    </row>
    <row r="984" spans="1:12">
      <c r="A984" s="22"/>
      <c r="D984" s="21"/>
      <c r="E984" s="21"/>
      <c r="F984" s="21"/>
      <c r="H984" s="21"/>
      <c r="K984" s="21"/>
      <c r="L984" s="23"/>
    </row>
    <row r="985" spans="1:12">
      <c r="A985" s="22"/>
      <c r="D985" s="21"/>
      <c r="E985" s="21"/>
      <c r="F985" s="21"/>
      <c r="H985" s="21"/>
      <c r="K985" s="21"/>
      <c r="L985" s="23"/>
    </row>
    <row r="986" spans="1:12">
      <c r="A986" s="22"/>
      <c r="D986" s="21"/>
      <c r="E986" s="21"/>
      <c r="F986" s="21"/>
      <c r="H986" s="21"/>
      <c r="K986" s="21"/>
      <c r="L986" s="23"/>
    </row>
    <row r="987" spans="1:12">
      <c r="A987" s="22"/>
      <c r="D987" s="21"/>
      <c r="E987" s="21"/>
      <c r="F987" s="21"/>
      <c r="H987" s="21"/>
      <c r="K987" s="21"/>
      <c r="L987" s="23"/>
    </row>
    <row r="988" spans="1:12">
      <c r="A988" s="22"/>
      <c r="D988" s="21"/>
      <c r="E988" s="21"/>
      <c r="F988" s="21"/>
      <c r="H988" s="21"/>
      <c r="K988" s="21"/>
      <c r="L988" s="23"/>
    </row>
    <row r="989" spans="1:12">
      <c r="A989" s="22"/>
      <c r="D989" s="21"/>
      <c r="E989" s="21"/>
      <c r="F989" s="21"/>
      <c r="H989" s="21"/>
      <c r="K989" s="21"/>
      <c r="L989" s="23"/>
    </row>
    <row r="990" spans="1:12">
      <c r="A990" s="22"/>
      <c r="D990" s="21"/>
      <c r="E990" s="21"/>
      <c r="F990" s="21"/>
      <c r="H990" s="21"/>
      <c r="K990" s="21"/>
      <c r="L990" s="23"/>
    </row>
    <row r="991" spans="1:12">
      <c r="A991" s="22"/>
      <c r="D991" s="21"/>
      <c r="E991" s="21"/>
      <c r="F991" s="21"/>
      <c r="H991" s="21"/>
      <c r="K991" s="21"/>
      <c r="L991" s="23"/>
    </row>
    <row r="992" spans="1:12">
      <c r="A992" s="22"/>
      <c r="D992" s="21"/>
      <c r="E992" s="21"/>
      <c r="F992" s="21"/>
      <c r="H992" s="21"/>
      <c r="K992" s="21"/>
      <c r="L992" s="23"/>
    </row>
    <row r="993" spans="1:12">
      <c r="A993" s="22"/>
      <c r="D993" s="21"/>
      <c r="E993" s="21"/>
      <c r="F993" s="21"/>
      <c r="H993" s="21"/>
      <c r="K993" s="21"/>
      <c r="L993" s="23"/>
    </row>
    <row r="994" spans="1:12">
      <c r="A994" s="22"/>
      <c r="D994" s="21"/>
      <c r="E994" s="21"/>
      <c r="F994" s="21"/>
      <c r="H994" s="21"/>
      <c r="K994" s="21"/>
      <c r="L994" s="23"/>
    </row>
    <row r="995" spans="1:12">
      <c r="A995" s="22"/>
      <c r="D995" s="21"/>
      <c r="E995" s="21"/>
      <c r="F995" s="21"/>
      <c r="H995" s="21"/>
      <c r="K995" s="21"/>
      <c r="L995" s="23"/>
    </row>
  </sheetData>
  <autoFilter ref="A1:P47" xr:uid="{00000000-0009-0000-0000-000008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R48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6.85546875" customWidth="1"/>
    <col min="2" max="2" width="14.42578125" customWidth="1"/>
    <col min="3" max="3" width="9.140625" customWidth="1"/>
    <col min="4" max="4" width="7.28515625" customWidth="1"/>
    <col min="5" max="5" width="5.85546875" customWidth="1"/>
    <col min="6" max="6" width="10.28515625" customWidth="1"/>
    <col min="7" max="7" width="10.85546875" customWidth="1"/>
    <col min="8" max="8" width="9" customWidth="1"/>
    <col min="9" max="9" width="10.28515625" customWidth="1"/>
    <col min="10" max="10" width="63.7109375" customWidth="1"/>
    <col min="11" max="11" width="25.140625" customWidth="1"/>
    <col min="12" max="12" width="7.28515625" customWidth="1"/>
    <col min="13" max="13" width="10.7109375" customWidth="1"/>
    <col min="14" max="14" width="11.42578125" customWidth="1"/>
    <col min="15" max="16" width="13.42578125" customWidth="1"/>
    <col min="17" max="17" width="11.42578125" customWidth="1"/>
    <col min="18" max="18" width="13.85546875" customWidth="1"/>
  </cols>
  <sheetData>
    <row r="1" spans="1:18">
      <c r="A1" s="1" t="s">
        <v>25</v>
      </c>
      <c r="B1" s="1" t="s">
        <v>1750</v>
      </c>
      <c r="C1" s="1" t="s">
        <v>1766</v>
      </c>
      <c r="D1" s="1" t="s">
        <v>1</v>
      </c>
      <c r="E1" s="1" t="s">
        <v>1798</v>
      </c>
      <c r="F1" s="1" t="s">
        <v>1768</v>
      </c>
      <c r="G1" s="1" t="s">
        <v>1769</v>
      </c>
      <c r="H1" s="1" t="s">
        <v>1770</v>
      </c>
      <c r="I1" s="1" t="s">
        <v>400</v>
      </c>
      <c r="J1" s="1" t="s">
        <v>1799</v>
      </c>
      <c r="K1" s="1" t="s">
        <v>1776</v>
      </c>
      <c r="L1" s="1" t="s">
        <v>1772</v>
      </c>
      <c r="M1" s="1" t="s">
        <v>1765</v>
      </c>
      <c r="N1" s="1" t="s">
        <v>28</v>
      </c>
      <c r="O1" s="1" t="s">
        <v>1800</v>
      </c>
      <c r="P1" s="1"/>
      <c r="Q1" s="1" t="s">
        <v>28</v>
      </c>
      <c r="R1" s="1" t="s">
        <v>1801</v>
      </c>
    </row>
    <row r="2" spans="1:18">
      <c r="A2" s="1">
        <v>26</v>
      </c>
      <c r="B2" s="1" t="s">
        <v>242</v>
      </c>
      <c r="C2" s="1" t="s">
        <v>62</v>
      </c>
      <c r="D2" s="1">
        <v>92</v>
      </c>
      <c r="E2" s="1">
        <v>96</v>
      </c>
      <c r="F2" s="1">
        <v>70</v>
      </c>
      <c r="G2" s="1" t="s">
        <v>404</v>
      </c>
      <c r="H2" s="1">
        <v>86</v>
      </c>
      <c r="I2" s="27">
        <v>1</v>
      </c>
      <c r="J2" s="28" t="s">
        <v>1802</v>
      </c>
      <c r="K2" s="1" t="s">
        <v>1803</v>
      </c>
      <c r="L2" s="1">
        <f t="shared" ref="L2:L46" si="0">F2*H2</f>
        <v>6020</v>
      </c>
      <c r="M2" s="1">
        <f t="shared" ref="M2:M46" si="1">L2/D2</f>
        <v>65.434782608695656</v>
      </c>
      <c r="N2" s="1" t="s">
        <v>129</v>
      </c>
      <c r="O2" s="1" t="s">
        <v>337</v>
      </c>
      <c r="P2" s="1"/>
      <c r="Q2" s="1" t="s">
        <v>129</v>
      </c>
      <c r="R2" s="1" t="s">
        <v>337</v>
      </c>
    </row>
    <row r="3" spans="1:18">
      <c r="A3" s="1">
        <v>27</v>
      </c>
      <c r="B3" s="1" t="s">
        <v>245</v>
      </c>
      <c r="C3" s="1" t="s">
        <v>363</v>
      </c>
      <c r="D3" s="1">
        <v>92</v>
      </c>
      <c r="E3" s="1">
        <v>53</v>
      </c>
      <c r="F3" s="1">
        <v>65</v>
      </c>
      <c r="G3" s="1" t="s">
        <v>327</v>
      </c>
      <c r="H3" s="1">
        <v>86</v>
      </c>
      <c r="I3" s="27">
        <v>1</v>
      </c>
      <c r="J3" s="28" t="s">
        <v>1804</v>
      </c>
      <c r="K3" s="1" t="s">
        <v>1805</v>
      </c>
      <c r="L3" s="1">
        <f t="shared" si="0"/>
        <v>5590</v>
      </c>
      <c r="M3" s="1">
        <f t="shared" si="1"/>
        <v>60.760869565217391</v>
      </c>
      <c r="N3" s="1" t="e">
        <f t="shared" ref="N3:O3" ca="1" si="2">_xludf.XLOOKUP(_xludf.MAXIFS($L$2:$L$47,$C$2:$C$47,N2),$L$2:$L$47,$B$2:$B$47,"No Pokemon")</f>
        <v>#NAME?</v>
      </c>
      <c r="O3" s="1" t="e">
        <f t="shared" ca="1" si="2"/>
        <v>#NAME?</v>
      </c>
      <c r="Q3" s="1" t="e">
        <f t="shared" ref="Q3:R3" ca="1" si="3">_xludf.XLOOKUP(_xludf.MAXIFS($M$2:$M$47,$C$2:$C$47,Q2),$M$2:$M$47,$B$2:$B$47,"No Pokemon")</f>
        <v>#NAME?</v>
      </c>
      <c r="R3" s="1" t="e">
        <f t="shared" ca="1" si="3"/>
        <v>#NAME?</v>
      </c>
    </row>
    <row r="4" spans="1:18">
      <c r="A4" s="1">
        <v>28</v>
      </c>
      <c r="B4" s="1" t="s">
        <v>248</v>
      </c>
      <c r="C4" s="1" t="s">
        <v>337</v>
      </c>
      <c r="D4" s="1">
        <v>92</v>
      </c>
      <c r="E4" s="1">
        <v>67</v>
      </c>
      <c r="F4" s="1">
        <v>65</v>
      </c>
      <c r="G4" s="1" t="s">
        <v>404</v>
      </c>
      <c r="H4" s="1">
        <v>93</v>
      </c>
      <c r="I4" s="27">
        <v>1</v>
      </c>
      <c r="J4" s="28" t="s">
        <v>1806</v>
      </c>
      <c r="K4" s="1" t="s">
        <v>1807</v>
      </c>
      <c r="L4" s="1">
        <f t="shared" si="0"/>
        <v>6045</v>
      </c>
      <c r="M4" s="1">
        <f t="shared" si="1"/>
        <v>65.706521739130437</v>
      </c>
    </row>
    <row r="5" spans="1:18">
      <c r="A5" s="1">
        <v>29</v>
      </c>
      <c r="B5" s="1" t="s">
        <v>250</v>
      </c>
      <c r="C5" s="1" t="s">
        <v>59</v>
      </c>
      <c r="D5" s="1">
        <v>40</v>
      </c>
      <c r="E5" s="1">
        <v>24</v>
      </c>
      <c r="F5" s="1">
        <v>40</v>
      </c>
      <c r="G5" s="1" t="s">
        <v>327</v>
      </c>
      <c r="H5" s="1">
        <v>33</v>
      </c>
      <c r="I5" s="27">
        <v>1</v>
      </c>
      <c r="J5" s="28" t="s">
        <v>1781</v>
      </c>
      <c r="L5" s="1">
        <f t="shared" si="0"/>
        <v>1320</v>
      </c>
      <c r="M5" s="1">
        <f t="shared" si="1"/>
        <v>33</v>
      </c>
    </row>
    <row r="6" spans="1:18">
      <c r="A6" s="1">
        <v>30</v>
      </c>
      <c r="B6" s="1" t="s">
        <v>252</v>
      </c>
      <c r="C6" s="1" t="s">
        <v>129</v>
      </c>
      <c r="D6" s="1">
        <v>48</v>
      </c>
      <c r="E6" s="1">
        <v>35</v>
      </c>
      <c r="F6" s="1">
        <v>50</v>
      </c>
      <c r="G6" s="1" t="s">
        <v>404</v>
      </c>
      <c r="H6" s="1">
        <v>47</v>
      </c>
      <c r="I6" s="27">
        <v>1</v>
      </c>
      <c r="J6" s="1" t="s">
        <v>385</v>
      </c>
      <c r="L6" s="1">
        <f t="shared" si="0"/>
        <v>2350</v>
      </c>
      <c r="M6" s="1">
        <f t="shared" si="1"/>
        <v>48.958333333333336</v>
      </c>
      <c r="N6" s="1" t="s">
        <v>341</v>
      </c>
      <c r="O6" s="1" t="s">
        <v>154</v>
      </c>
      <c r="P6" s="1"/>
      <c r="Q6" s="1" t="s">
        <v>341</v>
      </c>
      <c r="R6" s="1" t="s">
        <v>154</v>
      </c>
    </row>
    <row r="7" spans="1:18">
      <c r="A7" s="1">
        <v>31</v>
      </c>
      <c r="B7" s="1" t="s">
        <v>254</v>
      </c>
      <c r="C7" s="1" t="s">
        <v>129</v>
      </c>
      <c r="D7" s="1">
        <v>40</v>
      </c>
      <c r="E7" s="1">
        <v>38</v>
      </c>
      <c r="F7" s="1">
        <v>40</v>
      </c>
      <c r="G7" s="1" t="s">
        <v>404</v>
      </c>
      <c r="H7" s="1">
        <v>33</v>
      </c>
      <c r="I7" s="27">
        <v>1</v>
      </c>
      <c r="J7" s="1" t="s">
        <v>1779</v>
      </c>
      <c r="L7" s="1">
        <f t="shared" si="0"/>
        <v>1320</v>
      </c>
      <c r="M7" s="1">
        <f t="shared" si="1"/>
        <v>33</v>
      </c>
      <c r="N7" s="1" t="e">
        <f t="shared" ref="N7:O7" ca="1" si="4">_xludf.XLOOKUP(_xludf.MAXIFS($L$2:$L$47,$C$2:$C$47,N6),$L$2:$L$47,$B$2:$B$47,"No Pokemon")</f>
        <v>#NAME?</v>
      </c>
      <c r="O7" s="1" t="e">
        <f t="shared" ca="1" si="4"/>
        <v>#NAME?</v>
      </c>
      <c r="Q7" s="1" t="e">
        <f t="shared" ref="Q7:R7" ca="1" si="5">_xludf.XLOOKUP(_xludf.MAXIFS($M$2:$M$47,$C$2:$C$47,Q6),$M$2:$M$47,$B$2:$B$47,"No Pokemon")</f>
        <v>#NAME?</v>
      </c>
      <c r="R7" s="1" t="e">
        <f t="shared" ca="1" si="5"/>
        <v>#NAME?</v>
      </c>
    </row>
    <row r="8" spans="1:18">
      <c r="A8" s="1">
        <v>32</v>
      </c>
      <c r="B8" s="1" t="s">
        <v>256</v>
      </c>
      <c r="C8" s="1" t="s">
        <v>82</v>
      </c>
      <c r="D8" s="1">
        <v>44</v>
      </c>
      <c r="E8" s="1">
        <v>20</v>
      </c>
      <c r="F8" s="1">
        <v>20</v>
      </c>
      <c r="G8" s="1" t="s">
        <v>327</v>
      </c>
      <c r="H8" s="1">
        <v>27</v>
      </c>
      <c r="I8" s="27">
        <v>1</v>
      </c>
      <c r="J8" s="1" t="s">
        <v>1782</v>
      </c>
      <c r="K8" s="1" t="s">
        <v>1808</v>
      </c>
      <c r="L8" s="1">
        <f t="shared" si="0"/>
        <v>540</v>
      </c>
      <c r="M8" s="1">
        <f t="shared" si="1"/>
        <v>12.272727272727273</v>
      </c>
    </row>
    <row r="9" spans="1:18">
      <c r="A9" s="1">
        <v>33</v>
      </c>
      <c r="B9" s="1" t="s">
        <v>258</v>
      </c>
      <c r="C9" s="1" t="s">
        <v>82</v>
      </c>
      <c r="D9" s="1">
        <v>64</v>
      </c>
      <c r="E9" s="1">
        <v>26</v>
      </c>
      <c r="F9" s="1">
        <v>40</v>
      </c>
      <c r="G9" s="1" t="s">
        <v>327</v>
      </c>
      <c r="H9" s="1">
        <v>39</v>
      </c>
      <c r="I9" s="27">
        <v>1</v>
      </c>
      <c r="J9" s="1" t="s">
        <v>1782</v>
      </c>
      <c r="K9" s="1" t="s">
        <v>1808</v>
      </c>
      <c r="L9" s="1">
        <f t="shared" si="0"/>
        <v>1560</v>
      </c>
      <c r="M9" s="1">
        <f t="shared" si="1"/>
        <v>24.375</v>
      </c>
    </row>
    <row r="10" spans="1:18">
      <c r="A10" s="1">
        <v>34</v>
      </c>
      <c r="B10" s="1" t="s">
        <v>220</v>
      </c>
      <c r="C10" s="1" t="s">
        <v>154</v>
      </c>
      <c r="D10" s="1">
        <v>92</v>
      </c>
      <c r="E10" s="1">
        <v>46</v>
      </c>
      <c r="F10" s="1">
        <v>75</v>
      </c>
      <c r="G10" s="1" t="s">
        <v>404</v>
      </c>
      <c r="H10" s="1">
        <v>85</v>
      </c>
      <c r="I10" s="27">
        <v>1</v>
      </c>
      <c r="J10" s="1" t="s">
        <v>1782</v>
      </c>
      <c r="L10" s="1">
        <f t="shared" si="0"/>
        <v>6375</v>
      </c>
      <c r="M10" s="1">
        <f t="shared" si="1"/>
        <v>69.293478260869563</v>
      </c>
      <c r="N10" s="1" t="s">
        <v>431</v>
      </c>
      <c r="O10" s="1" t="s">
        <v>164</v>
      </c>
      <c r="P10" s="1"/>
      <c r="Q10" s="1" t="s">
        <v>431</v>
      </c>
      <c r="R10" s="1" t="s">
        <v>164</v>
      </c>
    </row>
    <row r="11" spans="1:18">
      <c r="A11" s="1">
        <v>35</v>
      </c>
      <c r="B11" s="1" t="s">
        <v>261</v>
      </c>
      <c r="C11" s="1" t="s">
        <v>59</v>
      </c>
      <c r="D11" s="1">
        <v>42</v>
      </c>
      <c r="E11" s="1">
        <v>35</v>
      </c>
      <c r="F11" s="1">
        <v>40</v>
      </c>
      <c r="G11" s="1" t="s">
        <v>327</v>
      </c>
      <c r="H11" s="1">
        <v>34</v>
      </c>
      <c r="I11" s="27">
        <v>1</v>
      </c>
      <c r="J11" s="28" t="s">
        <v>1781</v>
      </c>
      <c r="L11" s="1">
        <f t="shared" si="0"/>
        <v>1360</v>
      </c>
      <c r="M11" s="1">
        <f t="shared" si="1"/>
        <v>32.38095238095238</v>
      </c>
      <c r="N11" s="1" t="e">
        <f t="shared" ref="N11:O11" ca="1" si="6">_xludf.XLOOKUP(_xludf.MAXIFS($L$2:$L$47,$C$2:$C$47,N10),$L$2:$L$47,$B$2:$B$47,"No Pokemon")</f>
        <v>#NAME?</v>
      </c>
      <c r="O11" s="1" t="e">
        <f t="shared" ca="1" si="6"/>
        <v>#NAME?</v>
      </c>
      <c r="Q11" s="1" t="e">
        <f t="shared" ref="Q11:R11" ca="1" si="7">_xludf.XLOOKUP(_xludf.MAXIFS($M$2:$M$47,$C$2:$C$47,Q10),$M$2:$M$47,$B$2:$B$47,"No Pokemon")</f>
        <v>#NAME?</v>
      </c>
      <c r="R11" s="1" t="e">
        <f t="shared" ca="1" si="7"/>
        <v>#NAME?</v>
      </c>
    </row>
    <row r="12" spans="1:18">
      <c r="A12" s="1">
        <v>36</v>
      </c>
      <c r="B12" s="1" t="s">
        <v>263</v>
      </c>
      <c r="C12" s="1" t="s">
        <v>337</v>
      </c>
      <c r="D12" s="1">
        <v>64</v>
      </c>
      <c r="E12" s="1">
        <v>55</v>
      </c>
      <c r="F12" s="1">
        <v>40</v>
      </c>
      <c r="G12" s="1" t="s">
        <v>404</v>
      </c>
      <c r="H12" s="1">
        <v>53</v>
      </c>
      <c r="I12" s="27">
        <v>1</v>
      </c>
      <c r="J12" s="28" t="s">
        <v>1809</v>
      </c>
      <c r="L12" s="1">
        <f t="shared" si="0"/>
        <v>2120</v>
      </c>
      <c r="M12" s="1">
        <f t="shared" si="1"/>
        <v>33.125</v>
      </c>
    </row>
    <row r="13" spans="1:18">
      <c r="A13" s="1">
        <v>37</v>
      </c>
      <c r="B13" s="1" t="s">
        <v>20</v>
      </c>
      <c r="C13" s="1" t="s">
        <v>337</v>
      </c>
      <c r="D13" s="1">
        <v>92</v>
      </c>
      <c r="E13" s="1">
        <v>84</v>
      </c>
      <c r="F13" s="1">
        <v>75</v>
      </c>
      <c r="G13" s="1" t="s">
        <v>404</v>
      </c>
      <c r="H13" s="1">
        <v>81</v>
      </c>
      <c r="I13" s="27">
        <v>1</v>
      </c>
      <c r="J13" s="28" t="s">
        <v>1809</v>
      </c>
      <c r="L13" s="1">
        <f t="shared" si="0"/>
        <v>6075</v>
      </c>
      <c r="M13" s="1">
        <f t="shared" si="1"/>
        <v>66.032608695652172</v>
      </c>
    </row>
    <row r="14" spans="1:18">
      <c r="A14" s="1">
        <v>38</v>
      </c>
      <c r="B14" s="1" t="s">
        <v>13</v>
      </c>
      <c r="C14" s="1" t="s">
        <v>54</v>
      </c>
      <c r="D14" s="1">
        <v>44</v>
      </c>
      <c r="E14" s="1">
        <v>25</v>
      </c>
      <c r="F14" s="1">
        <v>40</v>
      </c>
      <c r="G14" s="1" t="s">
        <v>327</v>
      </c>
      <c r="H14" s="1">
        <v>35</v>
      </c>
      <c r="I14" s="27">
        <v>1</v>
      </c>
      <c r="J14" s="1" t="s">
        <v>1790</v>
      </c>
      <c r="L14" s="1">
        <f t="shared" si="0"/>
        <v>1400</v>
      </c>
      <c r="M14" s="1">
        <f t="shared" si="1"/>
        <v>31.818181818181817</v>
      </c>
      <c r="N14" s="1" t="s">
        <v>540</v>
      </c>
      <c r="O14" s="1" t="s">
        <v>363</v>
      </c>
      <c r="P14" s="1"/>
      <c r="Q14" s="1" t="s">
        <v>540</v>
      </c>
      <c r="R14" s="1" t="s">
        <v>363</v>
      </c>
    </row>
    <row r="15" spans="1:18">
      <c r="A15" s="1">
        <v>39</v>
      </c>
      <c r="B15" s="1" t="s">
        <v>267</v>
      </c>
      <c r="C15" s="1" t="s">
        <v>54</v>
      </c>
      <c r="D15" s="1">
        <v>64</v>
      </c>
      <c r="E15" s="1">
        <v>36</v>
      </c>
      <c r="F15" s="1">
        <v>65</v>
      </c>
      <c r="G15" s="1" t="s">
        <v>327</v>
      </c>
      <c r="H15" s="1">
        <v>55</v>
      </c>
      <c r="I15" s="27">
        <v>1</v>
      </c>
      <c r="J15" s="1" t="s">
        <v>1790</v>
      </c>
      <c r="L15" s="1">
        <f t="shared" si="0"/>
        <v>3575</v>
      </c>
      <c r="M15" s="1">
        <f t="shared" si="1"/>
        <v>55.859375</v>
      </c>
      <c r="N15" s="1" t="e">
        <f t="shared" ref="N15:O15" ca="1" si="8">_xludf.XLOOKUP(_xludf.MAXIFS($L$2:$L$47,$C$2:$C$47,N14),$L$2:$L$47,$B$2:$B$47,"No Pokemon")</f>
        <v>#NAME?</v>
      </c>
      <c r="O15" s="1" t="e">
        <f t="shared" ca="1" si="8"/>
        <v>#NAME?</v>
      </c>
      <c r="Q15" s="1" t="e">
        <f t="shared" ref="Q15:R15" ca="1" si="9">_xludf.XLOOKUP(_xludf.MAXIFS($M$2:$M$47,$C$2:$C$47,Q14),$M$2:$M$47,$B$2:$B$47,"No Pokemon")</f>
        <v>#NAME?</v>
      </c>
      <c r="R15" s="1" t="e">
        <f t="shared" ca="1" si="9"/>
        <v>#NAME?</v>
      </c>
    </row>
    <row r="16" spans="1:18">
      <c r="A16" s="1">
        <v>40</v>
      </c>
      <c r="B16" s="1" t="s">
        <v>11</v>
      </c>
      <c r="C16" s="1" t="s">
        <v>726</v>
      </c>
      <c r="D16" s="1">
        <v>92</v>
      </c>
      <c r="E16" s="1">
        <v>49</v>
      </c>
      <c r="F16" s="1">
        <v>70</v>
      </c>
      <c r="G16" s="1" t="s">
        <v>404</v>
      </c>
      <c r="H16" s="1">
        <v>68</v>
      </c>
      <c r="I16" s="27">
        <v>0.9</v>
      </c>
      <c r="J16" s="28" t="s">
        <v>1810</v>
      </c>
      <c r="K16" s="1" t="s">
        <v>1811</v>
      </c>
      <c r="L16" s="1">
        <f t="shared" si="0"/>
        <v>4760</v>
      </c>
      <c r="M16" s="1">
        <f t="shared" si="1"/>
        <v>51.739130434782609</v>
      </c>
    </row>
    <row r="17" spans="1:18">
      <c r="A17" s="1">
        <v>41</v>
      </c>
      <c r="B17" s="1" t="s">
        <v>9</v>
      </c>
      <c r="C17" s="1" t="s">
        <v>54</v>
      </c>
      <c r="D17" s="1">
        <v>90</v>
      </c>
      <c r="E17" s="1">
        <v>51</v>
      </c>
      <c r="F17" s="1">
        <v>90</v>
      </c>
      <c r="G17" s="1" t="s">
        <v>327</v>
      </c>
      <c r="H17" s="1">
        <v>84</v>
      </c>
      <c r="I17" s="27">
        <v>0.85</v>
      </c>
      <c r="J17" s="1" t="s">
        <v>1790</v>
      </c>
      <c r="L17" s="1">
        <f t="shared" si="0"/>
        <v>7560</v>
      </c>
      <c r="M17" s="1">
        <f t="shared" si="1"/>
        <v>84</v>
      </c>
    </row>
    <row r="18" spans="1:18">
      <c r="A18" s="1">
        <v>42</v>
      </c>
      <c r="B18" s="1" t="s">
        <v>58</v>
      </c>
      <c r="C18" s="1" t="s">
        <v>59</v>
      </c>
      <c r="D18" s="1">
        <v>90</v>
      </c>
      <c r="E18" s="1">
        <v>51</v>
      </c>
      <c r="F18" s="1">
        <v>80</v>
      </c>
      <c r="G18" s="1" t="s">
        <v>327</v>
      </c>
      <c r="H18" s="1">
        <v>73</v>
      </c>
      <c r="I18" s="27">
        <v>1</v>
      </c>
      <c r="J18" s="28" t="s">
        <v>1781</v>
      </c>
      <c r="L18" s="1">
        <f t="shared" si="0"/>
        <v>5840</v>
      </c>
      <c r="M18" s="1">
        <f t="shared" si="1"/>
        <v>64.888888888888886</v>
      </c>
      <c r="N18" s="1" t="s">
        <v>726</v>
      </c>
      <c r="O18" s="1" t="s">
        <v>59</v>
      </c>
      <c r="P18" s="1"/>
      <c r="Q18" s="1" t="s">
        <v>726</v>
      </c>
      <c r="R18" s="1" t="s">
        <v>59</v>
      </c>
    </row>
    <row r="19" spans="1:18">
      <c r="A19" s="1">
        <v>43</v>
      </c>
      <c r="B19" s="1" t="s">
        <v>61</v>
      </c>
      <c r="C19" s="1" t="s">
        <v>62</v>
      </c>
      <c r="D19" s="1">
        <v>92</v>
      </c>
      <c r="E19" s="1">
        <v>53</v>
      </c>
      <c r="F19" s="1">
        <v>60</v>
      </c>
      <c r="G19" s="1" t="s">
        <v>404</v>
      </c>
      <c r="H19" s="1">
        <v>53</v>
      </c>
      <c r="I19" s="27">
        <v>1</v>
      </c>
      <c r="J19" s="1" t="s">
        <v>1795</v>
      </c>
      <c r="L19" s="1">
        <f t="shared" si="0"/>
        <v>3180</v>
      </c>
      <c r="M19" s="1">
        <f t="shared" si="1"/>
        <v>34.565217391304351</v>
      </c>
      <c r="N19" s="1" t="e">
        <f t="shared" ref="N19:O19" ca="1" si="10">_xludf.XLOOKUP(_xludf.MAXIFS($L$2:$L$47,$C$2:$C$47,N18),$L$2:$L$47,$B$2:$B$47,"No Pokemon")</f>
        <v>#NAME?</v>
      </c>
      <c r="O19" s="1" t="e">
        <f t="shared" ca="1" si="10"/>
        <v>#NAME?</v>
      </c>
      <c r="Q19" s="1" t="e">
        <f t="shared" ref="Q19:R19" ca="1" si="11">_xludf.XLOOKUP(_xludf.MAXIFS($M$2:$M$47,$C$2:$C$47,Q18),$M$2:$M$47,$B$2:$B$47,"No Pokemon")</f>
        <v>#NAME?</v>
      </c>
      <c r="R19" s="1" t="e">
        <f t="shared" ca="1" si="11"/>
        <v>#NAME?</v>
      </c>
    </row>
    <row r="20" spans="1:18">
      <c r="A20" s="1">
        <v>44</v>
      </c>
      <c r="B20" s="1" t="s">
        <v>17</v>
      </c>
      <c r="C20" s="1" t="s">
        <v>64</v>
      </c>
      <c r="D20" s="1">
        <v>94</v>
      </c>
      <c r="E20" s="1">
        <v>54</v>
      </c>
      <c r="F20" s="1">
        <v>70</v>
      </c>
      <c r="G20" s="1" t="s">
        <v>327</v>
      </c>
      <c r="H20" s="1">
        <v>103</v>
      </c>
      <c r="I20" s="27">
        <v>1</v>
      </c>
      <c r="J20" s="1" t="s">
        <v>64</v>
      </c>
      <c r="L20" s="1">
        <f t="shared" si="0"/>
        <v>7210</v>
      </c>
      <c r="M20" s="1">
        <f t="shared" si="1"/>
        <v>76.702127659574472</v>
      </c>
    </row>
    <row r="21" spans="1:18">
      <c r="A21" s="1">
        <v>45</v>
      </c>
      <c r="B21" s="1" t="s">
        <v>274</v>
      </c>
      <c r="C21" s="1" t="s">
        <v>76</v>
      </c>
      <c r="D21" s="1">
        <v>38</v>
      </c>
      <c r="E21" s="1">
        <v>16</v>
      </c>
      <c r="F21" s="1">
        <v>20</v>
      </c>
      <c r="G21" s="1" t="s">
        <v>404</v>
      </c>
      <c r="H21" s="1">
        <v>26</v>
      </c>
      <c r="I21" s="27">
        <v>1</v>
      </c>
      <c r="J21" s="1" t="s">
        <v>1779</v>
      </c>
      <c r="L21" s="1">
        <f t="shared" si="0"/>
        <v>520</v>
      </c>
      <c r="M21" s="1">
        <f t="shared" si="1"/>
        <v>13.684210526315789</v>
      </c>
    </row>
    <row r="22" spans="1:18">
      <c r="A22" s="1">
        <v>46</v>
      </c>
      <c r="B22" s="1" t="s">
        <v>276</v>
      </c>
      <c r="C22" s="1" t="s">
        <v>76</v>
      </c>
      <c r="D22" s="1">
        <v>84</v>
      </c>
      <c r="E22" s="1">
        <v>93</v>
      </c>
      <c r="F22" s="1">
        <v>65</v>
      </c>
      <c r="G22" s="1" t="s">
        <v>404</v>
      </c>
      <c r="H22" s="1">
        <v>69</v>
      </c>
      <c r="I22" s="27">
        <v>1</v>
      </c>
      <c r="J22" s="1" t="s">
        <v>1779</v>
      </c>
      <c r="L22" s="1">
        <f t="shared" si="0"/>
        <v>4485</v>
      </c>
      <c r="M22" s="1">
        <f t="shared" si="1"/>
        <v>53.392857142857146</v>
      </c>
      <c r="N22" s="1" t="s">
        <v>54</v>
      </c>
      <c r="O22" s="1" t="s">
        <v>76</v>
      </c>
      <c r="P22" s="1"/>
      <c r="Q22" s="1" t="s">
        <v>54</v>
      </c>
      <c r="R22" s="1" t="s">
        <v>76</v>
      </c>
    </row>
    <row r="23" spans="1:18">
      <c r="A23" s="1">
        <v>47</v>
      </c>
      <c r="B23" s="1" t="s">
        <v>278</v>
      </c>
      <c r="C23" s="1" t="s">
        <v>431</v>
      </c>
      <c r="D23" s="1">
        <v>36</v>
      </c>
      <c r="E23" s="1">
        <v>31</v>
      </c>
      <c r="F23" s="1">
        <v>40</v>
      </c>
      <c r="G23" s="1" t="s">
        <v>327</v>
      </c>
      <c r="H23" s="1">
        <v>21</v>
      </c>
      <c r="I23" s="27">
        <v>1</v>
      </c>
      <c r="J23" s="1" t="s">
        <v>1789</v>
      </c>
      <c r="L23" s="1">
        <f t="shared" si="0"/>
        <v>840</v>
      </c>
      <c r="M23" s="1">
        <f t="shared" si="1"/>
        <v>23.333333333333332</v>
      </c>
      <c r="N23" s="1" t="e">
        <f t="shared" ref="N23:O23" ca="1" si="12">_xludf.XLOOKUP(_xludf.MAXIFS($L$2:$L$47,$C$2:$C$47,N22),$L$2:$L$47,$B$2:$B$47,"No Pokemon")</f>
        <v>#NAME?</v>
      </c>
      <c r="O23" s="1" t="e">
        <f t="shared" ca="1" si="12"/>
        <v>#NAME?</v>
      </c>
      <c r="Q23" s="1" t="e">
        <f t="shared" ref="Q23:R23" ca="1" si="13">_xludf.XLOOKUP(_xludf.MAXIFS($M$2:$M$47,$C$2:$C$47,Q22),$M$2:$M$47,$B$2:$B$47,"No Pokemon")</f>
        <v>#NAME?</v>
      </c>
      <c r="R23" s="1" t="e">
        <f t="shared" ca="1" si="13"/>
        <v>#NAME?</v>
      </c>
    </row>
    <row r="24" spans="1:18">
      <c r="A24" s="1">
        <v>48</v>
      </c>
      <c r="B24" s="1" t="s">
        <v>280</v>
      </c>
      <c r="C24" s="1" t="s">
        <v>431</v>
      </c>
      <c r="D24" s="1">
        <v>54</v>
      </c>
      <c r="E24" s="1">
        <v>47</v>
      </c>
      <c r="F24" s="1">
        <v>60</v>
      </c>
      <c r="G24" s="1" t="s">
        <v>404</v>
      </c>
      <c r="H24" s="1">
        <v>41</v>
      </c>
      <c r="I24" s="27">
        <v>1</v>
      </c>
      <c r="J24" s="1" t="s">
        <v>1789</v>
      </c>
      <c r="L24" s="1">
        <f t="shared" si="0"/>
        <v>2460</v>
      </c>
      <c r="M24" s="1">
        <f t="shared" si="1"/>
        <v>45.555555555555557</v>
      </c>
    </row>
    <row r="25" spans="1:18">
      <c r="A25" s="1">
        <v>49</v>
      </c>
      <c r="B25" s="1" t="s">
        <v>66</v>
      </c>
      <c r="C25" s="1" t="s">
        <v>431</v>
      </c>
      <c r="D25" s="1">
        <v>82</v>
      </c>
      <c r="E25" s="1">
        <v>77</v>
      </c>
      <c r="F25" s="1">
        <v>75</v>
      </c>
      <c r="G25" s="1" t="s">
        <v>327</v>
      </c>
      <c r="H25" s="1">
        <v>55</v>
      </c>
      <c r="I25" s="27">
        <v>0.95</v>
      </c>
      <c r="J25" s="1" t="s">
        <v>1789</v>
      </c>
      <c r="L25" s="1">
        <f t="shared" si="0"/>
        <v>4125</v>
      </c>
      <c r="M25" s="1">
        <f t="shared" si="1"/>
        <v>50.304878048780488</v>
      </c>
    </row>
    <row r="26" spans="1:18">
      <c r="A26" s="1">
        <v>50</v>
      </c>
      <c r="B26" s="1" t="s">
        <v>283</v>
      </c>
      <c r="C26" s="1" t="s">
        <v>64</v>
      </c>
      <c r="D26" s="1">
        <v>40</v>
      </c>
      <c r="E26" s="1">
        <v>24</v>
      </c>
      <c r="F26" s="1">
        <v>77.5</v>
      </c>
      <c r="G26" s="1" t="s">
        <v>404</v>
      </c>
      <c r="H26" s="1">
        <v>41</v>
      </c>
      <c r="I26" s="27">
        <v>1</v>
      </c>
      <c r="J26" s="28" t="s">
        <v>1812</v>
      </c>
      <c r="K26" s="1" t="s">
        <v>1805</v>
      </c>
      <c r="L26" s="1">
        <f t="shared" si="0"/>
        <v>3177.5</v>
      </c>
      <c r="M26" s="1">
        <f t="shared" si="1"/>
        <v>79.4375</v>
      </c>
      <c r="N26" s="1" t="s">
        <v>82</v>
      </c>
      <c r="O26" s="1" t="s">
        <v>64</v>
      </c>
      <c r="P26" s="1"/>
      <c r="Q26" s="1" t="s">
        <v>82</v>
      </c>
      <c r="R26" s="1" t="s">
        <v>64</v>
      </c>
    </row>
    <row r="27" spans="1:18">
      <c r="A27" s="1">
        <v>51</v>
      </c>
      <c r="B27" s="1" t="s">
        <v>6</v>
      </c>
      <c r="C27" s="1" t="s">
        <v>64</v>
      </c>
      <c r="D27" s="1">
        <v>78</v>
      </c>
      <c r="E27" s="1">
        <v>78</v>
      </c>
      <c r="F27" s="1">
        <v>85</v>
      </c>
      <c r="G27" s="1" t="s">
        <v>404</v>
      </c>
      <c r="H27" s="1">
        <v>77</v>
      </c>
      <c r="I27" s="27">
        <v>0.9</v>
      </c>
      <c r="J27" s="28" t="s">
        <v>1812</v>
      </c>
      <c r="K27" s="1" t="s">
        <v>1805</v>
      </c>
      <c r="L27" s="1">
        <f t="shared" si="0"/>
        <v>6545</v>
      </c>
      <c r="M27" s="1">
        <f t="shared" si="1"/>
        <v>83.910256410256409</v>
      </c>
      <c r="N27" s="1" t="e">
        <f t="shared" ref="N27:O27" ca="1" si="14">_xludf.XLOOKUP(_xludf.MAXIFS($L$2:$L$47,$C$2:$C$47,N26),$L$2:$L$47,$B$2:$B$47,"No Pokemon")</f>
        <v>#NAME?</v>
      </c>
      <c r="O27" s="1" t="e">
        <f t="shared" ca="1" si="14"/>
        <v>#NAME?</v>
      </c>
      <c r="Q27" s="1" t="e">
        <f t="shared" ref="Q27:R27" ca="1" si="15">_xludf.XLOOKUP(_xludf.MAXIFS($M$2:$M$47,$C$2:$C$47,Q26),$M$2:$M$47,$B$2:$B$47,"No Pokemon")</f>
        <v>#NAME?</v>
      </c>
      <c r="R27" s="1" t="e">
        <f t="shared" ca="1" si="15"/>
        <v>#NAME?</v>
      </c>
    </row>
    <row r="28" spans="1:18">
      <c r="A28" s="1">
        <v>52</v>
      </c>
      <c r="B28" s="1" t="s">
        <v>287</v>
      </c>
      <c r="C28" s="1" t="s">
        <v>32</v>
      </c>
      <c r="D28" s="1">
        <v>42</v>
      </c>
      <c r="E28" s="1">
        <v>16</v>
      </c>
      <c r="F28" s="1">
        <v>50</v>
      </c>
      <c r="G28" s="1" t="s">
        <v>327</v>
      </c>
      <c r="H28" s="1">
        <v>17</v>
      </c>
      <c r="I28" s="27">
        <v>1</v>
      </c>
      <c r="J28" s="28" t="s">
        <v>1813</v>
      </c>
      <c r="K28" s="1" t="s">
        <v>1814</v>
      </c>
      <c r="L28" s="1">
        <f t="shared" si="0"/>
        <v>850</v>
      </c>
      <c r="M28" s="1">
        <f t="shared" si="1"/>
        <v>20.238095238095237</v>
      </c>
    </row>
    <row r="29" spans="1:18">
      <c r="A29" s="1">
        <v>53</v>
      </c>
      <c r="B29" s="1" t="s">
        <v>289</v>
      </c>
      <c r="C29" s="1" t="s">
        <v>726</v>
      </c>
      <c r="D29" s="1">
        <v>74</v>
      </c>
      <c r="E29" s="1">
        <v>24</v>
      </c>
      <c r="F29" s="1">
        <v>80</v>
      </c>
      <c r="G29" s="1" t="s">
        <v>404</v>
      </c>
      <c r="H29" s="1">
        <v>60</v>
      </c>
      <c r="I29" s="27">
        <v>1</v>
      </c>
      <c r="J29" s="28" t="s">
        <v>1813</v>
      </c>
      <c r="K29" s="1" t="s">
        <v>1814</v>
      </c>
      <c r="L29" s="1">
        <f t="shared" si="0"/>
        <v>4800</v>
      </c>
      <c r="M29" s="1">
        <f t="shared" si="1"/>
        <v>64.86486486486487</v>
      </c>
    </row>
    <row r="30" spans="1:18">
      <c r="A30" s="1">
        <v>54</v>
      </c>
      <c r="B30" s="1" t="s">
        <v>291</v>
      </c>
      <c r="C30" s="1" t="s">
        <v>154</v>
      </c>
      <c r="D30" s="1">
        <v>40</v>
      </c>
      <c r="E30" s="1">
        <v>6</v>
      </c>
      <c r="F30" s="1">
        <v>35</v>
      </c>
      <c r="G30" s="1" t="s">
        <v>404</v>
      </c>
      <c r="H30" s="1">
        <v>55</v>
      </c>
      <c r="I30" s="27">
        <v>0.85</v>
      </c>
      <c r="J30" s="1" t="s">
        <v>1780</v>
      </c>
      <c r="L30" s="1">
        <f t="shared" si="0"/>
        <v>1925</v>
      </c>
      <c r="M30" s="1">
        <f t="shared" si="1"/>
        <v>48.125</v>
      </c>
      <c r="N30" s="1" t="s">
        <v>32</v>
      </c>
      <c r="O30" s="1" t="s">
        <v>336</v>
      </c>
      <c r="P30" s="1"/>
      <c r="Q30" s="1" t="s">
        <v>32</v>
      </c>
      <c r="R30" s="1" t="s">
        <v>336</v>
      </c>
    </row>
    <row r="31" spans="1:18">
      <c r="A31" s="1">
        <v>55</v>
      </c>
      <c r="B31" s="1" t="s">
        <v>293</v>
      </c>
      <c r="C31" s="1" t="s">
        <v>336</v>
      </c>
      <c r="D31" s="1">
        <v>58</v>
      </c>
      <c r="E31" s="1">
        <v>51</v>
      </c>
      <c r="F31" s="1">
        <v>60</v>
      </c>
      <c r="G31" s="1" t="s">
        <v>404</v>
      </c>
      <c r="H31" s="1">
        <v>51</v>
      </c>
      <c r="I31" s="27">
        <v>0.9</v>
      </c>
      <c r="J31" s="1" t="s">
        <v>1815</v>
      </c>
      <c r="L31" s="1">
        <f t="shared" si="0"/>
        <v>3060</v>
      </c>
      <c r="M31" s="1">
        <f t="shared" si="1"/>
        <v>52.758620689655174</v>
      </c>
      <c r="N31" s="1" t="e">
        <f t="shared" ref="N31:O31" ca="1" si="16">_xludf.XLOOKUP(_xludf.MAXIFS($L$2:$L$47,$C$2:$C$47,N30),$L$2:$L$47,$B$2:$B$47,"No Pokemon")</f>
        <v>#NAME?</v>
      </c>
      <c r="O31" s="1" t="e">
        <f t="shared" ca="1" si="16"/>
        <v>#NAME?</v>
      </c>
      <c r="Q31" s="1" t="e">
        <f t="shared" ref="Q31:R31" ca="1" si="17">_xludf.XLOOKUP(_xludf.MAXIFS($M$2:$M$47,$C$2:$C$47,Q30),$M$2:$M$47,$B$2:$B$47,"No Pokemon")</f>
        <v>#NAME?</v>
      </c>
      <c r="R31" s="1" t="e">
        <f t="shared" ca="1" si="17"/>
        <v>#NAME?</v>
      </c>
    </row>
    <row r="32" spans="1:18">
      <c r="A32" s="1">
        <v>56</v>
      </c>
      <c r="B32" s="1" t="s">
        <v>78</v>
      </c>
      <c r="C32" s="1" t="s">
        <v>336</v>
      </c>
      <c r="D32" s="1">
        <v>96</v>
      </c>
      <c r="E32" s="1">
        <v>83</v>
      </c>
      <c r="F32" s="1">
        <v>80</v>
      </c>
      <c r="G32" s="1" t="s">
        <v>404</v>
      </c>
      <c r="H32" s="1">
        <v>83</v>
      </c>
      <c r="I32" s="27">
        <v>1</v>
      </c>
      <c r="J32" s="1" t="s">
        <v>1815</v>
      </c>
      <c r="L32" s="1">
        <f t="shared" si="0"/>
        <v>6640</v>
      </c>
      <c r="M32" s="1">
        <f t="shared" si="1"/>
        <v>69.166666666666671</v>
      </c>
    </row>
    <row r="33" spans="1:18">
      <c r="A33" s="1">
        <v>57</v>
      </c>
      <c r="B33" s="1" t="s">
        <v>296</v>
      </c>
      <c r="C33" s="1" t="s">
        <v>431</v>
      </c>
      <c r="D33" s="1">
        <v>38</v>
      </c>
      <c r="E33" s="1">
        <v>50</v>
      </c>
      <c r="F33" s="1">
        <v>40</v>
      </c>
      <c r="G33" s="1" t="s">
        <v>327</v>
      </c>
      <c r="H33" s="1">
        <v>34</v>
      </c>
      <c r="I33" s="27">
        <v>1</v>
      </c>
      <c r="J33" s="28" t="s">
        <v>1788</v>
      </c>
      <c r="L33" s="1">
        <f t="shared" si="0"/>
        <v>1360</v>
      </c>
      <c r="M33" s="1">
        <f t="shared" si="1"/>
        <v>35.789473684210527</v>
      </c>
    </row>
    <row r="34" spans="1:18">
      <c r="A34" s="1">
        <v>58</v>
      </c>
      <c r="B34" s="1" t="s">
        <v>298</v>
      </c>
      <c r="C34" s="1" t="s">
        <v>431</v>
      </c>
      <c r="D34" s="1">
        <v>70</v>
      </c>
      <c r="E34" s="1">
        <v>46</v>
      </c>
      <c r="F34" s="1">
        <v>75</v>
      </c>
      <c r="G34" s="1" t="s">
        <v>327</v>
      </c>
      <c r="H34" s="1">
        <v>65</v>
      </c>
      <c r="I34" s="27">
        <v>0.95</v>
      </c>
      <c r="J34" s="28" t="s">
        <v>1788</v>
      </c>
      <c r="L34" s="1">
        <f t="shared" si="0"/>
        <v>4875</v>
      </c>
      <c r="M34" s="1">
        <f t="shared" si="1"/>
        <v>69.642857142857139</v>
      </c>
      <c r="N34" s="1" t="s">
        <v>62</v>
      </c>
      <c r="O34" s="1" t="s">
        <v>138</v>
      </c>
      <c r="P34" s="1"/>
      <c r="Q34" s="1" t="s">
        <v>62</v>
      </c>
      <c r="R34" s="1" t="s">
        <v>138</v>
      </c>
    </row>
    <row r="35" spans="1:18">
      <c r="A35" s="1">
        <v>59</v>
      </c>
      <c r="B35" s="1" t="s">
        <v>300</v>
      </c>
      <c r="C35" s="1" t="s">
        <v>64</v>
      </c>
      <c r="D35" s="1">
        <v>68</v>
      </c>
      <c r="E35" s="1">
        <v>62</v>
      </c>
      <c r="F35" s="1">
        <v>60</v>
      </c>
      <c r="G35" s="1" t="s">
        <v>404</v>
      </c>
      <c r="H35" s="1">
        <v>35</v>
      </c>
      <c r="I35" s="27">
        <v>1</v>
      </c>
      <c r="J35" s="1" t="s">
        <v>389</v>
      </c>
      <c r="K35" s="1" t="s">
        <v>1794</v>
      </c>
      <c r="L35" s="1">
        <f t="shared" si="0"/>
        <v>2100</v>
      </c>
      <c r="M35" s="1">
        <f t="shared" si="1"/>
        <v>30.882352941176471</v>
      </c>
      <c r="N35" s="1" t="e">
        <f t="array" aca="1" ref="N35" ca="1">_xludf.XLOOKUP(_xludf.MAXIFS($L$2:$L$47,$C$2:$C$47,N34),$L$2:$L$47,$B$2:$B$47,"No Pokemon")</f>
        <v>#NAME?</v>
      </c>
      <c r="O35" s="1" t="s">
        <v>321</v>
      </c>
      <c r="Q35" s="1" t="e">
        <f t="shared" ref="Q35:R35" ca="1" si="18">_xludf.XLOOKUP(_xludf.MAXIFS($M$2:$M$47,$C$2:$C$47,Q34),$M$2:$M$47,$B$2:$B$47,"No Pokemon")</f>
        <v>#NAME?</v>
      </c>
      <c r="R35" s="1" t="e">
        <f t="shared" ca="1" si="18"/>
        <v>#NAME?</v>
      </c>
    </row>
    <row r="36" spans="1:18">
      <c r="A36" s="1">
        <v>60</v>
      </c>
      <c r="B36" s="1" t="s">
        <v>303</v>
      </c>
      <c r="C36" s="1" t="s">
        <v>32</v>
      </c>
      <c r="D36" s="1">
        <v>42</v>
      </c>
      <c r="E36" s="1">
        <v>50</v>
      </c>
      <c r="F36" s="1">
        <v>60</v>
      </c>
      <c r="G36" s="1" t="s">
        <v>327</v>
      </c>
      <c r="H36" s="1">
        <v>57</v>
      </c>
      <c r="I36" s="27">
        <v>1</v>
      </c>
      <c r="J36" s="1" t="s">
        <v>333</v>
      </c>
      <c r="L36" s="1">
        <f t="shared" si="0"/>
        <v>3420</v>
      </c>
      <c r="M36" s="1">
        <f t="shared" si="1"/>
        <v>81.428571428571431</v>
      </c>
    </row>
    <row r="37" spans="1:18">
      <c r="A37" s="1">
        <v>61</v>
      </c>
      <c r="B37" s="1" t="s">
        <v>305</v>
      </c>
      <c r="C37" s="1" t="s">
        <v>32</v>
      </c>
      <c r="D37" s="1">
        <v>62</v>
      </c>
      <c r="E37" s="1">
        <v>70</v>
      </c>
      <c r="F37" s="1">
        <v>65</v>
      </c>
      <c r="G37" s="1" t="s">
        <v>327</v>
      </c>
      <c r="H37" s="1">
        <v>79</v>
      </c>
      <c r="I37" s="27">
        <v>1</v>
      </c>
      <c r="J37" s="1" t="s">
        <v>333</v>
      </c>
      <c r="L37" s="1">
        <f t="shared" si="0"/>
        <v>5135</v>
      </c>
      <c r="M37" s="1">
        <f t="shared" si="1"/>
        <v>82.822580645161295</v>
      </c>
    </row>
    <row r="38" spans="1:18">
      <c r="A38" s="1">
        <v>62</v>
      </c>
      <c r="B38" s="1" t="s">
        <v>14</v>
      </c>
      <c r="C38" s="1" t="s">
        <v>32</v>
      </c>
      <c r="D38" s="1">
        <v>88</v>
      </c>
      <c r="E38" s="1">
        <v>93</v>
      </c>
      <c r="F38" s="1">
        <v>90</v>
      </c>
      <c r="G38" s="1" t="s">
        <v>327</v>
      </c>
      <c r="H38" s="1">
        <v>109</v>
      </c>
      <c r="I38" s="27">
        <v>1</v>
      </c>
      <c r="J38" s="1" t="s">
        <v>333</v>
      </c>
      <c r="L38" s="1">
        <f t="shared" si="0"/>
        <v>9810</v>
      </c>
      <c r="M38" s="1">
        <f t="shared" si="1"/>
        <v>111.47727272727273</v>
      </c>
    </row>
    <row r="39" spans="1:18">
      <c r="A39" s="1">
        <v>63</v>
      </c>
      <c r="B39" s="1" t="s">
        <v>308</v>
      </c>
      <c r="C39" s="1" t="s">
        <v>363</v>
      </c>
      <c r="D39" s="1">
        <v>56</v>
      </c>
      <c r="E39" s="1">
        <v>48</v>
      </c>
      <c r="F39" s="1">
        <v>30</v>
      </c>
      <c r="G39" s="1" t="s">
        <v>404</v>
      </c>
      <c r="H39" s="1">
        <v>36</v>
      </c>
      <c r="I39" s="27">
        <v>1</v>
      </c>
      <c r="J39" s="28" t="s">
        <v>1816</v>
      </c>
      <c r="L39" s="1">
        <f t="shared" si="0"/>
        <v>1080</v>
      </c>
      <c r="M39" s="1">
        <f t="shared" si="1"/>
        <v>19.285714285714285</v>
      </c>
    </row>
    <row r="40" spans="1:18">
      <c r="A40" s="1">
        <v>64</v>
      </c>
      <c r="B40" s="1" t="s">
        <v>311</v>
      </c>
      <c r="C40" s="1" t="s">
        <v>363</v>
      </c>
      <c r="D40" s="1">
        <v>88</v>
      </c>
      <c r="E40" s="1">
        <v>64</v>
      </c>
      <c r="F40" s="1">
        <v>65</v>
      </c>
      <c r="G40" s="1" t="s">
        <v>327</v>
      </c>
      <c r="H40" s="1">
        <v>71</v>
      </c>
      <c r="I40" s="27">
        <v>1</v>
      </c>
      <c r="J40" s="28" t="s">
        <v>1816</v>
      </c>
      <c r="L40" s="1">
        <f t="shared" si="0"/>
        <v>4615</v>
      </c>
      <c r="M40" s="1">
        <f t="shared" si="1"/>
        <v>52.44318181818182</v>
      </c>
    </row>
    <row r="41" spans="1:18">
      <c r="A41" s="1">
        <v>65</v>
      </c>
      <c r="B41" s="1" t="s">
        <v>313</v>
      </c>
      <c r="C41" s="1" t="s">
        <v>341</v>
      </c>
      <c r="D41" s="1">
        <v>54</v>
      </c>
      <c r="E41" s="1">
        <v>34</v>
      </c>
      <c r="F41" s="1">
        <v>65</v>
      </c>
      <c r="G41" s="1" t="s">
        <v>327</v>
      </c>
      <c r="H41" s="1">
        <v>33</v>
      </c>
      <c r="I41" s="27">
        <v>1</v>
      </c>
      <c r="J41" s="28" t="s">
        <v>1817</v>
      </c>
      <c r="K41" s="1" t="s">
        <v>1818</v>
      </c>
      <c r="L41" s="1">
        <f t="shared" si="0"/>
        <v>2145</v>
      </c>
      <c r="M41" s="1">
        <f t="shared" si="1"/>
        <v>39.722222222222221</v>
      </c>
    </row>
    <row r="42" spans="1:18">
      <c r="A42" s="1">
        <v>66</v>
      </c>
      <c r="B42" s="1" t="s">
        <v>316</v>
      </c>
      <c r="C42" s="1" t="s">
        <v>76</v>
      </c>
      <c r="D42" s="1">
        <v>68</v>
      </c>
      <c r="E42" s="1">
        <v>66</v>
      </c>
      <c r="F42" s="1">
        <v>65</v>
      </c>
      <c r="G42" s="1" t="s">
        <v>404</v>
      </c>
      <c r="H42" s="1">
        <v>67</v>
      </c>
      <c r="I42" s="27">
        <v>1</v>
      </c>
      <c r="J42" s="28" t="s">
        <v>1819</v>
      </c>
      <c r="K42" s="1" t="s">
        <v>1820</v>
      </c>
      <c r="L42" s="1">
        <f t="shared" si="0"/>
        <v>4355</v>
      </c>
      <c r="M42" s="1">
        <f t="shared" si="1"/>
        <v>64.044117647058826</v>
      </c>
    </row>
    <row r="43" spans="1:18">
      <c r="A43" s="1">
        <v>67</v>
      </c>
      <c r="B43" s="1" t="s">
        <v>319</v>
      </c>
      <c r="C43" s="1" t="s">
        <v>138</v>
      </c>
      <c r="D43" s="1">
        <v>32</v>
      </c>
      <c r="E43" s="1">
        <v>25</v>
      </c>
      <c r="F43" s="1">
        <v>40</v>
      </c>
      <c r="G43" s="1" t="s">
        <v>327</v>
      </c>
      <c r="H43" s="1">
        <v>29</v>
      </c>
      <c r="I43" s="1" t="s">
        <v>1821</v>
      </c>
      <c r="J43" s="1" t="s">
        <v>1822</v>
      </c>
      <c r="L43" s="1">
        <f t="shared" si="0"/>
        <v>1160</v>
      </c>
      <c r="M43" s="1">
        <f t="shared" si="1"/>
        <v>36.25</v>
      </c>
    </row>
    <row r="44" spans="1:18">
      <c r="A44" s="1">
        <v>68</v>
      </c>
      <c r="B44" s="1" t="s">
        <v>321</v>
      </c>
      <c r="C44" s="1" t="s">
        <v>138</v>
      </c>
      <c r="D44" s="1">
        <v>50</v>
      </c>
      <c r="E44" s="1">
        <v>38</v>
      </c>
      <c r="F44" s="1">
        <v>50</v>
      </c>
      <c r="G44" s="1" t="s">
        <v>327</v>
      </c>
      <c r="H44" s="1">
        <v>47</v>
      </c>
      <c r="I44" s="27">
        <v>1</v>
      </c>
      <c r="J44" s="1" t="s">
        <v>1822</v>
      </c>
      <c r="K44" s="1" t="s">
        <v>1808</v>
      </c>
      <c r="L44" s="1">
        <f t="shared" si="0"/>
        <v>2350</v>
      </c>
      <c r="M44" s="1">
        <f t="shared" si="1"/>
        <v>47</v>
      </c>
    </row>
    <row r="45" spans="1:18">
      <c r="A45" s="1">
        <v>69</v>
      </c>
      <c r="B45" s="1" t="s">
        <v>10</v>
      </c>
      <c r="C45" s="1" t="s">
        <v>32</v>
      </c>
      <c r="D45" s="1">
        <v>96</v>
      </c>
      <c r="E45" s="1">
        <v>67</v>
      </c>
      <c r="F45" s="1">
        <v>80</v>
      </c>
      <c r="G45" s="1" t="s">
        <v>327</v>
      </c>
      <c r="H45" s="1">
        <v>102</v>
      </c>
      <c r="I45" s="27">
        <v>1</v>
      </c>
      <c r="J45" s="1" t="s">
        <v>1822</v>
      </c>
      <c r="L45" s="1">
        <f t="shared" si="0"/>
        <v>8160</v>
      </c>
      <c r="M45" s="1">
        <f t="shared" si="1"/>
        <v>85</v>
      </c>
    </row>
    <row r="46" spans="1:18">
      <c r="A46" s="1">
        <v>70</v>
      </c>
      <c r="B46" s="1" t="s">
        <v>324</v>
      </c>
      <c r="C46" s="1" t="s">
        <v>154</v>
      </c>
      <c r="D46" s="1">
        <v>64</v>
      </c>
      <c r="E46" s="1">
        <v>51</v>
      </c>
      <c r="F46" s="1">
        <v>60</v>
      </c>
      <c r="G46" s="1" t="s">
        <v>404</v>
      </c>
      <c r="H46" s="1">
        <v>34</v>
      </c>
      <c r="I46" s="27">
        <v>1</v>
      </c>
      <c r="J46" s="1" t="s">
        <v>1823</v>
      </c>
      <c r="L46" s="1">
        <f t="shared" si="0"/>
        <v>2040</v>
      </c>
      <c r="M46" s="1">
        <f t="shared" si="1"/>
        <v>31.875</v>
      </c>
    </row>
    <row r="48" spans="1:18">
      <c r="J48" s="28" t="s">
        <v>1824</v>
      </c>
    </row>
  </sheetData>
  <autoFilter ref="A1:AC46" xr:uid="{00000000-0009-0000-0000-000009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Q1019"/>
  <sheetViews>
    <sheetView workbookViewId="0">
      <pane xSplit="11" ySplit="1" topLeftCell="L2" activePane="bottomRight" state="frozen"/>
      <selection pane="topRight" activeCell="L1" sqref="L1"/>
      <selection pane="bottomLeft" activeCell="A2" sqref="A2"/>
      <selection pane="bottomRight" activeCell="L2" sqref="L2"/>
    </sheetView>
  </sheetViews>
  <sheetFormatPr defaultColWidth="12.5703125" defaultRowHeight="15.75" customHeight="1"/>
  <cols>
    <col min="1" max="1" width="10.140625" customWidth="1"/>
    <col min="2" max="2" width="15.42578125" customWidth="1"/>
    <col min="3" max="4" width="13.5703125" customWidth="1"/>
    <col min="5" max="6" width="7.5703125" customWidth="1"/>
    <col min="7" max="7" width="9" customWidth="1"/>
    <col min="8" max="8" width="14.42578125" customWidth="1"/>
    <col min="9" max="9" width="9.42578125" customWidth="1"/>
    <col min="10" max="10" width="11.5703125" customWidth="1"/>
    <col min="11" max="11" width="29.42578125" customWidth="1"/>
    <col min="12" max="12" width="12.140625" customWidth="1"/>
    <col min="13" max="13" width="13.42578125" customWidth="1"/>
    <col min="14" max="14" width="26.28515625" customWidth="1"/>
    <col min="15" max="15" width="55.28515625" customWidth="1"/>
    <col min="16" max="16" width="46.28515625" customWidth="1"/>
    <col min="17" max="17" width="25.42578125" customWidth="1"/>
  </cols>
  <sheetData>
    <row r="1" spans="1:17">
      <c r="A1" s="24" t="s">
        <v>25</v>
      </c>
      <c r="B1" s="5" t="s">
        <v>1750</v>
      </c>
      <c r="C1" s="5" t="s">
        <v>1825</v>
      </c>
      <c r="D1" s="5" t="s">
        <v>1766</v>
      </c>
      <c r="E1" s="16" t="s">
        <v>1</v>
      </c>
      <c r="F1" s="16" t="s">
        <v>1767</v>
      </c>
      <c r="G1" s="16" t="s">
        <v>1768</v>
      </c>
      <c r="H1" s="5" t="s">
        <v>1769</v>
      </c>
      <c r="I1" s="16" t="s">
        <v>1770</v>
      </c>
      <c r="J1" s="5" t="s">
        <v>400</v>
      </c>
      <c r="K1" s="5" t="s">
        <v>1771</v>
      </c>
      <c r="L1" s="16" t="s">
        <v>1772</v>
      </c>
      <c r="M1" s="17" t="s">
        <v>1765</v>
      </c>
      <c r="N1" s="5" t="s">
        <v>1773</v>
      </c>
      <c r="O1" s="3" t="s">
        <v>1774</v>
      </c>
      <c r="P1" s="25" t="s">
        <v>1775</v>
      </c>
      <c r="Q1" s="5" t="s">
        <v>1776</v>
      </c>
    </row>
    <row r="2" spans="1:17">
      <c r="A2" s="24">
        <v>1</v>
      </c>
      <c r="B2" s="5" t="s">
        <v>31</v>
      </c>
      <c r="C2" s="5" t="s">
        <v>1243</v>
      </c>
      <c r="D2" s="5" t="s">
        <v>32</v>
      </c>
      <c r="E2" s="16">
        <v>158</v>
      </c>
      <c r="F2" s="16">
        <v>140</v>
      </c>
      <c r="G2" s="5">
        <v>100</v>
      </c>
      <c r="H2" s="18" t="s">
        <v>327</v>
      </c>
      <c r="I2" s="16">
        <v>165</v>
      </c>
      <c r="J2" s="15">
        <v>1</v>
      </c>
      <c r="K2" s="5" t="s">
        <v>333</v>
      </c>
      <c r="L2" s="16">
        <f t="shared" ref="L2:L71" si="0">G2*I2</f>
        <v>16500</v>
      </c>
      <c r="M2" s="17">
        <f t="shared" ref="M2:M71" si="1">L2/E2</f>
        <v>104.43037974683544</v>
      </c>
      <c r="N2" s="5" t="s">
        <v>1910</v>
      </c>
      <c r="O2" s="5" t="str">
        <f ca="1">IFERROR(__xludf.DUMMYFUNCTION("TEXTJOIN("", "", TRUE, FILTER(PokemonList!$C:$C, (PokemonList!$B:$B=""6★"") * (BYROW(PokemonList!$D:$D, LAMBDA(row, OR(INDEX(ISNUMBER(SEARCH(SPLIT(row, ""/""), N2)))))))))"),"#N/A")</f>
        <v>#N/A</v>
      </c>
      <c r="P2" s="1" t="str">
        <f ca="1">IFERROR(__xludf.DUMMYFUNCTION("TEXTJOIN("", "", TRUE, FILTER(PokemonList!$C:$C, (PokemonList!$B:$B=""5★"") * (BYROW(PokemonList!$D:$D, LAMBDA(row, OR(INDEX(ISNUMBER(SEARCH(SPLIT(row, ""/""), N2)))))))))"),"#N/A")</f>
        <v>#N/A</v>
      </c>
      <c r="Q2" s="5"/>
    </row>
    <row r="3" spans="1:17">
      <c r="A3" s="24">
        <v>2</v>
      </c>
      <c r="B3" s="5" t="s">
        <v>35</v>
      </c>
      <c r="C3" s="5" t="s">
        <v>32</v>
      </c>
      <c r="D3" s="5" t="s">
        <v>32</v>
      </c>
      <c r="E3" s="16">
        <v>142</v>
      </c>
      <c r="F3" s="16">
        <v>109</v>
      </c>
      <c r="G3" s="5">
        <v>90</v>
      </c>
      <c r="H3" s="18" t="s">
        <v>327</v>
      </c>
      <c r="I3" s="16">
        <v>109</v>
      </c>
      <c r="J3" s="15">
        <v>1</v>
      </c>
      <c r="K3" s="5" t="s">
        <v>333</v>
      </c>
      <c r="L3" s="16">
        <f t="shared" si="0"/>
        <v>9810</v>
      </c>
      <c r="M3" s="17">
        <f t="shared" si="1"/>
        <v>69.08450704225352</v>
      </c>
      <c r="N3" s="5" t="s">
        <v>1910</v>
      </c>
      <c r="O3" s="5" t="str">
        <f ca="1">IFERROR(__xludf.DUMMYFUNCTION("TEXTJOIN("", "", TRUE, FILTER(PokemonList!$C:$C, (PokemonList!$B:$B=""6★"") * (BYROW(PokemonList!$D:$D, LAMBDA(row, OR(INDEX(ISNUMBER(SEARCH(SPLIT(row, ""/""), N3)))))))))"),"#N/A")</f>
        <v>#N/A</v>
      </c>
      <c r="P3" s="1" t="str">
        <f ca="1">IFERROR(__xludf.DUMMYFUNCTION("TEXTJOIN("", "", TRUE, FILTER(PokemonList!$C:$C, (PokemonList!$B:$B=""5★"") * (BYROW(PokemonList!$D:$D, LAMBDA(row, OR(INDEX(ISNUMBER(SEARCH(SPLIT(row, ""/""), N3)))))))))"),"#N/A")</f>
        <v>#N/A</v>
      </c>
      <c r="Q3" s="5"/>
    </row>
    <row r="4" spans="1:17">
      <c r="A4" s="24">
        <v>3</v>
      </c>
      <c r="B4" s="5" t="s">
        <v>37</v>
      </c>
      <c r="C4" s="5" t="s">
        <v>1826</v>
      </c>
      <c r="D4" s="5" t="s">
        <v>726</v>
      </c>
      <c r="E4" s="16">
        <v>162</v>
      </c>
      <c r="F4" s="16">
        <v>153</v>
      </c>
      <c r="G4" s="5">
        <v>100</v>
      </c>
      <c r="H4" s="18" t="s">
        <v>404</v>
      </c>
      <c r="I4" s="16">
        <v>85</v>
      </c>
      <c r="J4" s="15">
        <v>1</v>
      </c>
      <c r="K4" s="5" t="s">
        <v>1827</v>
      </c>
      <c r="L4" s="16">
        <f t="shared" si="0"/>
        <v>8500</v>
      </c>
      <c r="M4" s="17">
        <f t="shared" si="1"/>
        <v>52.469135802469133</v>
      </c>
      <c r="N4" s="5" t="s">
        <v>1910</v>
      </c>
      <c r="O4" s="5" t="str">
        <f ca="1">IFERROR(__xludf.DUMMYFUNCTION("TEXTJOIN("", "", TRUE, FILTER(PokemonList!$C:$C, (PokemonList!$B:$B=""6★"") * (BYROW(PokemonList!$D:$D, LAMBDA(row, OR(INDEX(ISNUMBER(SEARCH(SPLIT(row, ""/""), N4)))))))))"),"#N/A")</f>
        <v>#N/A</v>
      </c>
      <c r="P4" s="1" t="str">
        <f ca="1">IFERROR(__xludf.DUMMYFUNCTION("TEXTJOIN("", "", TRUE, FILTER(PokemonList!$C:$C, (PokemonList!$B:$B=""5★"") * (BYROW(PokemonList!$D:$D, LAMBDA(row, OR(INDEX(ISNUMBER(SEARCH(SPLIT(row, ""/""), N4)))))))))"),"#N/A")</f>
        <v>#N/A</v>
      </c>
      <c r="Q4" s="5"/>
    </row>
    <row r="5" spans="1:17">
      <c r="A5" s="24">
        <v>4</v>
      </c>
      <c r="B5" s="5" t="s">
        <v>40</v>
      </c>
      <c r="C5" s="5" t="s">
        <v>1828</v>
      </c>
      <c r="D5" s="5" t="s">
        <v>726</v>
      </c>
      <c r="E5" s="16">
        <v>162</v>
      </c>
      <c r="F5" s="16">
        <v>133</v>
      </c>
      <c r="G5" s="5">
        <v>100</v>
      </c>
      <c r="H5" s="18" t="s">
        <v>404</v>
      </c>
      <c r="I5" s="16">
        <v>85</v>
      </c>
      <c r="J5" s="15">
        <v>1</v>
      </c>
      <c r="K5" s="5" t="s">
        <v>1827</v>
      </c>
      <c r="L5" s="16">
        <f t="shared" si="0"/>
        <v>8500</v>
      </c>
      <c r="M5" s="17">
        <f t="shared" si="1"/>
        <v>52.469135802469133</v>
      </c>
      <c r="N5" s="5" t="s">
        <v>1910</v>
      </c>
      <c r="O5" s="5" t="str">
        <f ca="1">IFERROR(__xludf.DUMMYFUNCTION("TEXTJOIN("", "", TRUE, FILTER(PokemonList!$C:$C, (PokemonList!$B:$B=""6★"") * (BYROW(PokemonList!$D:$D, LAMBDA(row, OR(INDEX(ISNUMBER(SEARCH(SPLIT(row, ""/""), N5)))))))))"),"#N/A")</f>
        <v>#N/A</v>
      </c>
      <c r="P5" s="1" t="str">
        <f ca="1">IFERROR(__xludf.DUMMYFUNCTION("TEXTJOIN("", "", TRUE, FILTER(PokemonList!$C:$C, (PokemonList!$B:$B=""5★"") * (BYROW(PokemonList!$D:$D, LAMBDA(row, OR(INDEX(ISNUMBER(SEARCH(SPLIT(row, ""/""), N5)))))))))"),"#N/A")</f>
        <v>#N/A</v>
      </c>
      <c r="Q5" s="5"/>
    </row>
    <row r="6" spans="1:17">
      <c r="A6" s="24">
        <v>5</v>
      </c>
      <c r="B6" s="5" t="s">
        <v>19</v>
      </c>
      <c r="C6" s="5" t="s">
        <v>1088</v>
      </c>
      <c r="D6" s="5" t="s">
        <v>540</v>
      </c>
      <c r="E6" s="16">
        <v>144</v>
      </c>
      <c r="F6" s="16">
        <v>69</v>
      </c>
      <c r="G6" s="5">
        <v>100</v>
      </c>
      <c r="H6" s="18" t="s">
        <v>404</v>
      </c>
      <c r="I6" s="16">
        <v>105</v>
      </c>
      <c r="J6" s="15">
        <v>1</v>
      </c>
      <c r="K6" s="5" t="s">
        <v>1829</v>
      </c>
      <c r="L6" s="16">
        <f t="shared" si="0"/>
        <v>10500</v>
      </c>
      <c r="M6" s="17">
        <f t="shared" si="1"/>
        <v>72.916666666666671</v>
      </c>
      <c r="N6" s="5" t="s">
        <v>1910</v>
      </c>
      <c r="O6" s="5" t="str">
        <f ca="1">IFERROR(__xludf.DUMMYFUNCTION("TEXTJOIN("", "", TRUE, FILTER(PokemonList!$C:$C, (PokemonList!$B:$B=""6★"") * (BYROW(PokemonList!$D:$D, LAMBDA(row, OR(INDEX(ISNUMBER(SEARCH(SPLIT(row, ""/""), N6)))))))))"),"#N/A")</f>
        <v>#N/A</v>
      </c>
      <c r="P6" s="1" t="str">
        <f ca="1">IFERROR(__xludf.DUMMYFUNCTION("TEXTJOIN("", "", TRUE, FILTER(PokemonList!$C:$C, (PokemonList!$B:$B=""5★"") * (BYROW(PokemonList!$D:$D, LAMBDA(row, OR(INDEX(ISNUMBER(SEARCH(SPLIT(row, ""/""), N6)))))))))"),"#N/A")</f>
        <v>#N/A</v>
      </c>
      <c r="Q6" s="5"/>
    </row>
    <row r="7" spans="1:17">
      <c r="A7" s="24">
        <v>6</v>
      </c>
      <c r="B7" s="5" t="s">
        <v>3</v>
      </c>
      <c r="C7" s="5" t="s">
        <v>896</v>
      </c>
      <c r="D7" s="5" t="s">
        <v>726</v>
      </c>
      <c r="E7" s="16">
        <v>144</v>
      </c>
      <c r="F7" s="16">
        <v>79</v>
      </c>
      <c r="G7" s="5">
        <v>90</v>
      </c>
      <c r="H7" s="18" t="s">
        <v>404</v>
      </c>
      <c r="I7" s="16">
        <v>105</v>
      </c>
      <c r="J7" s="15">
        <v>1</v>
      </c>
      <c r="K7" s="5" t="s">
        <v>1830</v>
      </c>
      <c r="L7" s="16">
        <f t="shared" si="0"/>
        <v>9450</v>
      </c>
      <c r="M7" s="17">
        <f t="shared" si="1"/>
        <v>65.625</v>
      </c>
      <c r="N7" s="5" t="s">
        <v>1910</v>
      </c>
      <c r="O7" s="5" t="str">
        <f ca="1">IFERROR(__xludf.DUMMYFUNCTION("TEXTJOIN("", "", TRUE, FILTER(PokemonList!$C:$C, (PokemonList!$B:$B=""6★"") * (BYROW(PokemonList!$D:$D, LAMBDA(row, OR(INDEX(ISNUMBER(SEARCH(SPLIT(row, ""/""), N7)))))))))"),"#N/A")</f>
        <v>#N/A</v>
      </c>
      <c r="P7" s="1" t="str">
        <f ca="1">IFERROR(__xludf.DUMMYFUNCTION("TEXTJOIN("", "", TRUE, FILTER(PokemonList!$C:$C, (PokemonList!$B:$B=""5★"") * (BYROW(PokemonList!$D:$D, LAMBDA(row, OR(INDEX(ISNUMBER(SEARCH(SPLIT(row, ""/""), N7)))))))))"),"#N/A")</f>
        <v>#N/A</v>
      </c>
      <c r="Q7" s="5"/>
    </row>
    <row r="8" spans="1:17">
      <c r="A8" s="24">
        <v>7</v>
      </c>
      <c r="B8" s="5" t="s">
        <v>47</v>
      </c>
      <c r="C8" s="5" t="s">
        <v>1670</v>
      </c>
      <c r="D8" s="5" t="s">
        <v>76</v>
      </c>
      <c r="E8" s="16">
        <v>162</v>
      </c>
      <c r="F8" s="16">
        <v>150</v>
      </c>
      <c r="G8" s="5">
        <v>100</v>
      </c>
      <c r="H8" s="18" t="s">
        <v>327</v>
      </c>
      <c r="I8" s="16">
        <v>150</v>
      </c>
      <c r="J8" s="15">
        <v>1</v>
      </c>
      <c r="K8" s="5" t="s">
        <v>1831</v>
      </c>
      <c r="L8" s="16">
        <f t="shared" si="0"/>
        <v>15000</v>
      </c>
      <c r="M8" s="17">
        <f t="shared" si="1"/>
        <v>92.592592592592595</v>
      </c>
      <c r="N8" s="5" t="s">
        <v>1910</v>
      </c>
      <c r="O8" s="5" t="str">
        <f ca="1">IFERROR(__xludf.DUMMYFUNCTION("TEXTJOIN("", "", TRUE, FILTER(PokemonList!$C:$C, (PokemonList!$B:$B=""6★"") * (BYROW(PokemonList!$D:$D, LAMBDA(row, OR(INDEX(ISNUMBER(SEARCH(SPLIT(row, ""/""), N8)))))))))"),"#N/A")</f>
        <v>#N/A</v>
      </c>
      <c r="P8" s="1" t="str">
        <f ca="1">IFERROR(__xludf.DUMMYFUNCTION("TEXTJOIN("", "", TRUE, FILTER(PokemonList!$C:$C, (PokemonList!$B:$B=""5★"") * (BYROW(PokemonList!$D:$D, LAMBDA(row, OR(INDEX(ISNUMBER(SEARCH(SPLIT(row, ""/""), N8)))))))))"),"#N/A")</f>
        <v>#N/A</v>
      </c>
      <c r="Q8" s="5"/>
    </row>
    <row r="9" spans="1:17">
      <c r="A9" s="24">
        <v>8</v>
      </c>
      <c r="B9" s="5" t="s">
        <v>21</v>
      </c>
      <c r="C9" s="5" t="s">
        <v>1081</v>
      </c>
      <c r="D9" s="5" t="s">
        <v>82</v>
      </c>
      <c r="E9" s="16">
        <v>122</v>
      </c>
      <c r="F9" s="16">
        <v>85</v>
      </c>
      <c r="G9" s="5">
        <v>130</v>
      </c>
      <c r="H9" s="18" t="s">
        <v>327</v>
      </c>
      <c r="I9" s="16">
        <v>105</v>
      </c>
      <c r="J9" s="15">
        <v>0.9</v>
      </c>
      <c r="K9" s="5" t="s">
        <v>385</v>
      </c>
      <c r="L9" s="16">
        <f t="shared" si="0"/>
        <v>13650</v>
      </c>
      <c r="M9" s="17">
        <f t="shared" si="1"/>
        <v>111.88524590163935</v>
      </c>
      <c r="N9" s="5" t="s">
        <v>1910</v>
      </c>
      <c r="O9" s="5" t="str">
        <f ca="1">IFERROR(__xludf.DUMMYFUNCTION("TEXTJOIN("", "", TRUE, FILTER(PokemonList!$C:$C, (PokemonList!$B:$B=""6★"") * (BYROW(PokemonList!$D:$D, LAMBDA(row, OR(INDEX(ISNUMBER(SEARCH(SPLIT(row, ""/""), N9)))))))))"),"#N/A")</f>
        <v>#N/A</v>
      </c>
      <c r="P9" s="1" t="str">
        <f ca="1">IFERROR(__xludf.DUMMYFUNCTION("TEXTJOIN("", "", TRUE, FILTER(PokemonList!$C:$C, (PokemonList!$B:$B=""5★"") * (BYROW(PokemonList!$D:$D, LAMBDA(row, OR(INDEX(ISNUMBER(SEARCH(SPLIT(row, ""/""), N9)))))))))"),"#N/A")</f>
        <v>#N/A</v>
      </c>
      <c r="Q9" s="5"/>
    </row>
    <row r="10" spans="1:17">
      <c r="A10" s="24">
        <v>9</v>
      </c>
      <c r="B10" s="5" t="s">
        <v>4</v>
      </c>
      <c r="C10" s="5" t="s">
        <v>488</v>
      </c>
      <c r="D10" s="5" t="s">
        <v>59</v>
      </c>
      <c r="E10" s="16">
        <v>124</v>
      </c>
      <c r="F10" s="16">
        <v>105</v>
      </c>
      <c r="G10" s="5">
        <v>90</v>
      </c>
      <c r="H10" s="18" t="s">
        <v>327</v>
      </c>
      <c r="I10" s="16">
        <v>114</v>
      </c>
      <c r="J10" s="15">
        <v>1</v>
      </c>
      <c r="K10" s="5" t="s">
        <v>1832</v>
      </c>
      <c r="L10" s="16">
        <f t="shared" si="0"/>
        <v>10260</v>
      </c>
      <c r="M10" s="17">
        <f t="shared" si="1"/>
        <v>82.741935483870961</v>
      </c>
      <c r="N10" s="5" t="s">
        <v>1910</v>
      </c>
      <c r="O10" s="5" t="str">
        <f ca="1">IFERROR(__xludf.DUMMYFUNCTION("TEXTJOIN("", "", TRUE, FILTER(PokemonList!$C:$C, (PokemonList!$B:$B=""6★"") * (BYROW(PokemonList!$D:$D, LAMBDA(row, OR(INDEX(ISNUMBER(SEARCH(SPLIT(row, ""/""), N10)))))))))"),"#N/A")</f>
        <v>#N/A</v>
      </c>
      <c r="P10" s="1" t="str">
        <f ca="1">IFERROR(__xludf.DUMMYFUNCTION("TEXTJOIN("", "", TRUE, FILTER(PokemonList!$C:$C, (PokemonList!$B:$B=""5★"") * (BYROW(PokemonList!$D:$D, LAMBDA(row, OR(INDEX(ISNUMBER(SEARCH(SPLIT(row, ""/""), N10)))))))))"),"#N/A")</f>
        <v>#N/A</v>
      </c>
      <c r="Q10" s="5"/>
    </row>
    <row r="11" spans="1:17">
      <c r="A11" s="24">
        <v>10</v>
      </c>
      <c r="B11" s="5" t="s">
        <v>7</v>
      </c>
      <c r="C11" s="5" t="s">
        <v>492</v>
      </c>
      <c r="D11" s="5" t="s">
        <v>54</v>
      </c>
      <c r="E11" s="16">
        <v>124</v>
      </c>
      <c r="F11" s="16">
        <v>83</v>
      </c>
      <c r="G11" s="5">
        <v>110</v>
      </c>
      <c r="H11" s="18" t="s">
        <v>327</v>
      </c>
      <c r="I11" s="16">
        <v>90</v>
      </c>
      <c r="J11" s="15">
        <v>1</v>
      </c>
      <c r="K11" s="5" t="s">
        <v>1790</v>
      </c>
      <c r="L11" s="16">
        <f t="shared" si="0"/>
        <v>9900</v>
      </c>
      <c r="M11" s="17">
        <f t="shared" si="1"/>
        <v>79.838709677419359</v>
      </c>
      <c r="N11" s="5" t="s">
        <v>1910</v>
      </c>
      <c r="O11" s="5" t="str">
        <f ca="1">IFERROR(__xludf.DUMMYFUNCTION("TEXTJOIN("", "", TRUE, FILTER(PokemonList!$C:$C, (PokemonList!$B:$B=""6★"") * (BYROW(PokemonList!$D:$D, LAMBDA(row, OR(INDEX(ISNUMBER(SEARCH(SPLIT(row, ""/""), N11)))))))))"),"#N/A")</f>
        <v>#N/A</v>
      </c>
      <c r="P11" s="1" t="str">
        <f ca="1">IFERROR(__xludf.DUMMYFUNCTION("TEXTJOIN("", "", TRUE, FILTER(PokemonList!$C:$C, (PokemonList!$B:$B=""5★"") * (BYROW(PokemonList!$D:$D, LAMBDA(row, OR(INDEX(ISNUMBER(SEARCH(SPLIT(row, ""/""), N11)))))))))"),"#N/A")</f>
        <v>#N/A</v>
      </c>
      <c r="Q11" s="5"/>
    </row>
    <row r="12" spans="1:17">
      <c r="A12" s="24">
        <v>11</v>
      </c>
      <c r="B12" s="5" t="s">
        <v>9</v>
      </c>
      <c r="C12" s="5" t="s">
        <v>492</v>
      </c>
      <c r="D12" s="5" t="s">
        <v>54</v>
      </c>
      <c r="E12" s="16">
        <v>108</v>
      </c>
      <c r="F12" s="16">
        <v>62</v>
      </c>
      <c r="G12" s="5">
        <v>110</v>
      </c>
      <c r="H12" s="18" t="s">
        <v>327</v>
      </c>
      <c r="I12" s="16">
        <v>101</v>
      </c>
      <c r="J12" s="15">
        <v>1</v>
      </c>
      <c r="K12" s="5" t="s">
        <v>1790</v>
      </c>
      <c r="L12" s="16">
        <f t="shared" si="0"/>
        <v>11110</v>
      </c>
      <c r="M12" s="17">
        <f t="shared" si="1"/>
        <v>102.87037037037037</v>
      </c>
      <c r="N12" s="5" t="s">
        <v>1910</v>
      </c>
      <c r="O12" s="5" t="str">
        <f ca="1">IFERROR(__xludf.DUMMYFUNCTION("TEXTJOIN("", "", TRUE, FILTER(PokemonList!$C:$C, (PokemonList!$B:$B=""6★"") * (BYROW(PokemonList!$D:$D, LAMBDA(row, OR(INDEX(ISNUMBER(SEARCH(SPLIT(row, ""/""), N12)))))))))"),"#N/A")</f>
        <v>#N/A</v>
      </c>
      <c r="P12" s="1" t="str">
        <f ca="1">IFERROR(__xludf.DUMMYFUNCTION("TEXTJOIN("", "", TRUE, FILTER(PokemonList!$C:$C, (PokemonList!$B:$B=""5★"") * (BYROW(PokemonList!$D:$D, LAMBDA(row, OR(INDEX(ISNUMBER(SEARCH(SPLIT(row, ""/""), N12)))))))))"),"#N/A")</f>
        <v>#N/A</v>
      </c>
      <c r="Q12" s="5"/>
    </row>
    <row r="13" spans="1:17">
      <c r="A13" s="24">
        <v>12</v>
      </c>
      <c r="B13" s="5" t="s">
        <v>58</v>
      </c>
      <c r="C13" s="5" t="s">
        <v>488</v>
      </c>
      <c r="D13" s="5" t="s">
        <v>59</v>
      </c>
      <c r="E13" s="16">
        <v>108</v>
      </c>
      <c r="F13" s="16">
        <v>62</v>
      </c>
      <c r="G13" s="5">
        <v>110</v>
      </c>
      <c r="H13" s="18" t="s">
        <v>327</v>
      </c>
      <c r="I13" s="16">
        <v>88</v>
      </c>
      <c r="J13" s="15">
        <v>1</v>
      </c>
      <c r="K13" s="5" t="s">
        <v>1833</v>
      </c>
      <c r="L13" s="16">
        <f t="shared" si="0"/>
        <v>9680</v>
      </c>
      <c r="M13" s="17">
        <f t="shared" si="1"/>
        <v>89.629629629629633</v>
      </c>
      <c r="N13" s="5" t="s">
        <v>1910</v>
      </c>
      <c r="O13" s="5" t="str">
        <f ca="1">IFERROR(__xludf.DUMMYFUNCTION("TEXTJOIN("", "", TRUE, FILTER(PokemonList!$C:$C, (PokemonList!$B:$B=""6★"") * (BYROW(PokemonList!$D:$D, LAMBDA(row, OR(INDEX(ISNUMBER(SEARCH(SPLIT(row, ""/""), N13)))))))))"),"#N/A")</f>
        <v>#N/A</v>
      </c>
      <c r="P13" s="1" t="str">
        <f ca="1">IFERROR(__xludf.DUMMYFUNCTION("TEXTJOIN("", "", TRUE, FILTER(PokemonList!$C:$C, (PokemonList!$B:$B=""5★"") * (BYROW(PokemonList!$D:$D, LAMBDA(row, OR(INDEX(ISNUMBER(SEARCH(SPLIT(row, ""/""), N13)))))))))"),"#N/A")</f>
        <v>#N/A</v>
      </c>
      <c r="Q13" s="5"/>
    </row>
    <row r="14" spans="1:17">
      <c r="A14" s="24">
        <v>13</v>
      </c>
      <c r="B14" s="5" t="s">
        <v>61</v>
      </c>
      <c r="C14" s="5" t="s">
        <v>1037</v>
      </c>
      <c r="D14" s="5" t="s">
        <v>62</v>
      </c>
      <c r="E14" s="16">
        <v>112</v>
      </c>
      <c r="F14" s="16">
        <v>64</v>
      </c>
      <c r="G14" s="5">
        <v>80</v>
      </c>
      <c r="H14" s="18" t="s">
        <v>327</v>
      </c>
      <c r="I14" s="16">
        <v>60</v>
      </c>
      <c r="J14" s="15">
        <v>1</v>
      </c>
      <c r="K14" s="5" t="s">
        <v>348</v>
      </c>
      <c r="L14" s="16">
        <f t="shared" si="0"/>
        <v>4800</v>
      </c>
      <c r="M14" s="17">
        <f t="shared" si="1"/>
        <v>42.857142857142854</v>
      </c>
      <c r="N14" s="5" t="s">
        <v>1910</v>
      </c>
      <c r="O14" s="5" t="str">
        <f ca="1">IFERROR(__xludf.DUMMYFUNCTION("TEXTJOIN("", "", TRUE, FILTER(PokemonList!$C:$C, (PokemonList!$B:$B=""6★"") * (BYROW(PokemonList!$D:$D, LAMBDA(row, OR(INDEX(ISNUMBER(SEARCH(SPLIT(row, ""/""), N14)))))))))"),"#N/A")</f>
        <v>#N/A</v>
      </c>
      <c r="P14" s="1" t="str">
        <f ca="1">IFERROR(__xludf.DUMMYFUNCTION("TEXTJOIN("", "", TRUE, FILTER(PokemonList!$C:$C, (PokemonList!$B:$B=""5★"") * (BYROW(PokemonList!$D:$D, LAMBDA(row, OR(INDEX(ISNUMBER(SEARCH(SPLIT(row, ""/""), N14)))))))))"),"#N/A")</f>
        <v>#N/A</v>
      </c>
      <c r="Q14" s="5"/>
    </row>
    <row r="15" spans="1:17">
      <c r="A15" s="24">
        <v>14</v>
      </c>
      <c r="B15" s="5" t="s">
        <v>17</v>
      </c>
      <c r="C15" s="5" t="s">
        <v>496</v>
      </c>
      <c r="D15" s="5" t="s">
        <v>64</v>
      </c>
      <c r="E15" s="16">
        <v>114</v>
      </c>
      <c r="F15" s="16">
        <v>66</v>
      </c>
      <c r="G15" s="5">
        <v>110</v>
      </c>
      <c r="H15" s="18" t="s">
        <v>327</v>
      </c>
      <c r="I15" s="16">
        <v>127</v>
      </c>
      <c r="J15" s="15">
        <v>1</v>
      </c>
      <c r="K15" s="5" t="s">
        <v>64</v>
      </c>
      <c r="L15" s="16">
        <f t="shared" si="0"/>
        <v>13970</v>
      </c>
      <c r="M15" s="17">
        <f t="shared" si="1"/>
        <v>122.54385964912281</v>
      </c>
      <c r="N15" s="5" t="s">
        <v>1910</v>
      </c>
      <c r="O15" s="5" t="str">
        <f ca="1">IFERROR(__xludf.DUMMYFUNCTION("TEXTJOIN("", "", TRUE, FILTER(PokemonList!$C:$C, (PokemonList!$B:$B=""6★"") * (BYROW(PokemonList!$D:$D, LAMBDA(row, OR(INDEX(ISNUMBER(SEARCH(SPLIT(row, ""/""), N15)))))))))"),"#N/A")</f>
        <v>#N/A</v>
      </c>
      <c r="P15" s="1" t="str">
        <f ca="1">IFERROR(__xludf.DUMMYFUNCTION("TEXTJOIN("", "", TRUE, FILTER(PokemonList!$C:$C, (PokemonList!$B:$B=""5★"") * (BYROW(PokemonList!$D:$D, LAMBDA(row, OR(INDEX(ISNUMBER(SEARCH(SPLIT(row, ""/""), N15)))))))))"),"#N/A")</f>
        <v>#N/A</v>
      </c>
      <c r="Q15" s="5"/>
    </row>
    <row r="16" spans="1:17">
      <c r="A16" s="24">
        <v>15</v>
      </c>
      <c r="B16" s="5" t="s">
        <v>66</v>
      </c>
      <c r="C16" s="5" t="s">
        <v>1245</v>
      </c>
      <c r="D16" s="5" t="s">
        <v>431</v>
      </c>
      <c r="E16" s="16">
        <v>100</v>
      </c>
      <c r="F16" s="16">
        <v>93</v>
      </c>
      <c r="G16" s="5">
        <v>110</v>
      </c>
      <c r="H16" s="18" t="s">
        <v>327</v>
      </c>
      <c r="I16" s="16">
        <v>66</v>
      </c>
      <c r="J16" s="15">
        <v>1</v>
      </c>
      <c r="K16" s="5" t="s">
        <v>1834</v>
      </c>
      <c r="L16" s="16">
        <f t="shared" si="0"/>
        <v>7260</v>
      </c>
      <c r="M16" s="17">
        <f t="shared" si="1"/>
        <v>72.599999999999994</v>
      </c>
      <c r="N16" s="5" t="s">
        <v>1910</v>
      </c>
      <c r="O16" s="5" t="str">
        <f ca="1">IFERROR(__xludf.DUMMYFUNCTION("TEXTJOIN("", "", TRUE, FILTER(PokemonList!$C:$C, (PokemonList!$B:$B=""6★"") * (BYROW(PokemonList!$D:$D, LAMBDA(row, OR(INDEX(ISNUMBER(SEARCH(SPLIT(row, ""/""), N16)))))))))"),"#N/A")</f>
        <v>#N/A</v>
      </c>
      <c r="P16" s="1" t="str">
        <f ca="1">IFERROR(__xludf.DUMMYFUNCTION("TEXTJOIN("", "", TRUE, FILTER(PokemonList!$C:$C, (PokemonList!$B:$B=""5★"") * (BYROW(PokemonList!$D:$D, LAMBDA(row, OR(INDEX(ISNUMBER(SEARCH(SPLIT(row, ""/""), N16)))))))))"),"#N/A")</f>
        <v>#N/A</v>
      </c>
      <c r="Q16" s="5"/>
    </row>
    <row r="17" spans="1:17">
      <c r="A17" s="24">
        <v>16</v>
      </c>
      <c r="B17" s="5" t="s">
        <v>8</v>
      </c>
      <c r="C17" s="5" t="s">
        <v>786</v>
      </c>
      <c r="D17" s="5" t="s">
        <v>363</v>
      </c>
      <c r="E17" s="16">
        <v>108</v>
      </c>
      <c r="F17" s="16">
        <v>106</v>
      </c>
      <c r="G17" s="5">
        <v>80</v>
      </c>
      <c r="H17" s="18" t="s">
        <v>327</v>
      </c>
      <c r="I17" s="16">
        <v>124</v>
      </c>
      <c r="J17" s="15">
        <v>1</v>
      </c>
      <c r="K17" s="5" t="s">
        <v>1835</v>
      </c>
      <c r="L17" s="16">
        <f t="shared" si="0"/>
        <v>9920</v>
      </c>
      <c r="M17" s="17">
        <f t="shared" si="1"/>
        <v>91.851851851851848</v>
      </c>
      <c r="N17" s="5" t="s">
        <v>1910</v>
      </c>
      <c r="O17" s="5" t="str">
        <f ca="1">IFERROR(__xludf.DUMMYFUNCTION("TEXTJOIN("", "", TRUE, FILTER(PokemonList!$C:$C, (PokemonList!$B:$B=""6★"") * (BYROW(PokemonList!$D:$D, LAMBDA(row, OR(INDEX(ISNUMBER(SEARCH(SPLIT(row, ""/""), N17)))))))))"),"#N/A")</f>
        <v>#N/A</v>
      </c>
      <c r="P17" s="1" t="str">
        <f ca="1">IFERROR(__xludf.DUMMYFUNCTION("TEXTJOIN("", "", TRUE, FILTER(PokemonList!$C:$C, (PokemonList!$B:$B=""5★"") * (BYROW(PokemonList!$D:$D, LAMBDA(row, OR(INDEX(ISNUMBER(SEARCH(SPLIT(row, ""/""), N17)))))))))"),"#N/A")</f>
        <v>#N/A</v>
      </c>
      <c r="Q17" s="5"/>
    </row>
    <row r="18" spans="1:17">
      <c r="A18" s="24">
        <v>17</v>
      </c>
      <c r="B18" s="5" t="s">
        <v>71</v>
      </c>
      <c r="C18" s="5" t="s">
        <v>600</v>
      </c>
      <c r="D18" s="5" t="s">
        <v>59</v>
      </c>
      <c r="E18" s="16">
        <v>114</v>
      </c>
      <c r="F18" s="16">
        <v>88</v>
      </c>
      <c r="G18" s="5">
        <v>90</v>
      </c>
      <c r="H18" s="18" t="s">
        <v>327</v>
      </c>
      <c r="I18" s="16">
        <v>93</v>
      </c>
      <c r="J18" s="15">
        <v>1</v>
      </c>
      <c r="K18" s="5" t="s">
        <v>1833</v>
      </c>
      <c r="L18" s="16">
        <f t="shared" si="0"/>
        <v>8370</v>
      </c>
      <c r="M18" s="17">
        <f t="shared" si="1"/>
        <v>73.421052631578945</v>
      </c>
      <c r="N18" s="5" t="s">
        <v>1910</v>
      </c>
      <c r="O18" s="5" t="str">
        <f ca="1">IFERROR(__xludf.DUMMYFUNCTION("TEXTJOIN("", "", TRUE, FILTER(PokemonList!$C:$C, (PokemonList!$B:$B=""6★"") * (BYROW(PokemonList!$D:$D, LAMBDA(row, OR(INDEX(ISNUMBER(SEARCH(SPLIT(row, ""/""), N18)))))))))"),"#N/A")</f>
        <v>#N/A</v>
      </c>
      <c r="P18" s="1" t="str">
        <f ca="1">IFERROR(__xludf.DUMMYFUNCTION("TEXTJOIN("", "", TRUE, FILTER(PokemonList!$C:$C, (PokemonList!$B:$B=""5★"") * (BYROW(PokemonList!$D:$D, LAMBDA(row, OR(INDEX(ISNUMBER(SEARCH(SPLIT(row, ""/""), N18)))))))))"),"#N/A")</f>
        <v>#N/A</v>
      </c>
      <c r="Q18" s="5"/>
    </row>
    <row r="19" spans="1:17">
      <c r="A19" s="24">
        <v>18</v>
      </c>
      <c r="B19" s="5" t="s">
        <v>73</v>
      </c>
      <c r="C19" s="5" t="s">
        <v>541</v>
      </c>
      <c r="D19" s="5" t="s">
        <v>154</v>
      </c>
      <c r="E19" s="16">
        <v>110</v>
      </c>
      <c r="F19" s="16">
        <v>39</v>
      </c>
      <c r="G19" s="5">
        <v>100</v>
      </c>
      <c r="H19" s="18" t="s">
        <v>404</v>
      </c>
      <c r="I19" s="16">
        <v>53</v>
      </c>
      <c r="J19" s="15">
        <v>1</v>
      </c>
      <c r="K19" s="5" t="s">
        <v>1780</v>
      </c>
      <c r="L19" s="16">
        <f t="shared" si="0"/>
        <v>5300</v>
      </c>
      <c r="M19" s="17">
        <f t="shared" si="1"/>
        <v>48.18181818181818</v>
      </c>
      <c r="N19" s="5" t="s">
        <v>1910</v>
      </c>
      <c r="O19" s="5" t="str">
        <f ca="1">IFERROR(__xludf.DUMMYFUNCTION("TEXTJOIN("", "", TRUE, FILTER(PokemonList!$C:$C, (PokemonList!$B:$B=""6★"") * (BYROW(PokemonList!$D:$D, LAMBDA(row, OR(INDEX(ISNUMBER(SEARCH(SPLIT(row, ""/""), N19)))))))))"),"#N/A")</f>
        <v>#N/A</v>
      </c>
      <c r="P19" s="1" t="str">
        <f ca="1">IFERROR(__xludf.DUMMYFUNCTION("TEXTJOIN("", "", TRUE, FILTER(PokemonList!$C:$C, (PokemonList!$B:$B=""5★"") * (BYROW(PokemonList!$D:$D, LAMBDA(row, OR(INDEX(ISNUMBER(SEARCH(SPLIT(row, ""/""), N19)))))))))"),"#N/A")</f>
        <v>#N/A</v>
      </c>
      <c r="Q19" s="5"/>
    </row>
    <row r="20" spans="1:17">
      <c r="A20" s="24">
        <v>19</v>
      </c>
      <c r="B20" s="5" t="s">
        <v>396</v>
      </c>
      <c r="C20" s="5" t="s">
        <v>536</v>
      </c>
      <c r="D20" s="5" t="s">
        <v>76</v>
      </c>
      <c r="E20" s="16">
        <v>96</v>
      </c>
      <c r="F20" s="16">
        <v>114</v>
      </c>
      <c r="G20" s="16">
        <v>90</v>
      </c>
      <c r="H20" s="18" t="s">
        <v>327</v>
      </c>
      <c r="I20" s="16">
        <v>66</v>
      </c>
      <c r="J20" s="15">
        <v>1</v>
      </c>
      <c r="K20" s="5" t="s">
        <v>1779</v>
      </c>
      <c r="L20" s="16">
        <f t="shared" si="0"/>
        <v>5940</v>
      </c>
      <c r="M20" s="17">
        <f t="shared" si="1"/>
        <v>61.875</v>
      </c>
      <c r="N20" s="5" t="s">
        <v>1910</v>
      </c>
      <c r="O20" s="5" t="str">
        <f ca="1">IFERROR(__xludf.DUMMYFUNCTION("TEXTJOIN("", "", TRUE, FILTER(PokemonList!$C:$C, (PokemonList!$B:$B=""6★"") * (BYROW(PokemonList!$D:$D, LAMBDA(row, OR(INDEX(ISNUMBER(SEARCH(SPLIT(row, ""/""), N20)))))))))"),"#N/A")</f>
        <v>#N/A</v>
      </c>
      <c r="P20" s="1" t="str">
        <f ca="1">IFERROR(__xludf.DUMMYFUNCTION("TEXTJOIN("", "", TRUE, FILTER(PokemonList!$C:$C, (PokemonList!$B:$B=""5★"") * (BYROW(PokemonList!$D:$D, LAMBDA(row, OR(INDEX(ISNUMBER(SEARCH(SPLIT(row, ""/""), N20)))))))))"),"#N/A")</f>
        <v>#N/A</v>
      </c>
      <c r="Q20" s="5"/>
    </row>
    <row r="21" spans="1:17">
      <c r="A21" s="24">
        <v>20</v>
      </c>
      <c r="B21" s="18" t="s">
        <v>78</v>
      </c>
      <c r="C21" s="5" t="s">
        <v>930</v>
      </c>
      <c r="D21" s="5" t="s">
        <v>336</v>
      </c>
      <c r="E21" s="16">
        <v>114</v>
      </c>
      <c r="F21" s="16">
        <v>107</v>
      </c>
      <c r="G21" s="29">
        <v>80</v>
      </c>
      <c r="H21" s="18" t="s">
        <v>404</v>
      </c>
      <c r="I21" s="16">
        <v>86</v>
      </c>
      <c r="J21" s="15">
        <v>1</v>
      </c>
      <c r="K21" s="5" t="s">
        <v>1836</v>
      </c>
      <c r="L21" s="16">
        <f t="shared" si="0"/>
        <v>6880</v>
      </c>
      <c r="M21" s="17">
        <f t="shared" si="1"/>
        <v>60.350877192982459</v>
      </c>
      <c r="N21" s="5" t="s">
        <v>1910</v>
      </c>
      <c r="O21" s="5" t="str">
        <f ca="1">IFERROR(__xludf.DUMMYFUNCTION("TEXTJOIN("", "", TRUE, FILTER(PokemonList!$C:$C, (PokemonList!$B:$B=""6★"") * (BYROW(PokemonList!$D:$D, LAMBDA(row, OR(INDEX(ISNUMBER(SEARCH(SPLIT(row, ""/""), N21)))))))))"),"#N/A")</f>
        <v>#N/A</v>
      </c>
      <c r="P21" s="1" t="str">
        <f ca="1">IFERROR(__xludf.DUMMYFUNCTION("TEXTJOIN("", "", TRUE, FILTER(PokemonList!$C:$C, (PokemonList!$B:$B=""5★"") * (BYROW(PokemonList!$D:$D, LAMBDA(row, OR(INDEX(ISNUMBER(SEARCH(SPLIT(row, ""/""), N21)))))))))"),"#N/A")</f>
        <v>#N/A</v>
      </c>
      <c r="Q21" s="5"/>
    </row>
    <row r="22" spans="1:17">
      <c r="A22" s="24">
        <v>21</v>
      </c>
      <c r="B22" s="18" t="s">
        <v>81</v>
      </c>
      <c r="C22" s="5" t="s">
        <v>1568</v>
      </c>
      <c r="D22" s="5" t="s">
        <v>82</v>
      </c>
      <c r="E22" s="16">
        <v>108</v>
      </c>
      <c r="F22" s="16">
        <v>79</v>
      </c>
      <c r="G22" s="29">
        <v>80</v>
      </c>
      <c r="H22" s="18" t="s">
        <v>404</v>
      </c>
      <c r="I22" s="16">
        <v>57</v>
      </c>
      <c r="J22" s="15">
        <v>1</v>
      </c>
      <c r="K22" s="5" t="s">
        <v>1782</v>
      </c>
      <c r="L22" s="16">
        <f t="shared" si="0"/>
        <v>4560</v>
      </c>
      <c r="M22" s="17">
        <f t="shared" si="1"/>
        <v>42.222222222222221</v>
      </c>
      <c r="N22" s="5" t="s">
        <v>1910</v>
      </c>
      <c r="O22" s="5" t="str">
        <f ca="1">IFERROR(__xludf.DUMMYFUNCTION("TEXTJOIN("", "", TRUE, FILTER(PokemonList!$C:$C, (PokemonList!$B:$B=""6★"") * (BYROW(PokemonList!$D:$D, LAMBDA(row, OR(INDEX(ISNUMBER(SEARCH(SPLIT(row, ""/""), N22)))))))))"),"#N/A")</f>
        <v>#N/A</v>
      </c>
      <c r="P22" s="1" t="str">
        <f ca="1">IFERROR(__xludf.DUMMYFUNCTION("TEXTJOIN("", "", TRUE, FILTER(PokemonList!$C:$C, (PokemonList!$B:$B=""5★"") * (BYROW(PokemonList!$D:$D, LAMBDA(row, OR(INDEX(ISNUMBER(SEARCH(SPLIT(row, ""/""), N22)))))))))"),"#N/A")</f>
        <v>#N/A</v>
      </c>
      <c r="Q22" s="5"/>
    </row>
    <row r="23" spans="1:17">
      <c r="A23" s="24">
        <v>22</v>
      </c>
      <c r="B23" s="18" t="s">
        <v>84</v>
      </c>
      <c r="C23" s="5" t="s">
        <v>1570</v>
      </c>
      <c r="D23" s="5" t="s">
        <v>59</v>
      </c>
      <c r="E23" s="16">
        <v>108</v>
      </c>
      <c r="F23" s="16">
        <v>109</v>
      </c>
      <c r="G23" s="29">
        <v>120</v>
      </c>
      <c r="H23" s="18" t="s">
        <v>404</v>
      </c>
      <c r="I23" s="16">
        <v>62</v>
      </c>
      <c r="J23" s="15">
        <v>1</v>
      </c>
      <c r="K23" s="5" t="s">
        <v>1833</v>
      </c>
      <c r="L23" s="16">
        <f t="shared" si="0"/>
        <v>7440</v>
      </c>
      <c r="M23" s="17">
        <f t="shared" si="1"/>
        <v>68.888888888888886</v>
      </c>
      <c r="N23" s="5" t="s">
        <v>1910</v>
      </c>
      <c r="O23" s="5" t="str">
        <f ca="1">IFERROR(__xludf.DUMMYFUNCTION("TEXTJOIN("", "", TRUE, FILTER(PokemonList!$C:$C, (PokemonList!$B:$B=""6★"") * (BYROW(PokemonList!$D:$D, LAMBDA(row, OR(INDEX(ISNUMBER(SEARCH(SPLIT(row, ""/""), N23)))))))))"),"#N/A")</f>
        <v>#N/A</v>
      </c>
      <c r="P23" s="1" t="str">
        <f ca="1">IFERROR(__xludf.DUMMYFUNCTION("TEXTJOIN("", "", TRUE, FILTER(PokemonList!$C:$C, (PokemonList!$B:$B=""5★"") * (BYROW(PokemonList!$D:$D, LAMBDA(row, OR(INDEX(ISNUMBER(SEARCH(SPLIT(row, ""/""), N23)))))))))"),"#N/A")</f>
        <v>#N/A</v>
      </c>
      <c r="Q23" s="5"/>
    </row>
    <row r="24" spans="1:17">
      <c r="A24" s="24">
        <v>23</v>
      </c>
      <c r="B24" s="18" t="s">
        <v>23</v>
      </c>
      <c r="C24" s="5" t="s">
        <v>1530</v>
      </c>
      <c r="D24" s="5" t="s">
        <v>54</v>
      </c>
      <c r="E24" s="16">
        <v>108</v>
      </c>
      <c r="F24" s="16">
        <v>110</v>
      </c>
      <c r="G24" s="29">
        <v>80</v>
      </c>
      <c r="H24" s="18" t="s">
        <v>404</v>
      </c>
      <c r="I24" s="16">
        <v>115</v>
      </c>
      <c r="J24" s="15">
        <v>1</v>
      </c>
      <c r="K24" s="5" t="s">
        <v>1790</v>
      </c>
      <c r="L24" s="16">
        <f t="shared" si="0"/>
        <v>9200</v>
      </c>
      <c r="M24" s="17">
        <f t="shared" si="1"/>
        <v>85.18518518518519</v>
      </c>
      <c r="N24" s="5" t="s">
        <v>1910</v>
      </c>
      <c r="O24" s="5" t="str">
        <f ca="1">IFERROR(__xludf.DUMMYFUNCTION("TEXTJOIN("", "", TRUE, FILTER(PokemonList!$C:$C, (PokemonList!$B:$B=""6★"") * (BYROW(PokemonList!$D:$D, LAMBDA(row, OR(INDEX(ISNUMBER(SEARCH(SPLIT(row, ""/""), N24)))))))))"),"#N/A")</f>
        <v>#N/A</v>
      </c>
      <c r="P24" s="1" t="str">
        <f ca="1">IFERROR(__xludf.DUMMYFUNCTION("TEXTJOIN("", "", TRUE, FILTER(PokemonList!$C:$C, (PokemonList!$B:$B=""5★"") * (BYROW(PokemonList!$D:$D, LAMBDA(row, OR(INDEX(ISNUMBER(SEARCH(SPLIT(row, ""/""), N24)))))))))"),"#N/A")</f>
        <v>#N/A</v>
      </c>
      <c r="Q24" s="5"/>
    </row>
    <row r="25" spans="1:17">
      <c r="A25" s="24">
        <v>24</v>
      </c>
      <c r="B25" s="18" t="s">
        <v>87</v>
      </c>
      <c r="C25" s="5" t="s">
        <v>1433</v>
      </c>
      <c r="D25" s="5" t="s">
        <v>62</v>
      </c>
      <c r="E25" s="16">
        <v>112</v>
      </c>
      <c r="F25" s="16">
        <v>92</v>
      </c>
      <c r="G25" s="29">
        <v>70</v>
      </c>
      <c r="H25" s="18" t="s">
        <v>404</v>
      </c>
      <c r="I25" s="16">
        <v>60</v>
      </c>
      <c r="J25" s="15">
        <v>1</v>
      </c>
      <c r="K25" s="5" t="s">
        <v>1795</v>
      </c>
      <c r="L25" s="16">
        <f t="shared" si="0"/>
        <v>4200</v>
      </c>
      <c r="M25" s="17">
        <f t="shared" si="1"/>
        <v>37.5</v>
      </c>
      <c r="N25" s="5" t="s">
        <v>1910</v>
      </c>
      <c r="O25" s="5" t="str">
        <f ca="1">IFERROR(__xludf.DUMMYFUNCTION("TEXTJOIN("", "", TRUE, FILTER(PokemonList!$C:$C, (PokemonList!$B:$B=""6★"") * (BYROW(PokemonList!$D:$D, LAMBDA(row, OR(INDEX(ISNUMBER(SEARCH(SPLIT(row, ""/""), N25)))))))))"),"#N/A")</f>
        <v>#N/A</v>
      </c>
      <c r="P25" s="1" t="str">
        <f ca="1">IFERROR(__xludf.DUMMYFUNCTION("TEXTJOIN("", "", TRUE, FILTER(PokemonList!$C:$C, (PokemonList!$B:$B=""5★"") * (BYROW(PokemonList!$D:$D, LAMBDA(row, OR(INDEX(ISNUMBER(SEARCH(SPLIT(row, ""/""), N25)))))))))"),"#N/A")</f>
        <v>#N/A</v>
      </c>
      <c r="Q25" s="5"/>
    </row>
    <row r="26" spans="1:17">
      <c r="A26" s="24">
        <v>25</v>
      </c>
      <c r="B26" s="18" t="s">
        <v>90</v>
      </c>
      <c r="C26" s="5" t="s">
        <v>1252</v>
      </c>
      <c r="D26" s="5" t="s">
        <v>337</v>
      </c>
      <c r="E26" s="16">
        <v>122</v>
      </c>
      <c r="F26" s="16">
        <v>102</v>
      </c>
      <c r="G26" s="29">
        <v>85</v>
      </c>
      <c r="H26" s="18" t="s">
        <v>327</v>
      </c>
      <c r="I26" s="16">
        <v>121</v>
      </c>
      <c r="J26" s="15">
        <v>1</v>
      </c>
      <c r="K26" s="5" t="s">
        <v>1837</v>
      </c>
      <c r="L26" s="16">
        <f t="shared" si="0"/>
        <v>10285</v>
      </c>
      <c r="M26" s="17">
        <f t="shared" si="1"/>
        <v>84.303278688524586</v>
      </c>
      <c r="N26" s="5" t="s">
        <v>1910</v>
      </c>
      <c r="O26" s="5" t="str">
        <f ca="1">IFERROR(__xludf.DUMMYFUNCTION("TEXTJOIN("", "", TRUE, FILTER(PokemonList!$C:$C, (PokemonList!$B:$B=""6★"") * (BYROW(PokemonList!$D:$D, LAMBDA(row, OR(INDEX(ISNUMBER(SEARCH(SPLIT(row, ""/""), N26)))))))))"),"#N/A")</f>
        <v>#N/A</v>
      </c>
      <c r="P26" s="1" t="str">
        <f ca="1">IFERROR(__xludf.DUMMYFUNCTION("TEXTJOIN("", "", TRUE, FILTER(PokemonList!$C:$C, (PokemonList!$B:$B=""5★"") * (BYROW(PokemonList!$D:$D, LAMBDA(row, OR(INDEX(ISNUMBER(SEARCH(SPLIT(row, ""/""), N26)))))))))"),"#N/A")</f>
        <v>#N/A</v>
      </c>
      <c r="Q26" s="5"/>
    </row>
    <row r="27" spans="1:17">
      <c r="A27" s="24">
        <v>26</v>
      </c>
      <c r="B27" s="18" t="s">
        <v>94</v>
      </c>
      <c r="C27" s="5" t="s">
        <v>1424</v>
      </c>
      <c r="D27" s="5" t="s">
        <v>82</v>
      </c>
      <c r="E27" s="16">
        <v>48</v>
      </c>
      <c r="F27" s="16">
        <v>41</v>
      </c>
      <c r="G27" s="16">
        <v>40</v>
      </c>
      <c r="H27" s="5" t="s">
        <v>404</v>
      </c>
      <c r="I27" s="16">
        <v>39</v>
      </c>
      <c r="J27" s="15">
        <v>1</v>
      </c>
      <c r="K27" s="5" t="s">
        <v>1782</v>
      </c>
      <c r="L27" s="16">
        <f t="shared" si="0"/>
        <v>1560</v>
      </c>
      <c r="M27" s="17">
        <f t="shared" si="1"/>
        <v>32.5</v>
      </c>
      <c r="N27" s="5" t="s">
        <v>1910</v>
      </c>
      <c r="O27" s="5" t="str">
        <f ca="1">IFERROR(__xludf.DUMMYFUNCTION("TEXTJOIN("", "", TRUE, FILTER(PokemonList!$C:$C, (PokemonList!$B:$B=""6★"") * (BYROW(PokemonList!$D:$D, LAMBDA(row, OR(INDEX(ISNUMBER(SEARCH(SPLIT(row, ""/""), N27)))))))))"),"#N/A")</f>
        <v>#N/A</v>
      </c>
      <c r="P27" s="1" t="str">
        <f ca="1">IFERROR(__xludf.DUMMYFUNCTION("TEXTJOIN("", "", TRUE, FILTER(PokemonList!$C:$C, (PokemonList!$B:$B=""5★"") * (BYROW(PokemonList!$D:$D, LAMBDA(row, OR(INDEX(ISNUMBER(SEARCH(SPLIT(row, ""/""), N27)))))))))"),"#N/A")</f>
        <v>#N/A</v>
      </c>
      <c r="Q27" s="5"/>
    </row>
    <row r="28" spans="1:17">
      <c r="A28" s="24">
        <v>27</v>
      </c>
      <c r="B28" s="18" t="s">
        <v>97</v>
      </c>
      <c r="C28" s="5" t="s">
        <v>942</v>
      </c>
      <c r="D28" s="5" t="s">
        <v>82</v>
      </c>
      <c r="E28" s="16">
        <v>84</v>
      </c>
      <c r="F28" s="16">
        <v>74</v>
      </c>
      <c r="G28" s="16">
        <v>60</v>
      </c>
      <c r="H28" s="5" t="s">
        <v>327</v>
      </c>
      <c r="I28" s="16">
        <v>55</v>
      </c>
      <c r="J28" s="15">
        <v>1</v>
      </c>
      <c r="K28" s="5" t="s">
        <v>1782</v>
      </c>
      <c r="L28" s="16">
        <f t="shared" si="0"/>
        <v>3300</v>
      </c>
      <c r="M28" s="17">
        <f t="shared" si="1"/>
        <v>39.285714285714285</v>
      </c>
      <c r="N28" s="5" t="s">
        <v>1910</v>
      </c>
      <c r="O28" s="5" t="str">
        <f ca="1">IFERROR(__xludf.DUMMYFUNCTION("TEXTJOIN("", "", TRUE, FILTER(PokemonList!$C:$C, (PokemonList!$B:$B=""6★"") * (BYROW(PokemonList!$D:$D, LAMBDA(row, OR(INDEX(ISNUMBER(SEARCH(SPLIT(row, ""/""), N28)))))))))"),"#N/A")</f>
        <v>#N/A</v>
      </c>
      <c r="P28" s="1" t="str">
        <f ca="1">IFERROR(__xludf.DUMMYFUNCTION("TEXTJOIN("", "", TRUE, FILTER(PokemonList!$C:$C, (PokemonList!$B:$B=""5★"") * (BYROW(PokemonList!$D:$D, LAMBDA(row, OR(INDEX(ISNUMBER(SEARCH(SPLIT(row, ""/""), N28)))))))))"),"#N/A")</f>
        <v>#N/A</v>
      </c>
      <c r="Q28" s="5"/>
    </row>
    <row r="29" spans="1:17">
      <c r="A29" s="24">
        <v>28</v>
      </c>
      <c r="B29" s="5" t="s">
        <v>99</v>
      </c>
      <c r="C29" s="5" t="s">
        <v>487</v>
      </c>
      <c r="D29" s="5" t="s">
        <v>59</v>
      </c>
      <c r="E29" s="16">
        <v>48</v>
      </c>
      <c r="F29" s="16">
        <v>25</v>
      </c>
      <c r="G29" s="16">
        <v>40</v>
      </c>
      <c r="H29" s="5" t="s">
        <v>327</v>
      </c>
      <c r="I29" s="16">
        <v>40</v>
      </c>
      <c r="J29" s="15">
        <v>1</v>
      </c>
      <c r="K29" s="30" t="s">
        <v>1781</v>
      </c>
      <c r="L29" s="16">
        <f t="shared" si="0"/>
        <v>1600</v>
      </c>
      <c r="M29" s="17">
        <f t="shared" si="1"/>
        <v>33.333333333333336</v>
      </c>
      <c r="N29" s="5" t="s">
        <v>1910</v>
      </c>
      <c r="O29" s="5" t="str">
        <f ca="1">IFERROR(__xludf.DUMMYFUNCTION("TEXTJOIN("", "", TRUE, FILTER(PokemonList!$C:$C, (PokemonList!$B:$B=""6★"") * (BYROW(PokemonList!$D:$D, LAMBDA(row, OR(INDEX(ISNUMBER(SEARCH(SPLIT(row, ""/""), N29)))))))))"),"#N/A")</f>
        <v>#N/A</v>
      </c>
      <c r="P29" s="1" t="str">
        <f ca="1">IFERROR(__xludf.DUMMYFUNCTION("TEXTJOIN("", "", TRUE, FILTER(PokemonList!$C:$C, (PokemonList!$B:$B=""5★"") * (BYROW(PokemonList!$D:$D, LAMBDA(row, OR(INDEX(ISNUMBER(SEARCH(SPLIT(row, ""/""), N29)))))))))"),"#N/A")</f>
        <v>#N/A</v>
      </c>
      <c r="Q29" s="5"/>
    </row>
    <row r="30" spans="1:17">
      <c r="A30" s="24">
        <v>29</v>
      </c>
      <c r="B30" s="5" t="s">
        <v>169</v>
      </c>
      <c r="C30" s="5" t="s">
        <v>488</v>
      </c>
      <c r="D30" s="5" t="s">
        <v>59</v>
      </c>
      <c r="E30" s="16">
        <v>84</v>
      </c>
      <c r="F30" s="16">
        <v>46</v>
      </c>
      <c r="G30" s="16">
        <v>60</v>
      </c>
      <c r="H30" s="5" t="s">
        <v>327</v>
      </c>
      <c r="I30" s="16">
        <v>80</v>
      </c>
      <c r="J30" s="15">
        <v>1</v>
      </c>
      <c r="K30" s="5" t="s">
        <v>1781</v>
      </c>
      <c r="L30" s="16">
        <f t="shared" si="0"/>
        <v>4800</v>
      </c>
      <c r="M30" s="17">
        <f t="shared" si="1"/>
        <v>57.142857142857146</v>
      </c>
      <c r="N30" s="5" t="s">
        <v>1910</v>
      </c>
      <c r="O30" s="5" t="str">
        <f ca="1">IFERROR(__xludf.DUMMYFUNCTION("TEXTJOIN("", "", TRUE, FILTER(PokemonList!$C:$C, (PokemonList!$B:$B=""6★"") * (BYROW(PokemonList!$D:$D, LAMBDA(row, OR(INDEX(ISNUMBER(SEARCH(SPLIT(row, ""/""), N30)))))))))"),"#N/A")</f>
        <v>#N/A</v>
      </c>
      <c r="P30" s="1" t="str">
        <f ca="1">IFERROR(__xludf.DUMMYFUNCTION("TEXTJOIN("", "", TRUE, FILTER(PokemonList!$C:$C, (PokemonList!$B:$B=""5★"") * (BYROW(PokemonList!$D:$D, LAMBDA(row, OR(INDEX(ISNUMBER(SEARCH(SPLIT(row, ""/""), N30)))))))))"),"#N/A")</f>
        <v>#N/A</v>
      </c>
      <c r="Q30" s="5"/>
    </row>
    <row r="31" spans="1:17">
      <c r="A31" s="24">
        <v>30</v>
      </c>
      <c r="B31" s="5" t="s">
        <v>103</v>
      </c>
      <c r="C31" s="5" t="s">
        <v>491</v>
      </c>
      <c r="D31" s="5" t="s">
        <v>54</v>
      </c>
      <c r="E31" s="16">
        <v>48</v>
      </c>
      <c r="F31" s="16">
        <v>33</v>
      </c>
      <c r="G31" s="16">
        <v>40</v>
      </c>
      <c r="H31" s="5" t="s">
        <v>327</v>
      </c>
      <c r="I31" s="16">
        <v>33</v>
      </c>
      <c r="J31" s="15">
        <v>1</v>
      </c>
      <c r="K31" s="5" t="s">
        <v>1790</v>
      </c>
      <c r="L31" s="16">
        <f t="shared" si="0"/>
        <v>1320</v>
      </c>
      <c r="M31" s="17">
        <f t="shared" si="1"/>
        <v>27.5</v>
      </c>
      <c r="N31" s="5" t="s">
        <v>1910</v>
      </c>
      <c r="O31" s="5" t="str">
        <f ca="1">IFERROR(__xludf.DUMMYFUNCTION("TEXTJOIN("", "", TRUE, FILTER(PokemonList!$C:$C, (PokemonList!$B:$B=""6★"") * (BYROW(PokemonList!$D:$D, LAMBDA(row, OR(INDEX(ISNUMBER(SEARCH(SPLIT(row, ""/""), N31)))))))))"),"#N/A")</f>
        <v>#N/A</v>
      </c>
      <c r="P31" s="1" t="str">
        <f ca="1">IFERROR(__xludf.DUMMYFUNCTION("TEXTJOIN("", "", TRUE, FILTER(PokemonList!$C:$C, (PokemonList!$B:$B=""5★"") * (BYROW(PokemonList!$D:$D, LAMBDA(row, OR(INDEX(ISNUMBER(SEARCH(SPLIT(row, ""/""), N31)))))))))"),"#N/A")</f>
        <v>#N/A</v>
      </c>
      <c r="Q31" s="5"/>
    </row>
    <row r="32" spans="1:17">
      <c r="A32" s="24">
        <v>31</v>
      </c>
      <c r="B32" s="5" t="s">
        <v>105</v>
      </c>
      <c r="C32" s="5" t="s">
        <v>1487</v>
      </c>
      <c r="D32" s="5" t="s">
        <v>54</v>
      </c>
      <c r="E32" s="16">
        <v>84</v>
      </c>
      <c r="F32" s="16">
        <v>59</v>
      </c>
      <c r="G32" s="16">
        <v>60</v>
      </c>
      <c r="H32" s="5" t="s">
        <v>327</v>
      </c>
      <c r="I32" s="16">
        <v>59</v>
      </c>
      <c r="J32" s="15">
        <v>1</v>
      </c>
      <c r="K32" s="5" t="s">
        <v>1790</v>
      </c>
      <c r="L32" s="16">
        <f t="shared" si="0"/>
        <v>3540</v>
      </c>
      <c r="M32" s="17">
        <f t="shared" si="1"/>
        <v>42.142857142857146</v>
      </c>
      <c r="N32" s="5" t="s">
        <v>1910</v>
      </c>
      <c r="O32" s="5" t="str">
        <f ca="1">IFERROR(__xludf.DUMMYFUNCTION("TEXTJOIN("", "", TRUE, FILTER(PokemonList!$C:$C, (PokemonList!$B:$B=""6★"") * (BYROW(PokemonList!$D:$D, LAMBDA(row, OR(INDEX(ISNUMBER(SEARCH(SPLIT(row, ""/""), N32)))))))))"),"#N/A")</f>
        <v>#N/A</v>
      </c>
      <c r="P32" s="1" t="str">
        <f ca="1">IFERROR(__xludf.DUMMYFUNCTION("TEXTJOIN("", "", TRUE, FILTER(PokemonList!$C:$C, (PokemonList!$B:$B=""5★"") * (BYROW(PokemonList!$D:$D, LAMBDA(row, OR(INDEX(ISNUMBER(SEARCH(SPLIT(row, ""/""), N32)))))))))"),"#N/A")</f>
        <v>#N/A</v>
      </c>
      <c r="Q32" s="5"/>
    </row>
    <row r="33" spans="1:17">
      <c r="A33" s="24">
        <v>32</v>
      </c>
      <c r="B33" s="5" t="s">
        <v>107</v>
      </c>
      <c r="C33" s="5" t="s">
        <v>1575</v>
      </c>
      <c r="D33" s="5" t="s">
        <v>82</v>
      </c>
      <c r="E33" s="16">
        <v>42</v>
      </c>
      <c r="F33" s="16">
        <v>36</v>
      </c>
      <c r="G33" s="16">
        <v>40</v>
      </c>
      <c r="H33" s="5" t="s">
        <v>404</v>
      </c>
      <c r="I33" s="16">
        <v>36</v>
      </c>
      <c r="J33" s="15">
        <v>1</v>
      </c>
      <c r="K33" s="5" t="s">
        <v>1782</v>
      </c>
      <c r="L33" s="16">
        <f t="shared" si="0"/>
        <v>1440</v>
      </c>
      <c r="M33" s="17">
        <f t="shared" si="1"/>
        <v>34.285714285714285</v>
      </c>
      <c r="N33" s="5" t="s">
        <v>1910</v>
      </c>
      <c r="O33" s="5" t="str">
        <f ca="1">IFERROR(__xludf.DUMMYFUNCTION("TEXTJOIN("", "", TRUE, FILTER(PokemonList!$C:$C, (PokemonList!$B:$B=""6★"") * (BYROW(PokemonList!$D:$D, LAMBDA(row, OR(INDEX(ISNUMBER(SEARCH(SPLIT(row, ""/""), N33)))))))))"),"#N/A")</f>
        <v>#N/A</v>
      </c>
      <c r="P33" s="1" t="str">
        <f ca="1">IFERROR(__xludf.DUMMYFUNCTION("TEXTJOIN("", "", TRUE, FILTER(PokemonList!$C:$C, (PokemonList!$B:$B=""5★"") * (BYROW(PokemonList!$D:$D, LAMBDA(row, OR(INDEX(ISNUMBER(SEARCH(SPLIT(row, ""/""), N33)))))))))"),"#N/A")</f>
        <v>#N/A</v>
      </c>
      <c r="Q33" s="5"/>
    </row>
    <row r="34" spans="1:17">
      <c r="A34" s="24">
        <v>33</v>
      </c>
      <c r="B34" s="5" t="s">
        <v>109</v>
      </c>
      <c r="C34" s="5" t="s">
        <v>522</v>
      </c>
      <c r="D34" s="5" t="s">
        <v>82</v>
      </c>
      <c r="E34" s="16">
        <v>64</v>
      </c>
      <c r="F34" s="16">
        <v>53</v>
      </c>
      <c r="G34" s="16">
        <v>55</v>
      </c>
      <c r="H34" s="5" t="s">
        <v>404</v>
      </c>
      <c r="I34" s="16">
        <v>56</v>
      </c>
      <c r="J34" s="15">
        <v>0.95</v>
      </c>
      <c r="K34" s="5" t="s">
        <v>1782</v>
      </c>
      <c r="L34" s="16">
        <f t="shared" si="0"/>
        <v>3080</v>
      </c>
      <c r="M34" s="17">
        <f t="shared" si="1"/>
        <v>48.125</v>
      </c>
      <c r="N34" s="5" t="s">
        <v>1910</v>
      </c>
      <c r="O34" s="5" t="str">
        <f ca="1">IFERROR(__xludf.DUMMYFUNCTION("TEXTJOIN("", "", TRUE, FILTER(PokemonList!$C:$C, (PokemonList!$B:$B=""6★"") * (BYROW(PokemonList!$D:$D, LAMBDA(row, OR(INDEX(ISNUMBER(SEARCH(SPLIT(row, ""/""), N34)))))))))"),"#N/A")</f>
        <v>#N/A</v>
      </c>
      <c r="P34" s="1" t="str">
        <f ca="1">IFERROR(__xludf.DUMMYFUNCTION("TEXTJOIN("", "", TRUE, FILTER(PokemonList!$C:$C, (PokemonList!$B:$B=""5★"") * (BYROW(PokemonList!$D:$D, LAMBDA(row, OR(INDEX(ISNUMBER(SEARCH(SPLIT(row, ""/""), N34)))))))))"),"#N/A")</f>
        <v>#N/A</v>
      </c>
      <c r="Q34" s="5"/>
    </row>
    <row r="35" spans="1:17">
      <c r="A35" s="24">
        <v>34</v>
      </c>
      <c r="B35" s="5" t="s">
        <v>81</v>
      </c>
      <c r="C35" s="5" t="s">
        <v>1568</v>
      </c>
      <c r="D35" s="5" t="s">
        <v>82</v>
      </c>
      <c r="E35" s="16">
        <v>90</v>
      </c>
      <c r="F35" s="16">
        <v>66</v>
      </c>
      <c r="G35" s="16">
        <v>77.5</v>
      </c>
      <c r="H35" s="5" t="s">
        <v>404</v>
      </c>
      <c r="I35" s="16">
        <v>95</v>
      </c>
      <c r="J35" s="15">
        <v>1</v>
      </c>
      <c r="K35" s="5" t="s">
        <v>1782</v>
      </c>
      <c r="L35" s="16">
        <f t="shared" si="0"/>
        <v>7362.5</v>
      </c>
      <c r="M35" s="17">
        <f t="shared" si="1"/>
        <v>81.805555555555557</v>
      </c>
      <c r="N35" s="5" t="s">
        <v>1910</v>
      </c>
      <c r="O35" s="5" t="str">
        <f ca="1">IFERROR(__xludf.DUMMYFUNCTION("TEXTJOIN("", "", TRUE, FILTER(PokemonList!$C:$C, (PokemonList!$B:$B=""6★"") * (BYROW(PokemonList!$D:$D, LAMBDA(row, OR(INDEX(ISNUMBER(SEARCH(SPLIT(row, ""/""), N35)))))))))"),"#N/A")</f>
        <v>#N/A</v>
      </c>
      <c r="P35" s="1" t="str">
        <f ca="1">IFERROR(__xludf.DUMMYFUNCTION("TEXTJOIN("", "", TRUE, FILTER(PokemonList!$C:$C, (PokemonList!$B:$B=""5★"") * (BYROW(PokemonList!$D:$D, LAMBDA(row, OR(INDEX(ISNUMBER(SEARCH(SPLIT(row, ""/""), N35)))))))))"),"#N/A")</f>
        <v>#N/A</v>
      </c>
      <c r="Q35" s="5"/>
    </row>
    <row r="36" spans="1:17">
      <c r="A36" s="24">
        <v>35</v>
      </c>
      <c r="B36" s="5" t="s">
        <v>113</v>
      </c>
      <c r="C36" s="5" t="s">
        <v>487</v>
      </c>
      <c r="D36" s="5" t="s">
        <v>59</v>
      </c>
      <c r="E36" s="16">
        <v>42</v>
      </c>
      <c r="F36" s="16">
        <v>38</v>
      </c>
      <c r="G36" s="16">
        <v>40</v>
      </c>
      <c r="H36" s="5" t="s">
        <v>327</v>
      </c>
      <c r="I36" s="16">
        <v>24</v>
      </c>
      <c r="J36" s="15">
        <v>1</v>
      </c>
      <c r="K36" s="30" t="s">
        <v>1781</v>
      </c>
      <c r="L36" s="16">
        <f t="shared" si="0"/>
        <v>960</v>
      </c>
      <c r="M36" s="17">
        <f t="shared" si="1"/>
        <v>22.857142857142858</v>
      </c>
      <c r="N36" s="5" t="s">
        <v>1910</v>
      </c>
      <c r="O36" s="5" t="str">
        <f ca="1">IFERROR(__xludf.DUMMYFUNCTION("TEXTJOIN("", "", TRUE, FILTER(PokemonList!$C:$C, (PokemonList!$B:$B=""6★"") * (BYROW(PokemonList!$D:$D, LAMBDA(row, OR(INDEX(ISNUMBER(SEARCH(SPLIT(row, ""/""), N36)))))))))"),"#N/A")</f>
        <v>#N/A</v>
      </c>
      <c r="P36" s="1" t="str">
        <f ca="1">IFERROR(__xludf.DUMMYFUNCTION("TEXTJOIN("", "", TRUE, FILTER(PokemonList!$C:$C, (PokemonList!$B:$B=""5★"") * (BYROW(PokemonList!$D:$D, LAMBDA(row, OR(INDEX(ISNUMBER(SEARCH(SPLIT(row, ""/""), N36)))))))))"),"#N/A")</f>
        <v>#N/A</v>
      </c>
      <c r="Q36" s="5"/>
    </row>
    <row r="37" spans="1:17">
      <c r="A37" s="24">
        <v>36</v>
      </c>
      <c r="B37" s="5" t="s">
        <v>115</v>
      </c>
      <c r="C37" s="5" t="s">
        <v>1159</v>
      </c>
      <c r="D37" s="5" t="s">
        <v>59</v>
      </c>
      <c r="E37" s="16">
        <v>64</v>
      </c>
      <c r="F37" s="16">
        <v>61</v>
      </c>
      <c r="G37" s="16">
        <v>50</v>
      </c>
      <c r="H37" s="5" t="s">
        <v>404</v>
      </c>
      <c r="I37" s="16">
        <v>56</v>
      </c>
      <c r="J37" s="15">
        <v>1</v>
      </c>
      <c r="K37" s="30" t="s">
        <v>1781</v>
      </c>
      <c r="L37" s="16">
        <f t="shared" si="0"/>
        <v>2800</v>
      </c>
      <c r="M37" s="17">
        <f t="shared" si="1"/>
        <v>43.75</v>
      </c>
      <c r="N37" s="5" t="s">
        <v>1910</v>
      </c>
      <c r="O37" s="5" t="str">
        <f ca="1">IFERROR(__xludf.DUMMYFUNCTION("TEXTJOIN("", "", TRUE, FILTER(PokemonList!$C:$C, (PokemonList!$B:$B=""6★"") * (BYROW(PokemonList!$D:$D, LAMBDA(row, OR(INDEX(ISNUMBER(SEARCH(SPLIT(row, ""/""), N37)))))))))"),"#N/A")</f>
        <v>#N/A</v>
      </c>
      <c r="P37" s="1" t="str">
        <f ca="1">IFERROR(__xludf.DUMMYFUNCTION("TEXTJOIN("", "", TRUE, FILTER(PokemonList!$C:$C, (PokemonList!$B:$B=""5★"") * (BYROW(PokemonList!$D:$D, LAMBDA(row, OR(INDEX(ISNUMBER(SEARCH(SPLIT(row, ""/""), N37)))))))))"),"#N/A")</f>
        <v>#N/A</v>
      </c>
      <c r="Q37" s="5"/>
    </row>
    <row r="38" spans="1:17">
      <c r="A38" s="24">
        <v>37</v>
      </c>
      <c r="B38" s="5" t="s">
        <v>84</v>
      </c>
      <c r="C38" s="5" t="s">
        <v>1570</v>
      </c>
      <c r="D38" s="5" t="s">
        <v>59</v>
      </c>
      <c r="E38" s="16">
        <v>90</v>
      </c>
      <c r="F38" s="16">
        <v>90</v>
      </c>
      <c r="G38" s="16">
        <v>85</v>
      </c>
      <c r="H38" s="5" t="s">
        <v>404</v>
      </c>
      <c r="I38" s="16">
        <v>88</v>
      </c>
      <c r="J38" s="15">
        <v>0.9</v>
      </c>
      <c r="K38" s="30" t="s">
        <v>1781</v>
      </c>
      <c r="L38" s="16">
        <f t="shared" si="0"/>
        <v>7480</v>
      </c>
      <c r="M38" s="17">
        <f t="shared" si="1"/>
        <v>83.111111111111114</v>
      </c>
      <c r="N38" s="5" t="s">
        <v>1910</v>
      </c>
      <c r="O38" s="5" t="str">
        <f ca="1">IFERROR(__xludf.DUMMYFUNCTION("TEXTJOIN("", "", TRUE, FILTER(PokemonList!$C:$C, (PokemonList!$B:$B=""6★"") * (BYROW(PokemonList!$D:$D, LAMBDA(row, OR(INDEX(ISNUMBER(SEARCH(SPLIT(row, ""/""), N38)))))))))"),"#N/A")</f>
        <v>#N/A</v>
      </c>
      <c r="P38" s="1" t="str">
        <f ca="1">IFERROR(__xludf.DUMMYFUNCTION("TEXTJOIN("", "", TRUE, FILTER(PokemonList!$C:$C, (PokemonList!$B:$B=""5★"") * (BYROW(PokemonList!$D:$D, LAMBDA(row, OR(INDEX(ISNUMBER(SEARCH(SPLIT(row, ""/""), N38)))))))))"),"#N/A")</f>
        <v>#N/A</v>
      </c>
      <c r="Q38" s="5"/>
    </row>
    <row r="39" spans="1:17">
      <c r="A39" s="24">
        <v>38</v>
      </c>
      <c r="B39" s="5" t="s">
        <v>118</v>
      </c>
      <c r="C39" s="5" t="s">
        <v>491</v>
      </c>
      <c r="D39" s="5" t="s">
        <v>54</v>
      </c>
      <c r="E39" s="16">
        <v>42</v>
      </c>
      <c r="F39" s="16">
        <v>39</v>
      </c>
      <c r="G39" s="16">
        <v>40</v>
      </c>
      <c r="H39" s="5" t="s">
        <v>327</v>
      </c>
      <c r="I39" s="16">
        <v>39</v>
      </c>
      <c r="J39" s="15">
        <v>1</v>
      </c>
      <c r="K39" s="5" t="s">
        <v>1790</v>
      </c>
      <c r="L39" s="16">
        <f t="shared" si="0"/>
        <v>1560</v>
      </c>
      <c r="M39" s="17">
        <f t="shared" si="1"/>
        <v>37.142857142857146</v>
      </c>
      <c r="N39" s="5" t="s">
        <v>1910</v>
      </c>
      <c r="O39" s="5" t="str">
        <f ca="1">IFERROR(__xludf.DUMMYFUNCTION("TEXTJOIN("", "", TRUE, FILTER(PokemonList!$C:$C, (PokemonList!$B:$B=""6★"") * (BYROW(PokemonList!$D:$D, LAMBDA(row, OR(INDEX(ISNUMBER(SEARCH(SPLIT(row, ""/""), N39)))))))))"),"#N/A")</f>
        <v>#N/A</v>
      </c>
      <c r="P39" s="1" t="str">
        <f ca="1">IFERROR(__xludf.DUMMYFUNCTION("TEXTJOIN("", "", TRUE, FILTER(PokemonList!$C:$C, (PokemonList!$B:$B=""5★"") * (BYROW(PokemonList!$D:$D, LAMBDA(row, OR(INDEX(ISNUMBER(SEARCH(SPLIT(row, ""/""), N39)))))))))"),"#N/A")</f>
        <v>#N/A</v>
      </c>
      <c r="Q39" s="5"/>
    </row>
    <row r="40" spans="1:17">
      <c r="A40" s="24">
        <v>39</v>
      </c>
      <c r="B40" s="5" t="s">
        <v>120</v>
      </c>
      <c r="C40" s="5" t="s">
        <v>952</v>
      </c>
      <c r="D40" s="5" t="s">
        <v>54</v>
      </c>
      <c r="E40" s="16">
        <v>64</v>
      </c>
      <c r="F40" s="16">
        <v>59</v>
      </c>
      <c r="G40" s="16">
        <v>60</v>
      </c>
      <c r="H40" s="5" t="s">
        <v>327</v>
      </c>
      <c r="I40" s="16">
        <v>62</v>
      </c>
      <c r="J40" s="15">
        <v>1</v>
      </c>
      <c r="K40" s="5" t="s">
        <v>1790</v>
      </c>
      <c r="L40" s="16">
        <f t="shared" si="0"/>
        <v>3720</v>
      </c>
      <c r="M40" s="17">
        <f t="shared" si="1"/>
        <v>58.125</v>
      </c>
      <c r="N40" s="5" t="s">
        <v>1910</v>
      </c>
      <c r="O40" s="5" t="str">
        <f ca="1">IFERROR(__xludf.DUMMYFUNCTION("TEXTJOIN("", "", TRUE, FILTER(PokemonList!$C:$C, (PokemonList!$B:$B=""6★"") * (BYROW(PokemonList!$D:$D, LAMBDA(row, OR(INDEX(ISNUMBER(SEARCH(SPLIT(row, ""/""), N40)))))))))"),"#N/A")</f>
        <v>#N/A</v>
      </c>
      <c r="P40" s="1" t="str">
        <f ca="1">IFERROR(__xludf.DUMMYFUNCTION("TEXTJOIN("", "", TRUE, FILTER(PokemonList!$C:$C, (PokemonList!$B:$B=""5★"") * (BYROW(PokemonList!$D:$D, LAMBDA(row, OR(INDEX(ISNUMBER(SEARCH(SPLIT(row, ""/""), N40)))))))))"),"#N/A")</f>
        <v>#N/A</v>
      </c>
      <c r="Q40" s="5"/>
    </row>
    <row r="41" spans="1:17">
      <c r="A41" s="24">
        <v>40</v>
      </c>
      <c r="B41" s="5" t="s">
        <v>23</v>
      </c>
      <c r="C41" s="5" t="s">
        <v>1530</v>
      </c>
      <c r="D41" s="5" t="s">
        <v>54</v>
      </c>
      <c r="E41" s="16">
        <v>90</v>
      </c>
      <c r="F41" s="16">
        <v>91</v>
      </c>
      <c r="G41" s="16">
        <v>80</v>
      </c>
      <c r="H41" s="5" t="s">
        <v>404</v>
      </c>
      <c r="I41" s="16">
        <v>66</v>
      </c>
      <c r="J41" s="15">
        <v>1</v>
      </c>
      <c r="K41" s="5" t="s">
        <v>1790</v>
      </c>
      <c r="L41" s="16">
        <f t="shared" si="0"/>
        <v>5280</v>
      </c>
      <c r="M41" s="17">
        <f t="shared" si="1"/>
        <v>58.666666666666664</v>
      </c>
      <c r="N41" s="5" t="s">
        <v>1910</v>
      </c>
      <c r="O41" s="5" t="str">
        <f ca="1">IFERROR(__xludf.DUMMYFUNCTION("TEXTJOIN("", "", TRUE, FILTER(PokemonList!$C:$C, (PokemonList!$B:$B=""6★"") * (BYROW(PokemonList!$D:$D, LAMBDA(row, OR(INDEX(ISNUMBER(SEARCH(SPLIT(row, ""/""), N41)))))))))"),"#N/A")</f>
        <v>#N/A</v>
      </c>
      <c r="P41" s="1" t="str">
        <f ca="1">IFERROR(__xludf.DUMMYFUNCTION("TEXTJOIN("", "", TRUE, FILTER(PokemonList!$C:$C, (PokemonList!$B:$B=""5★"") * (BYROW(PokemonList!$D:$D, LAMBDA(row, OR(INDEX(ISNUMBER(SEARCH(SPLIT(row, ""/""), N41)))))))))"),"#N/A")</f>
        <v>#N/A</v>
      </c>
      <c r="Q41" s="5"/>
    </row>
    <row r="42" spans="1:17">
      <c r="A42" s="24">
        <v>41</v>
      </c>
      <c r="B42" s="5" t="s">
        <v>123</v>
      </c>
      <c r="C42" s="5" t="s">
        <v>1354</v>
      </c>
      <c r="D42" s="5" t="s">
        <v>76</v>
      </c>
      <c r="E42" s="16">
        <v>52</v>
      </c>
      <c r="F42" s="16">
        <v>55</v>
      </c>
      <c r="G42" s="16">
        <v>40</v>
      </c>
      <c r="H42" s="5" t="s">
        <v>327</v>
      </c>
      <c r="I42" s="16">
        <v>44</v>
      </c>
      <c r="J42" s="15">
        <v>1</v>
      </c>
      <c r="K42" s="5" t="s">
        <v>1797</v>
      </c>
      <c r="L42" s="16">
        <f t="shared" si="0"/>
        <v>1760</v>
      </c>
      <c r="M42" s="17">
        <f t="shared" si="1"/>
        <v>33.846153846153847</v>
      </c>
      <c r="N42" s="5" t="s">
        <v>1910</v>
      </c>
      <c r="O42" s="5" t="str">
        <f ca="1">IFERROR(__xludf.DUMMYFUNCTION("TEXTJOIN("", "", TRUE, FILTER(PokemonList!$C:$C, (PokemonList!$B:$B=""6★"") * (BYROW(PokemonList!$D:$D, LAMBDA(row, OR(INDEX(ISNUMBER(SEARCH(SPLIT(row, ""/""), N42)))))))))"),"#N/A")</f>
        <v>#N/A</v>
      </c>
      <c r="P42" s="1" t="str">
        <f ca="1">IFERROR(__xludf.DUMMYFUNCTION("TEXTJOIN("", "", TRUE, FILTER(PokemonList!$C:$C, (PokemonList!$B:$B=""5★"") * (BYROW(PokemonList!$D:$D, LAMBDA(row, OR(INDEX(ISNUMBER(SEARCH(SPLIT(row, ""/""), N42)))))))))"),"#N/A")</f>
        <v>#N/A</v>
      </c>
      <c r="Q42" s="5"/>
    </row>
    <row r="43" spans="1:17">
      <c r="A43" s="24">
        <v>42</v>
      </c>
      <c r="B43" s="5" t="s">
        <v>5</v>
      </c>
      <c r="C43" s="5" t="s">
        <v>536</v>
      </c>
      <c r="D43" s="5" t="s">
        <v>76</v>
      </c>
      <c r="E43" s="16">
        <v>60</v>
      </c>
      <c r="F43" s="16">
        <v>70</v>
      </c>
      <c r="G43" s="16">
        <v>65</v>
      </c>
      <c r="H43" s="5" t="s">
        <v>404</v>
      </c>
      <c r="I43" s="16">
        <v>44</v>
      </c>
      <c r="J43" s="15">
        <v>1</v>
      </c>
      <c r="K43" s="5" t="s">
        <v>1779</v>
      </c>
      <c r="L43" s="16">
        <f t="shared" si="0"/>
        <v>2860</v>
      </c>
      <c r="M43" s="17">
        <f t="shared" si="1"/>
        <v>47.666666666666664</v>
      </c>
      <c r="N43" s="5" t="s">
        <v>1910</v>
      </c>
      <c r="O43" s="5" t="str">
        <f ca="1">IFERROR(__xludf.DUMMYFUNCTION("TEXTJOIN("", "", TRUE, FILTER(PokemonList!$C:$C, (PokemonList!$B:$B=""6★"") * (BYROW(PokemonList!$D:$D, LAMBDA(row, OR(INDEX(ISNUMBER(SEARCH(SPLIT(row, ""/""), N43)))))))))"),"#N/A")</f>
        <v>#N/A</v>
      </c>
      <c r="P43" s="1" t="str">
        <f ca="1">IFERROR(__xludf.DUMMYFUNCTION("TEXTJOIN("", "", TRUE, FILTER(PokemonList!$C:$C, (PokemonList!$B:$B=""5★"") * (BYROW(PokemonList!$D:$D, LAMBDA(row, OR(INDEX(ISNUMBER(SEARCH(SPLIT(row, ""/""), N43)))))))))"),"#N/A")</f>
        <v>#N/A</v>
      </c>
      <c r="Q43" s="5"/>
    </row>
    <row r="44" spans="1:17">
      <c r="A44" s="24">
        <v>43</v>
      </c>
      <c r="B44" s="5" t="s">
        <v>15</v>
      </c>
      <c r="C44" s="5" t="s">
        <v>538</v>
      </c>
      <c r="D44" s="5" t="s">
        <v>76</v>
      </c>
      <c r="E44" s="16">
        <v>84</v>
      </c>
      <c r="F44" s="16">
        <v>84</v>
      </c>
      <c r="G44" s="16">
        <v>110</v>
      </c>
      <c r="H44" s="5" t="s">
        <v>327</v>
      </c>
      <c r="I44" s="16">
        <v>69</v>
      </c>
      <c r="J44" s="15">
        <v>0.7</v>
      </c>
      <c r="K44" s="5" t="s">
        <v>1779</v>
      </c>
      <c r="L44" s="16">
        <f t="shared" si="0"/>
        <v>7590</v>
      </c>
      <c r="M44" s="17">
        <f t="shared" si="1"/>
        <v>90.357142857142861</v>
      </c>
      <c r="N44" s="5" t="s">
        <v>1910</v>
      </c>
      <c r="O44" s="5" t="str">
        <f ca="1">IFERROR(__xludf.DUMMYFUNCTION("TEXTJOIN("", "", TRUE, FILTER(PokemonList!$C:$C, (PokemonList!$B:$B=""6★"") * (BYROW(PokemonList!$D:$D, LAMBDA(row, OR(INDEX(ISNUMBER(SEARCH(SPLIT(row, ""/""), N44)))))))))"),"#N/A")</f>
        <v>#N/A</v>
      </c>
      <c r="P44" s="1" t="str">
        <f ca="1">IFERROR(__xludf.DUMMYFUNCTION("TEXTJOIN("", "", TRUE, FILTER(PokemonList!$C:$C, (PokemonList!$B:$B=""5★"") * (BYROW(PokemonList!$D:$D, LAMBDA(row, OR(INDEX(ISNUMBER(SEARCH(SPLIT(row, ""/""), N44)))))))))"),"#N/A")</f>
        <v>#N/A</v>
      </c>
      <c r="Q44" s="5"/>
    </row>
    <row r="45" spans="1:17">
      <c r="A45" s="24">
        <v>44</v>
      </c>
      <c r="B45" s="5" t="s">
        <v>128</v>
      </c>
      <c r="C45" s="5" t="s">
        <v>603</v>
      </c>
      <c r="D45" s="5" t="s">
        <v>129</v>
      </c>
      <c r="E45" s="16">
        <v>60</v>
      </c>
      <c r="F45" s="16">
        <v>44</v>
      </c>
      <c r="G45" s="16">
        <v>60</v>
      </c>
      <c r="H45" s="5" t="s">
        <v>327</v>
      </c>
      <c r="I45" s="16">
        <v>37</v>
      </c>
      <c r="J45" s="15">
        <v>1</v>
      </c>
      <c r="K45" s="5" t="s">
        <v>363</v>
      </c>
      <c r="L45" s="16">
        <f t="shared" si="0"/>
        <v>2220</v>
      </c>
      <c r="M45" s="17">
        <f t="shared" si="1"/>
        <v>37</v>
      </c>
      <c r="N45" s="5" t="s">
        <v>1910</v>
      </c>
      <c r="O45" s="5" t="str">
        <f ca="1">IFERROR(__xludf.DUMMYFUNCTION("TEXTJOIN("", "", TRUE, FILTER(PokemonList!$C:$C, (PokemonList!$B:$B=""6★"") * (BYROW(PokemonList!$D:$D, LAMBDA(row, OR(INDEX(ISNUMBER(SEARCH(SPLIT(row, ""/""), N45)))))))))"),"#N/A")</f>
        <v>#N/A</v>
      </c>
      <c r="P45" s="1" t="str">
        <f ca="1">IFERROR(__xludf.DUMMYFUNCTION("TEXTJOIN("", "", TRUE, FILTER(PokemonList!$C:$C, (PokemonList!$B:$B=""5★"") * (BYROW(PokemonList!$D:$D, LAMBDA(row, OR(INDEX(ISNUMBER(SEARCH(SPLIT(row, ""/""), N45)))))))))"),"#N/A")</f>
        <v>#N/A</v>
      </c>
      <c r="Q45" s="5"/>
    </row>
    <row r="46" spans="1:17">
      <c r="A46" s="24">
        <v>45</v>
      </c>
      <c r="B46" s="5" t="s">
        <v>131</v>
      </c>
      <c r="C46" s="5" t="s">
        <v>538</v>
      </c>
      <c r="D46" s="5" t="s">
        <v>76</v>
      </c>
      <c r="E46" s="16">
        <v>90</v>
      </c>
      <c r="F46" s="16">
        <v>99</v>
      </c>
      <c r="G46" s="16">
        <v>110</v>
      </c>
      <c r="H46" s="5" t="s">
        <v>327</v>
      </c>
      <c r="I46" s="16">
        <v>84</v>
      </c>
      <c r="J46" s="15">
        <v>0.7</v>
      </c>
      <c r="K46" s="5" t="s">
        <v>1779</v>
      </c>
      <c r="L46" s="16">
        <f t="shared" si="0"/>
        <v>9240</v>
      </c>
      <c r="M46" s="17">
        <f t="shared" si="1"/>
        <v>102.66666666666667</v>
      </c>
      <c r="N46" s="5" t="s">
        <v>1910</v>
      </c>
      <c r="O46" s="5" t="str">
        <f ca="1">IFERROR(__xludf.DUMMYFUNCTION("TEXTJOIN("", "", TRUE, FILTER(PokemonList!$C:$C, (PokemonList!$B:$B=""6★"") * (BYROW(PokemonList!$D:$D, LAMBDA(row, OR(INDEX(ISNUMBER(SEARCH(SPLIT(row, ""/""), N46)))))))))"),"#N/A")</f>
        <v>#N/A</v>
      </c>
      <c r="P46" s="1" t="str">
        <f ca="1">IFERROR(__xludf.DUMMYFUNCTION("TEXTJOIN("", "", TRUE, FILTER(PokemonList!$C:$C, (PokemonList!$B:$B=""5★"") * (BYROW(PokemonList!$D:$D, LAMBDA(row, OR(INDEX(ISNUMBER(SEARCH(SPLIT(row, ""/""), N46)))))))))"),"#N/A")</f>
        <v>#N/A</v>
      </c>
      <c r="Q46" s="5"/>
    </row>
    <row r="47" spans="1:17">
      <c r="A47" s="24">
        <v>46</v>
      </c>
      <c r="B47" s="5" t="s">
        <v>133</v>
      </c>
      <c r="C47" s="5" t="s">
        <v>32</v>
      </c>
      <c r="D47" s="5" t="s">
        <v>32</v>
      </c>
      <c r="E47" s="16">
        <v>92</v>
      </c>
      <c r="F47" s="16">
        <v>86</v>
      </c>
      <c r="G47" s="16">
        <v>65</v>
      </c>
      <c r="H47" s="5" t="s">
        <v>327</v>
      </c>
      <c r="I47" s="16">
        <v>101</v>
      </c>
      <c r="J47" s="15">
        <v>1</v>
      </c>
      <c r="K47" s="5" t="s">
        <v>333</v>
      </c>
      <c r="L47" s="16">
        <f t="shared" si="0"/>
        <v>6565</v>
      </c>
      <c r="M47" s="17">
        <f t="shared" si="1"/>
        <v>71.358695652173907</v>
      </c>
      <c r="N47" s="5" t="s">
        <v>1910</v>
      </c>
      <c r="O47" s="5" t="str">
        <f ca="1">IFERROR(__xludf.DUMMYFUNCTION("TEXTJOIN("", "", TRUE, FILTER(PokemonList!$C:$C, (PokemonList!$B:$B=""6★"") * (BYROW(PokemonList!$D:$D, LAMBDA(row, OR(INDEX(ISNUMBER(SEARCH(SPLIT(row, ""/""), N47)))))))))"),"#N/A")</f>
        <v>#N/A</v>
      </c>
      <c r="P47" s="1" t="str">
        <f ca="1">IFERROR(__xludf.DUMMYFUNCTION("TEXTJOIN("", "", TRUE, FILTER(PokemonList!$C:$C, (PokemonList!$B:$B=""5★"") * (BYROW(PokemonList!$D:$D, LAMBDA(row, OR(INDEX(ISNUMBER(SEARCH(SPLIT(row, ""/""), N47)))))))))"),"#N/A")</f>
        <v>#N/A</v>
      </c>
      <c r="Q47" s="5"/>
    </row>
    <row r="48" spans="1:17">
      <c r="A48" s="24">
        <v>47</v>
      </c>
      <c r="B48" s="5" t="s">
        <v>135</v>
      </c>
      <c r="C48" s="5" t="s">
        <v>522</v>
      </c>
      <c r="D48" s="5" t="s">
        <v>82</v>
      </c>
      <c r="E48" s="16">
        <v>94</v>
      </c>
      <c r="F48" s="16">
        <v>77</v>
      </c>
      <c r="G48" s="16">
        <v>55</v>
      </c>
      <c r="H48" s="5" t="s">
        <v>404</v>
      </c>
      <c r="I48" s="16">
        <v>88</v>
      </c>
      <c r="J48" s="15">
        <v>0.95</v>
      </c>
      <c r="K48" s="5" t="s">
        <v>1782</v>
      </c>
      <c r="L48" s="16">
        <f t="shared" si="0"/>
        <v>4840</v>
      </c>
      <c r="M48" s="17">
        <f t="shared" si="1"/>
        <v>51.48936170212766</v>
      </c>
      <c r="N48" s="5" t="s">
        <v>1910</v>
      </c>
      <c r="O48" s="5" t="str">
        <f ca="1">IFERROR(__xludf.DUMMYFUNCTION("TEXTJOIN("", "", TRUE, FILTER(PokemonList!$C:$C, (PokemonList!$B:$B=""6★"") * (BYROW(PokemonList!$D:$D, LAMBDA(row, OR(INDEX(ISNUMBER(SEARCH(SPLIT(row, ""/""), N48)))))))))"),"#N/A")</f>
        <v>#N/A</v>
      </c>
      <c r="P48" s="1" t="str">
        <f ca="1">IFERROR(__xludf.DUMMYFUNCTION("TEXTJOIN("", "", TRUE, FILTER(PokemonList!$C:$C, (PokemonList!$B:$B=""5★"") * (BYROW(PokemonList!$D:$D, LAMBDA(row, OR(INDEX(ISNUMBER(SEARCH(SPLIT(row, ""/""), N48)))))))))"),"#N/A")</f>
        <v>#N/A</v>
      </c>
      <c r="Q48" s="5"/>
    </row>
    <row r="49" spans="1:17">
      <c r="A49" s="24">
        <v>48</v>
      </c>
      <c r="B49" s="5" t="s">
        <v>137</v>
      </c>
      <c r="C49" s="5" t="s">
        <v>1315</v>
      </c>
      <c r="D49" s="5" t="s">
        <v>138</v>
      </c>
      <c r="E49" s="16">
        <v>96</v>
      </c>
      <c r="F49" s="16">
        <v>51</v>
      </c>
      <c r="G49" s="16">
        <v>80</v>
      </c>
      <c r="H49" s="5" t="s">
        <v>327</v>
      </c>
      <c r="I49" s="16">
        <v>90</v>
      </c>
      <c r="J49" s="15">
        <v>1</v>
      </c>
      <c r="K49" s="5" t="s">
        <v>335</v>
      </c>
      <c r="L49" s="16">
        <f t="shared" si="0"/>
        <v>7200</v>
      </c>
      <c r="M49" s="17">
        <f t="shared" si="1"/>
        <v>75</v>
      </c>
      <c r="N49" s="5" t="s">
        <v>1910</v>
      </c>
      <c r="O49" s="5" t="str">
        <f ca="1">IFERROR(__xludf.DUMMYFUNCTION("TEXTJOIN("", "", TRUE, FILTER(PokemonList!$C:$C, (PokemonList!$B:$B=""6★"") * (BYROW(PokemonList!$D:$D, LAMBDA(row, OR(INDEX(ISNUMBER(SEARCH(SPLIT(row, ""/""), N49)))))))))"),"#N/A")</f>
        <v>#N/A</v>
      </c>
      <c r="P49" s="1" t="str">
        <f ca="1">IFERROR(__xludf.DUMMYFUNCTION("TEXTJOIN("", "", TRUE, FILTER(PokemonList!$C:$C, (PokemonList!$B:$B=""5★"") * (BYROW(PokemonList!$D:$D, LAMBDA(row, OR(INDEX(ISNUMBER(SEARCH(SPLIT(row, ""/""), N49)))))))))"),"#N/A")</f>
        <v>#N/A</v>
      </c>
      <c r="Q49" s="5"/>
    </row>
    <row r="50" spans="1:17">
      <c r="A50" s="24">
        <v>49</v>
      </c>
      <c r="B50" s="5" t="s">
        <v>140</v>
      </c>
      <c r="C50" s="5" t="s">
        <v>763</v>
      </c>
      <c r="D50" s="5" t="s">
        <v>62</v>
      </c>
      <c r="E50" s="16">
        <v>66</v>
      </c>
      <c r="F50" s="16">
        <v>76</v>
      </c>
      <c r="G50" s="16">
        <v>50</v>
      </c>
      <c r="H50" s="5" t="s">
        <v>404</v>
      </c>
      <c r="I50" s="16">
        <v>63</v>
      </c>
      <c r="J50" s="15">
        <v>1</v>
      </c>
      <c r="K50" s="5" t="s">
        <v>1784</v>
      </c>
      <c r="L50" s="16">
        <f t="shared" si="0"/>
        <v>3150</v>
      </c>
      <c r="M50" s="17">
        <f t="shared" si="1"/>
        <v>47.727272727272727</v>
      </c>
      <c r="N50" s="5" t="s">
        <v>1910</v>
      </c>
      <c r="O50" s="5" t="str">
        <f ca="1">IFERROR(__xludf.DUMMYFUNCTION("TEXTJOIN("", "", TRUE, FILTER(PokemonList!$C:$C, (PokemonList!$B:$B=""6★"") * (BYROW(PokemonList!$D:$D, LAMBDA(row, OR(INDEX(ISNUMBER(SEARCH(SPLIT(row, ""/""), N50)))))))))"),"#N/A")</f>
        <v>#N/A</v>
      </c>
      <c r="P50" s="1" t="str">
        <f ca="1">IFERROR(__xludf.DUMMYFUNCTION("TEXTJOIN("", "", TRUE, FILTER(PokemonList!$C:$C, (PokemonList!$B:$B=""5★"") * (BYROW(PokemonList!$D:$D, LAMBDA(row, OR(INDEX(ISNUMBER(SEARCH(SPLIT(row, ""/""), N50)))))))))"),"#N/A")</f>
        <v>#N/A</v>
      </c>
      <c r="Q50" s="5" t="s">
        <v>1794</v>
      </c>
    </row>
    <row r="51" spans="1:17">
      <c r="A51" s="24">
        <v>50</v>
      </c>
      <c r="B51" s="5" t="s">
        <v>143</v>
      </c>
      <c r="C51" s="5" t="s">
        <v>1038</v>
      </c>
      <c r="D51" s="5" t="s">
        <v>62</v>
      </c>
      <c r="E51" s="16">
        <v>90</v>
      </c>
      <c r="F51" s="16">
        <v>97</v>
      </c>
      <c r="G51" s="16">
        <v>70</v>
      </c>
      <c r="H51" s="5" t="s">
        <v>404</v>
      </c>
      <c r="I51" s="16">
        <v>93</v>
      </c>
      <c r="J51" s="15">
        <v>1</v>
      </c>
      <c r="K51" s="5" t="s">
        <v>1784</v>
      </c>
      <c r="L51" s="16">
        <f t="shared" si="0"/>
        <v>6510</v>
      </c>
      <c r="M51" s="17">
        <f t="shared" si="1"/>
        <v>72.333333333333329</v>
      </c>
      <c r="N51" s="5" t="s">
        <v>1910</v>
      </c>
      <c r="O51" s="5" t="str">
        <f ca="1">IFERROR(__xludf.DUMMYFUNCTION("TEXTJOIN("", "", TRUE, FILTER(PokemonList!$C:$C, (PokemonList!$B:$B=""6★"") * (BYROW(PokemonList!$D:$D, LAMBDA(row, OR(INDEX(ISNUMBER(SEARCH(SPLIT(row, ""/""), N51)))))))))"),"#N/A")</f>
        <v>#N/A</v>
      </c>
      <c r="P51" s="1" t="str">
        <f ca="1">IFERROR(__xludf.DUMMYFUNCTION("TEXTJOIN("", "", TRUE, FILTER(PokemonList!$C:$C, (PokemonList!$B:$B=""5★"") * (BYROW(PokemonList!$D:$D, LAMBDA(row, OR(INDEX(ISNUMBER(SEARCH(SPLIT(row, ""/""), N51)))))))))"),"#N/A")</f>
        <v>#N/A</v>
      </c>
      <c r="Q51" s="5" t="s">
        <v>1785</v>
      </c>
    </row>
    <row r="52" spans="1:17">
      <c r="A52" s="24">
        <v>51</v>
      </c>
      <c r="B52" s="5" t="s">
        <v>145</v>
      </c>
      <c r="C52" s="5" t="s">
        <v>1749</v>
      </c>
      <c r="D52" s="5" t="s">
        <v>363</v>
      </c>
      <c r="E52" s="16">
        <v>42</v>
      </c>
      <c r="F52" s="16">
        <v>22</v>
      </c>
      <c r="G52" s="16">
        <v>30</v>
      </c>
      <c r="H52" s="5" t="s">
        <v>404</v>
      </c>
      <c r="I52" s="16">
        <v>42</v>
      </c>
      <c r="J52" s="15">
        <v>1</v>
      </c>
      <c r="K52" s="30" t="s">
        <v>1786</v>
      </c>
      <c r="L52" s="16">
        <f t="shared" si="0"/>
        <v>1260</v>
      </c>
      <c r="M52" s="17">
        <f t="shared" si="1"/>
        <v>30</v>
      </c>
      <c r="N52" s="5" t="s">
        <v>1910</v>
      </c>
      <c r="O52" s="5" t="str">
        <f ca="1">IFERROR(__xludf.DUMMYFUNCTION("TEXTJOIN("", "", TRUE, FILTER(PokemonList!$C:$C, (PokemonList!$B:$B=""6★"") * (BYROW(PokemonList!$D:$D, LAMBDA(row, OR(INDEX(ISNUMBER(SEARCH(SPLIT(row, ""/""), N52)))))))))"),"#N/A")</f>
        <v>#N/A</v>
      </c>
      <c r="P52" s="1" t="str">
        <f ca="1">IFERROR(__xludf.DUMMYFUNCTION("TEXTJOIN("", "", TRUE, FILTER(PokemonList!$C:$C, (PokemonList!$B:$B=""5★"") * (BYROW(PokemonList!$D:$D, LAMBDA(row, OR(INDEX(ISNUMBER(SEARCH(SPLIT(row, ""/""), N52)))))))))"),"#N/A")</f>
        <v>#N/A</v>
      </c>
      <c r="Q52" s="5"/>
    </row>
    <row r="53" spans="1:17">
      <c r="A53" s="24">
        <v>52</v>
      </c>
      <c r="B53" s="5" t="s">
        <v>16</v>
      </c>
      <c r="C53" s="5" t="s">
        <v>1420</v>
      </c>
      <c r="D53" s="5" t="s">
        <v>363</v>
      </c>
      <c r="E53" s="16">
        <v>72</v>
      </c>
      <c r="F53" s="16">
        <v>39</v>
      </c>
      <c r="G53" s="16">
        <v>60</v>
      </c>
      <c r="H53" s="5" t="s">
        <v>404</v>
      </c>
      <c r="I53" s="16">
        <v>81</v>
      </c>
      <c r="J53" s="15">
        <v>1</v>
      </c>
      <c r="K53" s="30" t="s">
        <v>1786</v>
      </c>
      <c r="L53" s="16">
        <f t="shared" si="0"/>
        <v>4860</v>
      </c>
      <c r="M53" s="17">
        <f t="shared" si="1"/>
        <v>67.5</v>
      </c>
      <c r="N53" s="5" t="s">
        <v>1910</v>
      </c>
      <c r="O53" s="5" t="str">
        <f ca="1">IFERROR(__xludf.DUMMYFUNCTION("TEXTJOIN("", "", TRUE, FILTER(PokemonList!$C:$C, (PokemonList!$B:$B=""6★"") * (BYROW(PokemonList!$D:$D, LAMBDA(row, OR(INDEX(ISNUMBER(SEARCH(SPLIT(row, ""/""), N53)))))))))"),"#N/A")</f>
        <v>#N/A</v>
      </c>
      <c r="P53" s="1" t="str">
        <f ca="1">IFERROR(__xludf.DUMMYFUNCTION("TEXTJOIN("", "", TRUE, FILTER(PokemonList!$C:$C, (PokemonList!$B:$B=""5★"") * (BYROW(PokemonList!$D:$D, LAMBDA(row, OR(INDEX(ISNUMBER(SEARCH(SPLIT(row, ""/""), N53)))))))))"),"#N/A")</f>
        <v>#N/A</v>
      </c>
      <c r="Q53" s="5" t="s">
        <v>1787</v>
      </c>
    </row>
    <row r="54" spans="1:17">
      <c r="A54" s="24">
        <v>53</v>
      </c>
      <c r="B54" s="5" t="s">
        <v>149</v>
      </c>
      <c r="C54" s="5" t="s">
        <v>491</v>
      </c>
      <c r="D54" s="5" t="s">
        <v>54</v>
      </c>
      <c r="E54" s="16">
        <v>42</v>
      </c>
      <c r="F54" s="16">
        <v>9</v>
      </c>
      <c r="G54" s="16">
        <v>40</v>
      </c>
      <c r="H54" s="5" t="s">
        <v>327</v>
      </c>
      <c r="I54" s="16">
        <v>24</v>
      </c>
      <c r="J54" s="15">
        <v>1</v>
      </c>
      <c r="K54" s="30" t="s">
        <v>1791</v>
      </c>
      <c r="L54" s="16">
        <f t="shared" si="0"/>
        <v>960</v>
      </c>
      <c r="M54" s="17">
        <f t="shared" si="1"/>
        <v>22.857142857142858</v>
      </c>
      <c r="N54" s="5" t="s">
        <v>1910</v>
      </c>
      <c r="O54" s="5" t="str">
        <f ca="1">IFERROR(__xludf.DUMMYFUNCTION("TEXTJOIN("", "", TRUE, FILTER(PokemonList!$C:$C, (PokemonList!$B:$B=""6★"") * (BYROW(PokemonList!$D:$D, LAMBDA(row, OR(INDEX(ISNUMBER(SEARCH(SPLIT(row, ""/""), N54)))))))))"),"#N/A")</f>
        <v>#N/A</v>
      </c>
      <c r="P54" s="1" t="str">
        <f ca="1">IFERROR(__xludf.DUMMYFUNCTION("TEXTJOIN("", "", TRUE, FILTER(PokemonList!$C:$C, (PokemonList!$B:$B=""5★"") * (BYROW(PokemonList!$D:$D, LAMBDA(row, OR(INDEX(ISNUMBER(SEARCH(SPLIT(row, ""/""), N54)))))))))"),"#N/A")</f>
        <v>#N/A</v>
      </c>
      <c r="Q54" s="5"/>
    </row>
    <row r="55" spans="1:17">
      <c r="A55" s="24">
        <v>54</v>
      </c>
      <c r="B55" s="5" t="s">
        <v>24</v>
      </c>
      <c r="C55" s="5" t="s">
        <v>493</v>
      </c>
      <c r="D55" s="5" t="s">
        <v>54</v>
      </c>
      <c r="E55" s="16">
        <v>84</v>
      </c>
      <c r="F55" s="16">
        <v>24</v>
      </c>
      <c r="G55" s="16">
        <v>60</v>
      </c>
      <c r="H55" s="5" t="s">
        <v>327</v>
      </c>
      <c r="I55" s="16">
        <v>77</v>
      </c>
      <c r="J55" s="15">
        <v>1</v>
      </c>
      <c r="K55" s="30" t="s">
        <v>1791</v>
      </c>
      <c r="L55" s="16">
        <f t="shared" si="0"/>
        <v>4620</v>
      </c>
      <c r="M55" s="17">
        <f t="shared" si="1"/>
        <v>55</v>
      </c>
      <c r="N55" s="5" t="s">
        <v>1910</v>
      </c>
      <c r="O55" s="5" t="str">
        <f ca="1">IFERROR(__xludf.DUMMYFUNCTION("TEXTJOIN("", "", TRUE, FILTER(PokemonList!$C:$C, (PokemonList!$B:$B=""6★"") * (BYROW(PokemonList!$D:$D, LAMBDA(row, OR(INDEX(ISNUMBER(SEARCH(SPLIT(row, ""/""), N55)))))))))"),"#N/A")</f>
        <v>#N/A</v>
      </c>
      <c r="P55" s="1" t="str">
        <f ca="1">IFERROR(__xludf.DUMMYFUNCTION("TEXTJOIN("", "", TRUE, FILTER(PokemonList!$C:$C, (PokemonList!$B:$B=""5★"") * (BYROW(PokemonList!$D:$D, LAMBDA(row, OR(INDEX(ISNUMBER(SEARCH(SPLIT(row, ""/""), N55)))))))))"),"#N/A")</f>
        <v>#N/A</v>
      </c>
      <c r="Q55" s="5"/>
    </row>
    <row r="56" spans="1:17">
      <c r="A56" s="24">
        <v>55</v>
      </c>
      <c r="B56" s="5" t="s">
        <v>153</v>
      </c>
      <c r="C56" s="5" t="s">
        <v>1749</v>
      </c>
      <c r="D56" s="5" t="s">
        <v>154</v>
      </c>
      <c r="E56" s="16">
        <v>62</v>
      </c>
      <c r="F56" s="16">
        <v>33</v>
      </c>
      <c r="G56" s="16">
        <v>60</v>
      </c>
      <c r="H56" s="5" t="s">
        <v>404</v>
      </c>
      <c r="I56" s="16">
        <v>69</v>
      </c>
      <c r="J56" s="15">
        <v>1</v>
      </c>
      <c r="K56" s="5" t="s">
        <v>1780</v>
      </c>
      <c r="L56" s="16">
        <f t="shared" si="0"/>
        <v>4140</v>
      </c>
      <c r="M56" s="17">
        <f t="shared" si="1"/>
        <v>66.774193548387103</v>
      </c>
      <c r="N56" s="5" t="s">
        <v>1910</v>
      </c>
      <c r="O56" s="5" t="str">
        <f ca="1">IFERROR(__xludf.DUMMYFUNCTION("TEXTJOIN("", "", TRUE, FILTER(PokemonList!$C:$C, (PokemonList!$B:$B=""6★"") * (BYROW(PokemonList!$D:$D, LAMBDA(row, OR(INDEX(ISNUMBER(SEARCH(SPLIT(row, ""/""), N56)))))))))"),"#N/A")</f>
        <v>#N/A</v>
      </c>
      <c r="P56" s="1" t="str">
        <f ca="1">IFERROR(__xludf.DUMMYFUNCTION("TEXTJOIN("", "", TRUE, FILTER(PokemonList!$C:$C, (PokemonList!$B:$B=""5★"") * (BYROW(PokemonList!$D:$D, LAMBDA(row, OR(INDEX(ISNUMBER(SEARCH(SPLIT(row, ""/""), N56)))))))))"),"#N/A")</f>
        <v>#N/A</v>
      </c>
      <c r="Q56" s="5"/>
    </row>
    <row r="57" spans="1:17">
      <c r="A57" s="24">
        <v>56</v>
      </c>
      <c r="B57" s="5" t="s">
        <v>156</v>
      </c>
      <c r="C57" s="5" t="s">
        <v>1420</v>
      </c>
      <c r="D57" s="5" t="s">
        <v>154</v>
      </c>
      <c r="E57" s="16">
        <v>90</v>
      </c>
      <c r="F57" s="16">
        <v>31</v>
      </c>
      <c r="G57" s="16">
        <v>75</v>
      </c>
      <c r="H57" s="5" t="s">
        <v>404</v>
      </c>
      <c r="I57" s="16">
        <v>100</v>
      </c>
      <c r="J57" s="15">
        <v>1</v>
      </c>
      <c r="K57" s="5" t="s">
        <v>1780</v>
      </c>
      <c r="L57" s="16">
        <f t="shared" si="0"/>
        <v>7500</v>
      </c>
      <c r="M57" s="17">
        <f t="shared" si="1"/>
        <v>83.333333333333329</v>
      </c>
      <c r="N57" s="5" t="s">
        <v>1910</v>
      </c>
      <c r="O57" s="5" t="str">
        <f ca="1">IFERROR(__xludf.DUMMYFUNCTION("TEXTJOIN("", "", TRUE, FILTER(PokemonList!$C:$C, (PokemonList!$B:$B=""6★"") * (BYROW(PokemonList!$D:$D, LAMBDA(row, OR(INDEX(ISNUMBER(SEARCH(SPLIT(row, ""/""), N57)))))))))"),"#N/A")</f>
        <v>#N/A</v>
      </c>
      <c r="P57" s="1" t="str">
        <f ca="1">IFERROR(__xludf.DUMMYFUNCTION("TEXTJOIN("", "", TRUE, FILTER(PokemonList!$C:$C, (PokemonList!$B:$B=""5★"") * (BYROW(PokemonList!$D:$D, LAMBDA(row, OR(INDEX(ISNUMBER(SEARCH(SPLIT(row, ""/""), N57)))))))))"),"#N/A")</f>
        <v>#N/A</v>
      </c>
      <c r="Q57" s="5"/>
    </row>
    <row r="58" spans="1:17">
      <c r="A58" s="24">
        <v>57</v>
      </c>
      <c r="B58" s="5" t="s">
        <v>158</v>
      </c>
      <c r="C58" s="5" t="s">
        <v>456</v>
      </c>
      <c r="D58" s="5" t="s">
        <v>62</v>
      </c>
      <c r="E58" s="16">
        <v>36</v>
      </c>
      <c r="F58" s="16">
        <v>35</v>
      </c>
      <c r="G58" s="16">
        <v>50</v>
      </c>
      <c r="H58" s="5" t="s">
        <v>404</v>
      </c>
      <c r="I58" s="16">
        <v>20</v>
      </c>
      <c r="J58" s="15">
        <v>1</v>
      </c>
      <c r="K58" s="5" t="s">
        <v>1795</v>
      </c>
      <c r="L58" s="16">
        <f t="shared" si="0"/>
        <v>1000</v>
      </c>
      <c r="M58" s="17">
        <f t="shared" si="1"/>
        <v>27.777777777777779</v>
      </c>
      <c r="N58" s="5" t="s">
        <v>1910</v>
      </c>
      <c r="O58" s="5" t="str">
        <f ca="1">IFERROR(__xludf.DUMMYFUNCTION("TEXTJOIN("", "", TRUE, FILTER(PokemonList!$C:$C, (PokemonList!$B:$B=""6★"") * (BYROW(PokemonList!$D:$D, LAMBDA(row, OR(INDEX(ISNUMBER(SEARCH(SPLIT(row, ""/""), N58)))))))))"),"#N/A")</f>
        <v>#N/A</v>
      </c>
      <c r="P58" s="1" t="str">
        <f ca="1">IFERROR(__xludf.DUMMYFUNCTION("TEXTJOIN("", "", TRUE, FILTER(PokemonList!$C:$C, (PokemonList!$B:$B=""5★"") * (BYROW(PokemonList!$D:$D, LAMBDA(row, OR(INDEX(ISNUMBER(SEARCH(SPLIT(row, ""/""), N58)))))))))"),"#N/A")</f>
        <v>#N/A</v>
      </c>
      <c r="Q58" s="5" t="s">
        <v>1794</v>
      </c>
    </row>
    <row r="59" spans="1:17">
      <c r="A59" s="24">
        <v>58</v>
      </c>
      <c r="B59" s="5" t="s">
        <v>160</v>
      </c>
      <c r="C59" s="5" t="s">
        <v>452</v>
      </c>
      <c r="D59" s="5" t="s">
        <v>62</v>
      </c>
      <c r="E59" s="16">
        <v>64</v>
      </c>
      <c r="F59" s="16">
        <v>67</v>
      </c>
      <c r="G59" s="16">
        <v>55</v>
      </c>
      <c r="H59" s="5" t="s">
        <v>327</v>
      </c>
      <c r="I59" s="16">
        <v>36</v>
      </c>
      <c r="J59" s="15">
        <v>0.95</v>
      </c>
      <c r="K59" s="5" t="s">
        <v>1795</v>
      </c>
      <c r="L59" s="16">
        <f t="shared" si="0"/>
        <v>1980</v>
      </c>
      <c r="M59" s="17">
        <f t="shared" si="1"/>
        <v>30.9375</v>
      </c>
      <c r="N59" s="5" t="s">
        <v>1910</v>
      </c>
      <c r="O59" s="5" t="str">
        <f ca="1">IFERROR(__xludf.DUMMYFUNCTION("TEXTJOIN("", "", TRUE, FILTER(PokemonList!$C:$C, (PokemonList!$B:$B=""6★"") * (BYROW(PokemonList!$D:$D, LAMBDA(row, OR(INDEX(ISNUMBER(SEARCH(SPLIT(row, ""/""), N59)))))))))"),"#N/A")</f>
        <v>#N/A</v>
      </c>
      <c r="P59" s="1" t="str">
        <f ca="1">IFERROR(__xludf.DUMMYFUNCTION("TEXTJOIN("", "", TRUE, FILTER(PokemonList!$C:$C, (PokemonList!$B:$B=""5★"") * (BYROW(PokemonList!$D:$D, LAMBDA(row, OR(INDEX(ISNUMBER(SEARCH(SPLIT(row, ""/""), N59)))))))))"),"#N/A")</f>
        <v>#N/A</v>
      </c>
      <c r="Q59" s="5"/>
    </row>
    <row r="60" spans="1:17">
      <c r="A60" s="24">
        <v>59</v>
      </c>
      <c r="B60" s="5" t="s">
        <v>87</v>
      </c>
      <c r="C60" s="5" t="s">
        <v>1038</v>
      </c>
      <c r="D60" s="5" t="s">
        <v>62</v>
      </c>
      <c r="E60" s="16">
        <v>90</v>
      </c>
      <c r="F60" s="16">
        <v>75</v>
      </c>
      <c r="G60" s="16">
        <v>60</v>
      </c>
      <c r="H60" s="5" t="s">
        <v>404</v>
      </c>
      <c r="I60" s="16">
        <v>71</v>
      </c>
      <c r="J60" s="15">
        <v>1</v>
      </c>
      <c r="K60" s="5" t="s">
        <v>1795</v>
      </c>
      <c r="L60" s="16">
        <f t="shared" si="0"/>
        <v>4260</v>
      </c>
      <c r="M60" s="17">
        <f t="shared" si="1"/>
        <v>47.333333333333336</v>
      </c>
      <c r="N60" s="5" t="s">
        <v>1910</v>
      </c>
      <c r="O60" s="5" t="str">
        <f ca="1">IFERROR(__xludf.DUMMYFUNCTION("TEXTJOIN("", "", TRUE, FILTER(PokemonList!$C:$C, (PokemonList!$B:$B=""6★"") * (BYROW(PokemonList!$D:$D, LAMBDA(row, OR(INDEX(ISNUMBER(SEARCH(SPLIT(row, ""/""), N60)))))))))"),"#N/A")</f>
        <v>#N/A</v>
      </c>
      <c r="P60" s="1" t="str">
        <f ca="1">IFERROR(__xludf.DUMMYFUNCTION("TEXTJOIN("", "", TRUE, FILTER(PokemonList!$C:$C, (PokemonList!$B:$B=""5★"") * (BYROW(PokemonList!$D:$D, LAMBDA(row, OR(INDEX(ISNUMBER(SEARCH(SPLIT(row, ""/""), N60)))))))))"),"#N/A")</f>
        <v>#N/A</v>
      </c>
      <c r="Q60" s="5"/>
    </row>
    <row r="61" spans="1:17">
      <c r="A61" s="24">
        <v>60</v>
      </c>
      <c r="B61" s="5" t="s">
        <v>163</v>
      </c>
      <c r="C61" s="5" t="s">
        <v>1098</v>
      </c>
      <c r="D61" s="5" t="s">
        <v>164</v>
      </c>
      <c r="E61" s="16">
        <v>42</v>
      </c>
      <c r="F61" s="16">
        <v>28</v>
      </c>
      <c r="G61" s="16">
        <v>60</v>
      </c>
      <c r="H61" s="5" t="s">
        <v>404</v>
      </c>
      <c r="I61" s="16">
        <v>36</v>
      </c>
      <c r="J61" s="15">
        <v>1</v>
      </c>
      <c r="K61" s="5" t="s">
        <v>1792</v>
      </c>
      <c r="L61" s="16">
        <f t="shared" si="0"/>
        <v>2160</v>
      </c>
      <c r="M61" s="17">
        <f t="shared" si="1"/>
        <v>51.428571428571431</v>
      </c>
      <c r="N61" s="5" t="s">
        <v>1910</v>
      </c>
      <c r="O61" s="5" t="str">
        <f ca="1">IFERROR(__xludf.DUMMYFUNCTION("TEXTJOIN("", "", TRUE, FILTER(PokemonList!$C:$C, (PokemonList!$B:$B=""6★"") * (BYROW(PokemonList!$D:$D, LAMBDA(row, OR(INDEX(ISNUMBER(SEARCH(SPLIT(row, ""/""), N61)))))))))"),"#N/A")</f>
        <v>#N/A</v>
      </c>
      <c r="P61" s="1" t="str">
        <f ca="1">IFERROR(__xludf.DUMMYFUNCTION("TEXTJOIN("", "", TRUE, FILTER(PokemonList!$C:$C, (PokemonList!$B:$B=""5★"") * (BYROW(PokemonList!$D:$D, LAMBDA(row, OR(INDEX(ISNUMBER(SEARCH(SPLIT(row, ""/""), N61)))))))))"),"#N/A")</f>
        <v>#N/A</v>
      </c>
      <c r="Q61" s="5"/>
    </row>
    <row r="62" spans="1:17">
      <c r="A62" s="24">
        <v>61</v>
      </c>
      <c r="B62" s="5" t="s">
        <v>166</v>
      </c>
      <c r="C62" s="5" t="s">
        <v>722</v>
      </c>
      <c r="D62" s="5" t="s">
        <v>164</v>
      </c>
      <c r="E62" s="16">
        <v>62</v>
      </c>
      <c r="F62" s="16">
        <v>26</v>
      </c>
      <c r="G62" s="16">
        <v>80</v>
      </c>
      <c r="H62" s="5" t="s">
        <v>404</v>
      </c>
      <c r="I62" s="16">
        <v>55</v>
      </c>
      <c r="J62" s="15">
        <v>1</v>
      </c>
      <c r="K62" s="5" t="s">
        <v>1777</v>
      </c>
      <c r="L62" s="16">
        <f t="shared" si="0"/>
        <v>4400</v>
      </c>
      <c r="M62" s="17">
        <f t="shared" si="1"/>
        <v>70.967741935483872</v>
      </c>
      <c r="N62" s="5" t="s">
        <v>1910</v>
      </c>
      <c r="O62" s="5" t="str">
        <f ca="1">IFERROR(__xludf.DUMMYFUNCTION("TEXTJOIN("", "", TRUE, FILTER(PokemonList!$C:$C, (PokemonList!$B:$B=""6★"") * (BYROW(PokemonList!$D:$D, LAMBDA(row, OR(INDEX(ISNUMBER(SEARCH(SPLIT(row, ""/""), N62)))))))))"),"#N/A")</f>
        <v>#N/A</v>
      </c>
      <c r="P62" s="1" t="str">
        <f ca="1">IFERROR(__xludf.DUMMYFUNCTION("TEXTJOIN("", "", TRUE, FILTER(PokemonList!$C:$C, (PokemonList!$B:$B=""5★"") * (BYROW(PokemonList!$D:$D, LAMBDA(row, OR(INDEX(ISNUMBER(SEARCH(SPLIT(row, ""/""), N62)))))))))"),"#N/A")</f>
        <v>#N/A</v>
      </c>
      <c r="Q62" s="5"/>
    </row>
    <row r="63" spans="1:17">
      <c r="A63" s="24">
        <v>62</v>
      </c>
      <c r="B63" s="5" t="s">
        <v>169</v>
      </c>
      <c r="C63" s="5" t="s">
        <v>536</v>
      </c>
      <c r="D63" s="5" t="s">
        <v>164</v>
      </c>
      <c r="E63" s="16">
        <v>88</v>
      </c>
      <c r="F63" s="16">
        <v>35</v>
      </c>
      <c r="G63" s="16">
        <v>90</v>
      </c>
      <c r="H63" s="5" t="s">
        <v>327</v>
      </c>
      <c r="I63" s="16">
        <v>113</v>
      </c>
      <c r="J63" s="15">
        <v>1</v>
      </c>
      <c r="K63" s="5" t="s">
        <v>1777</v>
      </c>
      <c r="L63" s="16">
        <f t="shared" si="0"/>
        <v>10170</v>
      </c>
      <c r="M63" s="17">
        <f t="shared" si="1"/>
        <v>115.56818181818181</v>
      </c>
      <c r="N63" s="5" t="s">
        <v>1910</v>
      </c>
      <c r="O63" s="5" t="str">
        <f ca="1">IFERROR(__xludf.DUMMYFUNCTION("TEXTJOIN("", "", TRUE, FILTER(PokemonList!$C:$C, (PokemonList!$B:$B=""6★"") * (BYROW(PokemonList!$D:$D, LAMBDA(row, OR(INDEX(ISNUMBER(SEARCH(SPLIT(row, ""/""), N63)))))))))"),"#N/A")</f>
        <v>#N/A</v>
      </c>
      <c r="P63" s="1" t="str">
        <f ca="1">IFERROR(__xludf.DUMMYFUNCTION("TEXTJOIN("", "", TRUE, FILTER(PokemonList!$C:$C, (PokemonList!$B:$B=""5★"") * (BYROW(PokemonList!$D:$D, LAMBDA(row, OR(INDEX(ISNUMBER(SEARCH(SPLIT(row, ""/""), N63)))))))))"),"#N/A")</f>
        <v>#N/A</v>
      </c>
      <c r="Q63" s="5" t="s">
        <v>1778</v>
      </c>
    </row>
    <row r="64" spans="1:17">
      <c r="A64" s="24">
        <v>63</v>
      </c>
      <c r="B64" s="5" t="s">
        <v>171</v>
      </c>
      <c r="C64" s="5" t="s">
        <v>554</v>
      </c>
      <c r="D64" s="5" t="s">
        <v>431</v>
      </c>
      <c r="E64" s="16">
        <v>40</v>
      </c>
      <c r="F64" s="16">
        <v>41</v>
      </c>
      <c r="G64" s="16">
        <v>35</v>
      </c>
      <c r="H64" s="5" t="s">
        <v>404</v>
      </c>
      <c r="I64" s="16">
        <v>46</v>
      </c>
      <c r="J64" s="15">
        <v>1</v>
      </c>
      <c r="K64" s="5" t="s">
        <v>1789</v>
      </c>
      <c r="L64" s="16">
        <f t="shared" si="0"/>
        <v>1610</v>
      </c>
      <c r="M64" s="17">
        <f t="shared" si="1"/>
        <v>40.25</v>
      </c>
      <c r="N64" s="5" t="s">
        <v>1910</v>
      </c>
      <c r="O64" s="5" t="str">
        <f ca="1">IFERROR(__xludf.DUMMYFUNCTION("TEXTJOIN("", "", TRUE, FILTER(PokemonList!$C:$C, (PokemonList!$B:$B=""6★"") * (BYROW(PokemonList!$D:$D, LAMBDA(row, OR(INDEX(ISNUMBER(SEARCH(SPLIT(row, ""/""), N64)))))))))"),"#N/A")</f>
        <v>#N/A</v>
      </c>
      <c r="P64" s="1" t="str">
        <f ca="1">IFERROR(__xludf.DUMMYFUNCTION("TEXTJOIN("", "", TRUE, FILTER(PokemonList!$C:$C, (PokemonList!$B:$B=""5★"") * (BYROW(PokemonList!$D:$D, LAMBDA(row, OR(INDEX(ISNUMBER(SEARCH(SPLIT(row, ""/""), N64)))))))))"),"#N/A")</f>
        <v>#N/A</v>
      </c>
      <c r="Q64" s="5"/>
    </row>
    <row r="65" spans="1:17">
      <c r="A65" s="24">
        <v>64</v>
      </c>
      <c r="B65" s="5" t="s">
        <v>18</v>
      </c>
      <c r="C65" s="5" t="s">
        <v>506</v>
      </c>
      <c r="D65" s="5" t="s">
        <v>431</v>
      </c>
      <c r="E65" s="16">
        <v>82</v>
      </c>
      <c r="F65" s="16">
        <v>84</v>
      </c>
      <c r="G65" s="16">
        <v>60</v>
      </c>
      <c r="H65" s="5" t="s">
        <v>404</v>
      </c>
      <c r="I65" s="16">
        <v>84</v>
      </c>
      <c r="J65" s="15">
        <v>1</v>
      </c>
      <c r="K65" s="5" t="s">
        <v>1789</v>
      </c>
      <c r="L65" s="16">
        <f t="shared" si="0"/>
        <v>5040</v>
      </c>
      <c r="M65" s="17">
        <f t="shared" si="1"/>
        <v>61.463414634146339</v>
      </c>
      <c r="N65" s="5" t="s">
        <v>1910</v>
      </c>
      <c r="O65" s="5" t="str">
        <f ca="1">IFERROR(__xludf.DUMMYFUNCTION("TEXTJOIN("", "", TRUE, FILTER(PokemonList!$C:$C, (PokemonList!$B:$B=""6★"") * (BYROW(PokemonList!$D:$D, LAMBDA(row, OR(INDEX(ISNUMBER(SEARCH(SPLIT(row, ""/""), N65)))))))))"),"#N/A")</f>
        <v>#N/A</v>
      </c>
      <c r="P65" s="1" t="str">
        <f ca="1">IFERROR(__xludf.DUMMYFUNCTION("TEXTJOIN("", "", TRUE, FILTER(PokemonList!$C:$C, (PokemonList!$B:$B=""5★"") * (BYROW(PokemonList!$D:$D, LAMBDA(row, OR(INDEX(ISNUMBER(SEARCH(SPLIT(row, ""/""), N65)))))))))"),"#N/A")</f>
        <v>#N/A</v>
      </c>
      <c r="Q65" s="5"/>
    </row>
    <row r="66" spans="1:17">
      <c r="A66" s="24">
        <v>65</v>
      </c>
      <c r="B66" s="5" t="s">
        <v>174</v>
      </c>
      <c r="C66" s="5" t="s">
        <v>1424</v>
      </c>
      <c r="D66" s="5" t="s">
        <v>82</v>
      </c>
      <c r="E66" s="16">
        <v>44</v>
      </c>
      <c r="F66" s="16">
        <v>7</v>
      </c>
      <c r="G66" s="16">
        <v>40</v>
      </c>
      <c r="H66" s="5" t="s">
        <v>404</v>
      </c>
      <c r="I66" s="16">
        <v>28</v>
      </c>
      <c r="J66" s="15">
        <v>1</v>
      </c>
      <c r="K66" s="5" t="s">
        <v>1782</v>
      </c>
      <c r="L66" s="16">
        <f t="shared" si="0"/>
        <v>1120</v>
      </c>
      <c r="M66" s="17">
        <f t="shared" si="1"/>
        <v>25.454545454545453</v>
      </c>
      <c r="N66" s="5" t="s">
        <v>1910</v>
      </c>
      <c r="O66" s="5" t="str">
        <f ca="1">IFERROR(__xludf.DUMMYFUNCTION("TEXTJOIN("", "", TRUE, FILTER(PokemonList!$C:$C, (PokemonList!$B:$B=""6★"") * (BYROW(PokemonList!$D:$D, LAMBDA(row, OR(INDEX(ISNUMBER(SEARCH(SPLIT(row, ""/""), N66)))))))))"),"#N/A")</f>
        <v>#N/A</v>
      </c>
      <c r="P66" s="1" t="str">
        <f ca="1">IFERROR(__xludf.DUMMYFUNCTION("TEXTJOIN("", "", TRUE, FILTER(PokemonList!$C:$C, (PokemonList!$B:$B=""5★"") * (BYROW(PokemonList!$D:$D, LAMBDA(row, OR(INDEX(ISNUMBER(SEARCH(SPLIT(row, ""/""), N66)))))))))"),"#N/A")</f>
        <v>#N/A</v>
      </c>
      <c r="Q66" s="5"/>
    </row>
    <row r="67" spans="1:17">
      <c r="A67" s="24">
        <v>66</v>
      </c>
      <c r="B67" s="5" t="s">
        <v>176</v>
      </c>
      <c r="C67" s="5" t="s">
        <v>1238</v>
      </c>
      <c r="D67" s="5" t="s">
        <v>82</v>
      </c>
      <c r="E67" s="16">
        <v>80</v>
      </c>
      <c r="F67" s="16">
        <v>48</v>
      </c>
      <c r="G67" s="16">
        <v>65</v>
      </c>
      <c r="H67" s="5" t="s">
        <v>327</v>
      </c>
      <c r="I67" s="16">
        <v>62</v>
      </c>
      <c r="J67" s="15">
        <v>0.9</v>
      </c>
      <c r="K67" s="5" t="s">
        <v>1782</v>
      </c>
      <c r="L67" s="16">
        <f t="shared" si="0"/>
        <v>4030</v>
      </c>
      <c r="M67" s="17">
        <f t="shared" si="1"/>
        <v>50.375</v>
      </c>
      <c r="N67" s="5" t="s">
        <v>1910</v>
      </c>
      <c r="O67" s="5" t="str">
        <f ca="1">IFERROR(__xludf.DUMMYFUNCTION("TEXTJOIN("", "", TRUE, FILTER(PokemonList!$C:$C, (PokemonList!$B:$B=""6★"") * (BYROW(PokemonList!$D:$D, LAMBDA(row, OR(INDEX(ISNUMBER(SEARCH(SPLIT(row, ""/""), N67)))))))))"),"#N/A")</f>
        <v>#N/A</v>
      </c>
      <c r="P67" s="1" t="str">
        <f ca="1">IFERROR(__xludf.DUMMYFUNCTION("TEXTJOIN("", "", TRUE, FILTER(PokemonList!$C:$C, (PokemonList!$B:$B=""5★"") * (BYROW(PokemonList!$D:$D, LAMBDA(row, OR(INDEX(ISNUMBER(SEARCH(SPLIT(row, ""/""), N67)))))))))"),"#N/A")</f>
        <v>#N/A</v>
      </c>
      <c r="Q67" s="5"/>
    </row>
    <row r="68" spans="1:17">
      <c r="A68" s="24">
        <v>67</v>
      </c>
      <c r="B68" s="5" t="s">
        <v>178</v>
      </c>
      <c r="C68" s="5" t="s">
        <v>488</v>
      </c>
      <c r="D68" s="5" t="s">
        <v>59</v>
      </c>
      <c r="E68" s="16">
        <v>84</v>
      </c>
      <c r="F68" s="16">
        <v>30</v>
      </c>
      <c r="G68" s="16">
        <v>60</v>
      </c>
      <c r="H68" s="5" t="s">
        <v>327</v>
      </c>
      <c r="I68" s="16">
        <v>70</v>
      </c>
      <c r="J68" s="15">
        <v>1</v>
      </c>
      <c r="K68" s="5" t="s">
        <v>1793</v>
      </c>
      <c r="L68" s="16">
        <f t="shared" si="0"/>
        <v>4200</v>
      </c>
      <c r="M68" s="17">
        <f t="shared" si="1"/>
        <v>50</v>
      </c>
      <c r="N68" s="5" t="s">
        <v>1910</v>
      </c>
      <c r="O68" s="5" t="str">
        <f ca="1">IFERROR(__xludf.DUMMYFUNCTION("TEXTJOIN("", "", TRUE, FILTER(PokemonList!$C:$C, (PokemonList!$B:$B=""6★"") * (BYROW(PokemonList!$D:$D, LAMBDA(row, OR(INDEX(ISNUMBER(SEARCH(SPLIT(row, ""/""), N68)))))))))"),"#N/A")</f>
        <v>#N/A</v>
      </c>
      <c r="P68" s="1" t="str">
        <f ca="1">IFERROR(__xludf.DUMMYFUNCTION("TEXTJOIN("", "", TRUE, FILTER(PokemonList!$C:$C, (PokemonList!$B:$B=""5★"") * (BYROW(PokemonList!$D:$D, LAMBDA(row, OR(INDEX(ISNUMBER(SEARCH(SPLIT(row, ""/""), N68)))))))))"),"#N/A")</f>
        <v>#N/A</v>
      </c>
      <c r="Q68" s="5"/>
    </row>
    <row r="69" spans="1:17">
      <c r="A69" s="24">
        <v>68</v>
      </c>
      <c r="B69" s="5" t="s">
        <v>181</v>
      </c>
      <c r="C69" s="5" t="s">
        <v>871</v>
      </c>
      <c r="D69" s="5" t="s">
        <v>54</v>
      </c>
      <c r="E69" s="16">
        <v>70</v>
      </c>
      <c r="F69" s="16">
        <v>56</v>
      </c>
      <c r="G69" s="16">
        <v>80</v>
      </c>
      <c r="H69" s="5" t="s">
        <v>327</v>
      </c>
      <c r="I69" s="16">
        <v>56</v>
      </c>
      <c r="J69" s="15">
        <v>1</v>
      </c>
      <c r="K69" s="5" t="s">
        <v>1788</v>
      </c>
      <c r="L69" s="16">
        <f t="shared" si="0"/>
        <v>4480</v>
      </c>
      <c r="M69" s="17">
        <f t="shared" si="1"/>
        <v>64</v>
      </c>
      <c r="N69" s="5" t="s">
        <v>1910</v>
      </c>
      <c r="O69" s="5" t="str">
        <f ca="1">IFERROR(__xludf.DUMMYFUNCTION("TEXTJOIN("", "", TRUE, FILTER(PokemonList!$C:$C, (PokemonList!$B:$B=""6★"") * (BYROW(PokemonList!$D:$D, LAMBDA(row, OR(INDEX(ISNUMBER(SEARCH(SPLIT(row, ""/""), N69)))))))))"),"#N/A")</f>
        <v>#N/A</v>
      </c>
      <c r="P69" s="1" t="str">
        <f ca="1">IFERROR(__xludf.DUMMYFUNCTION("TEXTJOIN("", "", TRUE, FILTER(PokemonList!$C:$C, (PokemonList!$B:$B=""5★"") * (BYROW(PokemonList!$D:$D, LAMBDA(row, OR(INDEX(ISNUMBER(SEARCH(SPLIT(row, ""/""), N69)))))))))"),"#N/A")</f>
        <v>#N/A</v>
      </c>
      <c r="Q69" s="5"/>
    </row>
    <row r="70" spans="1:17">
      <c r="A70" s="24">
        <v>69</v>
      </c>
      <c r="B70" s="5" t="s">
        <v>184</v>
      </c>
      <c r="C70" s="5" t="s">
        <v>681</v>
      </c>
      <c r="D70" s="5" t="s">
        <v>64</v>
      </c>
      <c r="E70" s="16">
        <v>30</v>
      </c>
      <c r="F70" s="16">
        <v>14</v>
      </c>
      <c r="G70" s="16">
        <v>40</v>
      </c>
      <c r="H70" s="5" t="s">
        <v>327</v>
      </c>
      <c r="I70" s="16">
        <v>29</v>
      </c>
      <c r="J70" s="15">
        <v>1</v>
      </c>
      <c r="K70" s="5" t="s">
        <v>1783</v>
      </c>
      <c r="L70" s="16">
        <f t="shared" si="0"/>
        <v>1160</v>
      </c>
      <c r="M70" s="17">
        <f t="shared" si="1"/>
        <v>38.666666666666664</v>
      </c>
      <c r="N70" s="5" t="s">
        <v>1910</v>
      </c>
      <c r="O70" s="5" t="str">
        <f ca="1">IFERROR(__xludf.DUMMYFUNCTION("TEXTJOIN("", "", TRUE, FILTER(PokemonList!$C:$C, (PokemonList!$B:$B=""6★"") * (BYROW(PokemonList!$D:$D, LAMBDA(row, OR(INDEX(ISNUMBER(SEARCH(SPLIT(row, ""/""), N70)))))))))"),"#N/A")</f>
        <v>#N/A</v>
      </c>
      <c r="P70" s="1" t="str">
        <f ca="1">IFERROR(__xludf.DUMMYFUNCTION("TEXTJOIN("", "", TRUE, FILTER(PokemonList!$C:$C, (PokemonList!$B:$B=""5★"") * (BYROW(PokemonList!$D:$D, LAMBDA(row, OR(INDEX(ISNUMBER(SEARCH(SPLIT(row, ""/""), N70)))))))))"),"#N/A")</f>
        <v>#N/A</v>
      </c>
      <c r="Q70" s="5" t="s">
        <v>1796</v>
      </c>
    </row>
    <row r="71" spans="1:17">
      <c r="A71" s="24">
        <v>70</v>
      </c>
      <c r="B71" s="5" t="s">
        <v>187</v>
      </c>
      <c r="C71" s="5" t="s">
        <v>495</v>
      </c>
      <c r="D71" s="5" t="s">
        <v>64</v>
      </c>
      <c r="E71" s="16">
        <v>86</v>
      </c>
      <c r="F71" s="16">
        <v>54</v>
      </c>
      <c r="G71" s="16">
        <v>65</v>
      </c>
      <c r="H71" s="5" t="s">
        <v>327</v>
      </c>
      <c r="I71" s="16">
        <v>100</v>
      </c>
      <c r="J71" s="15">
        <v>1</v>
      </c>
      <c r="K71" s="5" t="s">
        <v>1783</v>
      </c>
      <c r="L71" s="16">
        <f t="shared" si="0"/>
        <v>6500</v>
      </c>
      <c r="M71" s="17">
        <f t="shared" si="1"/>
        <v>75.581395348837205</v>
      </c>
      <c r="N71" s="5" t="s">
        <v>1910</v>
      </c>
      <c r="O71" s="5" t="str">
        <f ca="1">IFERROR(__xludf.DUMMYFUNCTION("TEXTJOIN("", "", TRUE, FILTER(PokemonList!$C:$C, (PokemonList!$B:$B=""6★"") * (BYROW(PokemonList!$D:$D, LAMBDA(row, OR(INDEX(ISNUMBER(SEARCH(SPLIT(row, ""/""), N71)))))))))"),"#N/A")</f>
        <v>#N/A</v>
      </c>
      <c r="P71" s="1" t="str">
        <f ca="1">IFERROR(__xludf.DUMMYFUNCTION("TEXTJOIN("", "", TRUE, FILTER(PokemonList!$C:$C, (PokemonList!$B:$B=""5★"") * (BYROW(PokemonList!$D:$D, LAMBDA(row, OR(INDEX(ISNUMBER(SEARCH(SPLIT(row, ""/""), N71)))))))))"),"#N/A")</f>
        <v>#N/A</v>
      </c>
      <c r="Q71" s="5"/>
    </row>
    <row r="72" spans="1:17">
      <c r="A72" s="22"/>
      <c r="E72" s="21"/>
      <c r="F72" s="21"/>
      <c r="G72" s="21"/>
      <c r="I72" s="21"/>
      <c r="L72" s="21"/>
      <c r="M72" s="23"/>
    </row>
    <row r="73" spans="1:17">
      <c r="A73" s="22"/>
      <c r="E73" s="21"/>
      <c r="F73" s="21"/>
      <c r="G73" s="21"/>
      <c r="I73" s="21"/>
      <c r="L73" s="21"/>
      <c r="M73" s="23"/>
    </row>
    <row r="74" spans="1:17">
      <c r="A74" s="22"/>
      <c r="E74" s="21"/>
      <c r="F74" s="21"/>
      <c r="G74" s="21"/>
      <c r="I74" s="21"/>
      <c r="L74" s="21"/>
      <c r="M74" s="23"/>
    </row>
    <row r="75" spans="1:17">
      <c r="A75" s="22"/>
      <c r="E75" s="21"/>
      <c r="F75" s="21"/>
      <c r="G75" s="21"/>
      <c r="I75" s="21"/>
      <c r="L75" s="21"/>
      <c r="M75" s="23"/>
    </row>
    <row r="76" spans="1:17">
      <c r="A76" s="22"/>
      <c r="E76" s="21"/>
      <c r="F76" s="21"/>
      <c r="G76" s="21"/>
      <c r="I76" s="21"/>
      <c r="L76" s="21"/>
      <c r="M76" s="23"/>
    </row>
    <row r="77" spans="1:17">
      <c r="A77" s="22"/>
      <c r="E77" s="21"/>
      <c r="F77" s="21"/>
      <c r="G77" s="21"/>
      <c r="I77" s="21"/>
      <c r="L77" s="21"/>
      <c r="M77" s="23"/>
    </row>
    <row r="78" spans="1:17">
      <c r="A78" s="22"/>
      <c r="E78" s="21"/>
      <c r="F78" s="21"/>
      <c r="G78" s="21"/>
      <c r="I78" s="21"/>
      <c r="L78" s="21"/>
      <c r="M78" s="23"/>
    </row>
    <row r="79" spans="1:17">
      <c r="A79" s="22"/>
      <c r="E79" s="21"/>
      <c r="F79" s="21"/>
      <c r="G79" s="21"/>
      <c r="I79" s="21"/>
      <c r="L79" s="21"/>
      <c r="M79" s="23"/>
    </row>
    <row r="80" spans="1:17">
      <c r="A80" s="22"/>
      <c r="E80" s="21"/>
      <c r="F80" s="21"/>
      <c r="G80" s="21"/>
      <c r="I80" s="21"/>
      <c r="L80" s="21"/>
      <c r="M80" s="23"/>
    </row>
    <row r="81" spans="1:13">
      <c r="A81" s="22"/>
      <c r="E81" s="21"/>
      <c r="F81" s="21"/>
      <c r="G81" s="21"/>
      <c r="I81" s="21"/>
      <c r="L81" s="21"/>
      <c r="M81" s="23"/>
    </row>
    <row r="82" spans="1:13">
      <c r="A82" s="22"/>
      <c r="E82" s="21"/>
      <c r="F82" s="21"/>
      <c r="G82" s="21"/>
      <c r="I82" s="21"/>
      <c r="L82" s="21"/>
      <c r="M82" s="23"/>
    </row>
    <row r="83" spans="1:13">
      <c r="A83" s="22"/>
      <c r="E83" s="21"/>
      <c r="F83" s="21"/>
      <c r="G83" s="21"/>
      <c r="I83" s="21"/>
      <c r="L83" s="21"/>
      <c r="M83" s="23"/>
    </row>
    <row r="84" spans="1:13">
      <c r="A84" s="22"/>
      <c r="E84" s="21"/>
      <c r="F84" s="21"/>
      <c r="G84" s="21"/>
      <c r="I84" s="21"/>
      <c r="L84" s="21"/>
      <c r="M84" s="23"/>
    </row>
    <row r="85" spans="1:13">
      <c r="A85" s="22"/>
      <c r="E85" s="21"/>
      <c r="F85" s="21"/>
      <c r="G85" s="21"/>
      <c r="I85" s="21"/>
      <c r="L85" s="21"/>
      <c r="M85" s="23"/>
    </row>
    <row r="86" spans="1:13">
      <c r="A86" s="22"/>
      <c r="E86" s="21"/>
      <c r="F86" s="21"/>
      <c r="G86" s="21"/>
      <c r="I86" s="21"/>
      <c r="L86" s="21"/>
      <c r="M86" s="23"/>
    </row>
    <row r="87" spans="1:13">
      <c r="A87" s="22"/>
      <c r="E87" s="21"/>
      <c r="F87" s="21"/>
      <c r="G87" s="21"/>
      <c r="I87" s="21"/>
      <c r="L87" s="21"/>
      <c r="M87" s="23"/>
    </row>
    <row r="88" spans="1:13">
      <c r="A88" s="22"/>
      <c r="E88" s="21"/>
      <c r="F88" s="21"/>
      <c r="G88" s="21"/>
      <c r="I88" s="21"/>
      <c r="L88" s="21"/>
      <c r="M88" s="23"/>
    </row>
    <row r="89" spans="1:13">
      <c r="A89" s="22"/>
      <c r="E89" s="21"/>
      <c r="F89" s="21"/>
      <c r="G89" s="21"/>
      <c r="I89" s="21"/>
      <c r="L89" s="21"/>
      <c r="M89" s="23"/>
    </row>
    <row r="90" spans="1:13">
      <c r="A90" s="22"/>
      <c r="E90" s="21"/>
      <c r="F90" s="21"/>
      <c r="G90" s="21"/>
      <c r="I90" s="21"/>
      <c r="L90" s="21"/>
      <c r="M90" s="23"/>
    </row>
    <row r="91" spans="1:13">
      <c r="A91" s="22"/>
      <c r="E91" s="21"/>
      <c r="F91" s="21"/>
      <c r="G91" s="21"/>
      <c r="I91" s="21"/>
      <c r="L91" s="21"/>
      <c r="M91" s="23"/>
    </row>
    <row r="92" spans="1:13">
      <c r="A92" s="22"/>
      <c r="E92" s="21"/>
      <c r="F92" s="21"/>
      <c r="G92" s="21"/>
      <c r="I92" s="21"/>
      <c r="L92" s="21"/>
      <c r="M92" s="23"/>
    </row>
    <row r="93" spans="1:13">
      <c r="A93" s="22"/>
      <c r="E93" s="21"/>
      <c r="F93" s="21"/>
      <c r="G93" s="21"/>
      <c r="I93" s="21"/>
      <c r="L93" s="21"/>
      <c r="M93" s="23"/>
    </row>
    <row r="94" spans="1:13">
      <c r="A94" s="22"/>
      <c r="E94" s="21"/>
      <c r="F94" s="21"/>
      <c r="G94" s="21"/>
      <c r="I94" s="21"/>
      <c r="L94" s="21"/>
      <c r="M94" s="23"/>
    </row>
    <row r="95" spans="1:13">
      <c r="A95" s="22"/>
      <c r="E95" s="21"/>
      <c r="F95" s="21"/>
      <c r="G95" s="21"/>
      <c r="I95" s="21"/>
      <c r="L95" s="21"/>
      <c r="M95" s="23"/>
    </row>
    <row r="96" spans="1:13">
      <c r="A96" s="22"/>
      <c r="E96" s="21"/>
      <c r="F96" s="21"/>
      <c r="G96" s="21"/>
      <c r="I96" s="21"/>
      <c r="L96" s="21"/>
      <c r="M96" s="23"/>
    </row>
    <row r="97" spans="1:13">
      <c r="A97" s="22"/>
      <c r="E97" s="21"/>
      <c r="F97" s="21"/>
      <c r="G97" s="21"/>
      <c r="I97" s="21"/>
      <c r="L97" s="21"/>
      <c r="M97" s="23"/>
    </row>
    <row r="98" spans="1:13">
      <c r="A98" s="22"/>
      <c r="E98" s="21"/>
      <c r="F98" s="21"/>
      <c r="G98" s="21"/>
      <c r="I98" s="21"/>
      <c r="L98" s="21"/>
      <c r="M98" s="23"/>
    </row>
    <row r="99" spans="1:13">
      <c r="A99" s="22"/>
      <c r="E99" s="21"/>
      <c r="F99" s="21"/>
      <c r="G99" s="21"/>
      <c r="I99" s="21"/>
      <c r="L99" s="21"/>
      <c r="M99" s="23"/>
    </row>
    <row r="100" spans="1:13">
      <c r="A100" s="22"/>
      <c r="E100" s="21"/>
      <c r="F100" s="21"/>
      <c r="G100" s="21"/>
      <c r="I100" s="21"/>
      <c r="L100" s="21"/>
      <c r="M100" s="23"/>
    </row>
    <row r="101" spans="1:13">
      <c r="A101" s="22"/>
      <c r="E101" s="21"/>
      <c r="F101" s="21"/>
      <c r="G101" s="21"/>
      <c r="I101" s="21"/>
      <c r="L101" s="21"/>
      <c r="M101" s="23"/>
    </row>
    <row r="102" spans="1:13">
      <c r="A102" s="22"/>
      <c r="E102" s="21"/>
      <c r="F102" s="21"/>
      <c r="G102" s="21"/>
      <c r="I102" s="21"/>
      <c r="L102" s="21"/>
      <c r="M102" s="23"/>
    </row>
    <row r="103" spans="1:13">
      <c r="A103" s="22"/>
      <c r="E103" s="21"/>
      <c r="F103" s="21"/>
      <c r="G103" s="21"/>
      <c r="I103" s="21"/>
      <c r="L103" s="21"/>
      <c r="M103" s="23"/>
    </row>
    <row r="104" spans="1:13">
      <c r="A104" s="22"/>
      <c r="E104" s="21"/>
      <c r="F104" s="21"/>
      <c r="G104" s="21"/>
      <c r="I104" s="21"/>
      <c r="L104" s="21"/>
      <c r="M104" s="23"/>
    </row>
    <row r="105" spans="1:13">
      <c r="A105" s="22"/>
      <c r="E105" s="21"/>
      <c r="F105" s="21"/>
      <c r="G105" s="21"/>
      <c r="I105" s="21"/>
      <c r="L105" s="21"/>
      <c r="M105" s="23"/>
    </row>
    <row r="106" spans="1:13">
      <c r="A106" s="22"/>
      <c r="E106" s="21"/>
      <c r="F106" s="21"/>
      <c r="G106" s="21"/>
      <c r="I106" s="21"/>
      <c r="L106" s="21"/>
      <c r="M106" s="23"/>
    </row>
    <row r="107" spans="1:13">
      <c r="A107" s="22"/>
      <c r="E107" s="21"/>
      <c r="F107" s="21"/>
      <c r="G107" s="21"/>
      <c r="I107" s="21"/>
      <c r="L107" s="21"/>
      <c r="M107" s="23"/>
    </row>
    <row r="108" spans="1:13">
      <c r="A108" s="22"/>
      <c r="E108" s="21"/>
      <c r="F108" s="21"/>
      <c r="G108" s="21"/>
      <c r="I108" s="21"/>
      <c r="L108" s="21"/>
      <c r="M108" s="23"/>
    </row>
    <row r="109" spans="1:13">
      <c r="A109" s="22"/>
      <c r="E109" s="21"/>
      <c r="F109" s="21"/>
      <c r="G109" s="21"/>
      <c r="I109" s="21"/>
      <c r="L109" s="21"/>
      <c r="M109" s="23"/>
    </row>
    <row r="110" spans="1:13">
      <c r="A110" s="22"/>
      <c r="E110" s="21"/>
      <c r="F110" s="21"/>
      <c r="G110" s="21"/>
      <c r="I110" s="21"/>
      <c r="L110" s="21"/>
      <c r="M110" s="23"/>
    </row>
    <row r="111" spans="1:13">
      <c r="A111" s="22"/>
      <c r="E111" s="21"/>
      <c r="F111" s="21"/>
      <c r="G111" s="21"/>
      <c r="I111" s="21"/>
      <c r="L111" s="21"/>
      <c r="M111" s="23"/>
    </row>
    <row r="112" spans="1:13">
      <c r="A112" s="22"/>
      <c r="E112" s="21"/>
      <c r="F112" s="21"/>
      <c r="G112" s="21"/>
      <c r="I112" s="21"/>
      <c r="L112" s="21"/>
      <c r="M112" s="23"/>
    </row>
    <row r="113" spans="1:13">
      <c r="A113" s="22"/>
      <c r="E113" s="21"/>
      <c r="F113" s="21"/>
      <c r="G113" s="21"/>
      <c r="I113" s="21"/>
      <c r="L113" s="21"/>
      <c r="M113" s="23"/>
    </row>
    <row r="114" spans="1:13">
      <c r="A114" s="22"/>
      <c r="E114" s="21"/>
      <c r="F114" s="21"/>
      <c r="G114" s="21"/>
      <c r="I114" s="21"/>
      <c r="L114" s="21"/>
      <c r="M114" s="23"/>
    </row>
    <row r="115" spans="1:13">
      <c r="A115" s="22"/>
      <c r="E115" s="21"/>
      <c r="F115" s="21"/>
      <c r="G115" s="21"/>
      <c r="I115" s="21"/>
      <c r="L115" s="21"/>
      <c r="M115" s="23"/>
    </row>
    <row r="116" spans="1:13">
      <c r="A116" s="22"/>
      <c r="E116" s="21"/>
      <c r="F116" s="21"/>
      <c r="G116" s="21"/>
      <c r="I116" s="21"/>
      <c r="L116" s="21"/>
      <c r="M116" s="23"/>
    </row>
    <row r="117" spans="1:13">
      <c r="A117" s="22"/>
      <c r="E117" s="21"/>
      <c r="F117" s="21"/>
      <c r="G117" s="21"/>
      <c r="I117" s="21"/>
      <c r="L117" s="21"/>
      <c r="M117" s="23"/>
    </row>
    <row r="118" spans="1:13">
      <c r="A118" s="22"/>
      <c r="E118" s="21"/>
      <c r="F118" s="21"/>
      <c r="G118" s="21"/>
      <c r="I118" s="21"/>
      <c r="L118" s="21"/>
      <c r="M118" s="23"/>
    </row>
    <row r="119" spans="1:13">
      <c r="A119" s="22"/>
      <c r="E119" s="21"/>
      <c r="F119" s="21"/>
      <c r="G119" s="21"/>
      <c r="I119" s="21"/>
      <c r="L119" s="21"/>
      <c r="M119" s="23"/>
    </row>
    <row r="120" spans="1:13">
      <c r="A120" s="22"/>
      <c r="E120" s="21"/>
      <c r="F120" s="21"/>
      <c r="G120" s="21"/>
      <c r="I120" s="21"/>
      <c r="L120" s="21"/>
      <c r="M120" s="23"/>
    </row>
    <row r="121" spans="1:13">
      <c r="A121" s="22"/>
      <c r="E121" s="21"/>
      <c r="F121" s="21"/>
      <c r="G121" s="21"/>
      <c r="I121" s="21"/>
      <c r="L121" s="21"/>
      <c r="M121" s="23"/>
    </row>
    <row r="122" spans="1:13">
      <c r="A122" s="22"/>
      <c r="E122" s="21"/>
      <c r="F122" s="21"/>
      <c r="G122" s="21"/>
      <c r="I122" s="21"/>
      <c r="L122" s="21"/>
      <c r="M122" s="23"/>
    </row>
    <row r="123" spans="1:13">
      <c r="A123" s="22"/>
      <c r="E123" s="21"/>
      <c r="F123" s="21"/>
      <c r="G123" s="21"/>
      <c r="I123" s="21"/>
      <c r="L123" s="21"/>
      <c r="M123" s="23"/>
    </row>
    <row r="124" spans="1:13">
      <c r="A124" s="22"/>
      <c r="E124" s="21"/>
      <c r="F124" s="21"/>
      <c r="G124" s="21"/>
      <c r="I124" s="21"/>
      <c r="L124" s="21"/>
      <c r="M124" s="23"/>
    </row>
    <row r="125" spans="1:13">
      <c r="A125" s="22"/>
      <c r="E125" s="21"/>
      <c r="F125" s="21"/>
      <c r="G125" s="21"/>
      <c r="I125" s="21"/>
      <c r="L125" s="21"/>
      <c r="M125" s="23"/>
    </row>
    <row r="126" spans="1:13">
      <c r="A126" s="22"/>
      <c r="E126" s="21"/>
      <c r="F126" s="21"/>
      <c r="G126" s="21"/>
      <c r="I126" s="21"/>
      <c r="L126" s="21"/>
      <c r="M126" s="23"/>
    </row>
    <row r="127" spans="1:13">
      <c r="A127" s="22"/>
      <c r="E127" s="21"/>
      <c r="F127" s="21"/>
      <c r="G127" s="21"/>
      <c r="I127" s="21"/>
      <c r="L127" s="21"/>
      <c r="M127" s="23"/>
    </row>
    <row r="128" spans="1:13">
      <c r="A128" s="22"/>
      <c r="E128" s="21"/>
      <c r="F128" s="21"/>
      <c r="G128" s="21"/>
      <c r="I128" s="21"/>
      <c r="L128" s="21"/>
      <c r="M128" s="23"/>
    </row>
    <row r="129" spans="1:13">
      <c r="A129" s="22"/>
      <c r="E129" s="21"/>
      <c r="F129" s="21"/>
      <c r="G129" s="21"/>
      <c r="I129" s="21"/>
      <c r="L129" s="21"/>
      <c r="M129" s="23"/>
    </row>
    <row r="130" spans="1:13">
      <c r="A130" s="22"/>
      <c r="E130" s="21"/>
      <c r="F130" s="21"/>
      <c r="G130" s="21"/>
      <c r="I130" s="21"/>
      <c r="L130" s="21"/>
      <c r="M130" s="23"/>
    </row>
    <row r="131" spans="1:13">
      <c r="A131" s="22"/>
      <c r="E131" s="21"/>
      <c r="F131" s="21"/>
      <c r="G131" s="21"/>
      <c r="I131" s="21"/>
      <c r="L131" s="21"/>
      <c r="M131" s="23"/>
    </row>
    <row r="132" spans="1:13">
      <c r="A132" s="22"/>
      <c r="E132" s="21"/>
      <c r="F132" s="21"/>
      <c r="G132" s="21"/>
      <c r="I132" s="21"/>
      <c r="L132" s="21"/>
      <c r="M132" s="23"/>
    </row>
    <row r="133" spans="1:13">
      <c r="A133" s="22"/>
      <c r="E133" s="21"/>
      <c r="F133" s="21"/>
      <c r="G133" s="21"/>
      <c r="I133" s="21"/>
      <c r="L133" s="21"/>
      <c r="M133" s="23"/>
    </row>
    <row r="134" spans="1:13">
      <c r="A134" s="22"/>
      <c r="E134" s="21"/>
      <c r="F134" s="21"/>
      <c r="G134" s="21"/>
      <c r="I134" s="21"/>
      <c r="L134" s="21"/>
      <c r="M134" s="23"/>
    </row>
    <row r="135" spans="1:13">
      <c r="A135" s="22"/>
      <c r="E135" s="21"/>
      <c r="F135" s="21"/>
      <c r="G135" s="21"/>
      <c r="I135" s="21"/>
      <c r="L135" s="21"/>
      <c r="M135" s="23"/>
    </row>
    <row r="136" spans="1:13">
      <c r="A136" s="22"/>
      <c r="E136" s="21"/>
      <c r="F136" s="21"/>
      <c r="G136" s="21"/>
      <c r="I136" s="21"/>
      <c r="L136" s="21"/>
      <c r="M136" s="23"/>
    </row>
    <row r="137" spans="1:13">
      <c r="A137" s="22"/>
      <c r="E137" s="21"/>
      <c r="F137" s="21"/>
      <c r="G137" s="21"/>
      <c r="I137" s="21"/>
      <c r="L137" s="21"/>
      <c r="M137" s="23"/>
    </row>
    <row r="138" spans="1:13">
      <c r="A138" s="22"/>
      <c r="E138" s="21"/>
      <c r="F138" s="21"/>
      <c r="G138" s="21"/>
      <c r="I138" s="21"/>
      <c r="L138" s="21"/>
      <c r="M138" s="23"/>
    </row>
    <row r="139" spans="1:13">
      <c r="A139" s="22"/>
      <c r="E139" s="21"/>
      <c r="F139" s="21"/>
      <c r="G139" s="21"/>
      <c r="I139" s="21"/>
      <c r="L139" s="21"/>
      <c r="M139" s="23"/>
    </row>
    <row r="140" spans="1:13">
      <c r="A140" s="22"/>
      <c r="E140" s="21"/>
      <c r="F140" s="21"/>
      <c r="G140" s="21"/>
      <c r="I140" s="21"/>
      <c r="L140" s="21"/>
      <c r="M140" s="23"/>
    </row>
    <row r="141" spans="1:13">
      <c r="A141" s="22"/>
      <c r="E141" s="21"/>
      <c r="F141" s="21"/>
      <c r="G141" s="21"/>
      <c r="I141" s="21"/>
      <c r="L141" s="21"/>
      <c r="M141" s="23"/>
    </row>
    <row r="142" spans="1:13">
      <c r="A142" s="22"/>
      <c r="E142" s="21"/>
      <c r="F142" s="21"/>
      <c r="G142" s="21"/>
      <c r="I142" s="21"/>
      <c r="L142" s="21"/>
      <c r="M142" s="23"/>
    </row>
    <row r="143" spans="1:13">
      <c r="A143" s="22"/>
      <c r="E143" s="21"/>
      <c r="F143" s="21"/>
      <c r="G143" s="21"/>
      <c r="I143" s="21"/>
      <c r="L143" s="21"/>
      <c r="M143" s="23"/>
    </row>
    <row r="144" spans="1:13">
      <c r="A144" s="22"/>
      <c r="E144" s="21"/>
      <c r="F144" s="21"/>
      <c r="G144" s="21"/>
      <c r="I144" s="21"/>
      <c r="L144" s="21"/>
      <c r="M144" s="23"/>
    </row>
    <row r="145" spans="1:13">
      <c r="A145" s="22"/>
      <c r="E145" s="21"/>
      <c r="F145" s="21"/>
      <c r="G145" s="21"/>
      <c r="I145" s="21"/>
      <c r="L145" s="21"/>
      <c r="M145" s="23"/>
    </row>
    <row r="146" spans="1:13">
      <c r="A146" s="22"/>
      <c r="E146" s="21"/>
      <c r="F146" s="21"/>
      <c r="G146" s="21"/>
      <c r="I146" s="21"/>
      <c r="L146" s="21"/>
      <c r="M146" s="23"/>
    </row>
    <row r="147" spans="1:13">
      <c r="A147" s="22"/>
      <c r="E147" s="21"/>
      <c r="F147" s="21"/>
      <c r="G147" s="21"/>
      <c r="I147" s="21"/>
      <c r="L147" s="21"/>
      <c r="M147" s="23"/>
    </row>
    <row r="148" spans="1:13">
      <c r="A148" s="22"/>
      <c r="E148" s="21"/>
      <c r="F148" s="21"/>
      <c r="G148" s="21"/>
      <c r="I148" s="21"/>
      <c r="L148" s="21"/>
      <c r="M148" s="23"/>
    </row>
    <row r="149" spans="1:13">
      <c r="A149" s="22"/>
      <c r="E149" s="21"/>
      <c r="F149" s="21"/>
      <c r="G149" s="21"/>
      <c r="I149" s="21"/>
      <c r="L149" s="21"/>
      <c r="M149" s="23"/>
    </row>
    <row r="150" spans="1:13">
      <c r="A150" s="22"/>
      <c r="E150" s="21"/>
      <c r="F150" s="21"/>
      <c r="G150" s="21"/>
      <c r="I150" s="21"/>
      <c r="L150" s="21"/>
      <c r="M150" s="23"/>
    </row>
    <row r="151" spans="1:13">
      <c r="A151" s="22"/>
      <c r="E151" s="21"/>
      <c r="F151" s="21"/>
      <c r="G151" s="21"/>
      <c r="I151" s="21"/>
      <c r="L151" s="21"/>
      <c r="M151" s="23"/>
    </row>
    <row r="152" spans="1:13">
      <c r="A152" s="22"/>
      <c r="E152" s="21"/>
      <c r="F152" s="21"/>
      <c r="G152" s="21"/>
      <c r="I152" s="21"/>
      <c r="L152" s="21"/>
      <c r="M152" s="23"/>
    </row>
    <row r="153" spans="1:13">
      <c r="A153" s="22"/>
      <c r="E153" s="21"/>
      <c r="F153" s="21"/>
      <c r="G153" s="21"/>
      <c r="I153" s="21"/>
      <c r="L153" s="21"/>
      <c r="M153" s="23"/>
    </row>
    <row r="154" spans="1:13">
      <c r="A154" s="22"/>
      <c r="E154" s="21"/>
      <c r="F154" s="21"/>
      <c r="G154" s="21"/>
      <c r="I154" s="21"/>
      <c r="L154" s="21"/>
      <c r="M154" s="23"/>
    </row>
    <row r="155" spans="1:13">
      <c r="A155" s="22"/>
      <c r="E155" s="21"/>
      <c r="F155" s="21"/>
      <c r="G155" s="21"/>
      <c r="I155" s="21"/>
      <c r="L155" s="21"/>
      <c r="M155" s="23"/>
    </row>
    <row r="156" spans="1:13">
      <c r="A156" s="22"/>
      <c r="E156" s="21"/>
      <c r="F156" s="21"/>
      <c r="G156" s="21"/>
      <c r="I156" s="21"/>
      <c r="L156" s="21"/>
      <c r="M156" s="23"/>
    </row>
    <row r="157" spans="1:13">
      <c r="A157" s="22"/>
      <c r="E157" s="21"/>
      <c r="F157" s="21"/>
      <c r="G157" s="21"/>
      <c r="I157" s="21"/>
      <c r="L157" s="21"/>
      <c r="M157" s="23"/>
    </row>
    <row r="158" spans="1:13">
      <c r="A158" s="22"/>
      <c r="E158" s="21"/>
      <c r="F158" s="21"/>
      <c r="G158" s="21"/>
      <c r="I158" s="21"/>
      <c r="L158" s="21"/>
      <c r="M158" s="23"/>
    </row>
    <row r="159" spans="1:13">
      <c r="A159" s="22"/>
      <c r="E159" s="21"/>
      <c r="F159" s="21"/>
      <c r="G159" s="21"/>
      <c r="I159" s="21"/>
      <c r="L159" s="21"/>
      <c r="M159" s="23"/>
    </row>
    <row r="160" spans="1:13">
      <c r="A160" s="22"/>
      <c r="E160" s="21"/>
      <c r="F160" s="21"/>
      <c r="G160" s="21"/>
      <c r="I160" s="21"/>
      <c r="L160" s="21"/>
      <c r="M160" s="23"/>
    </row>
    <row r="161" spans="1:13">
      <c r="A161" s="22"/>
      <c r="E161" s="21"/>
      <c r="F161" s="21"/>
      <c r="G161" s="21"/>
      <c r="I161" s="21"/>
      <c r="L161" s="21"/>
      <c r="M161" s="23"/>
    </row>
    <row r="162" spans="1:13">
      <c r="A162" s="22"/>
      <c r="E162" s="21"/>
      <c r="F162" s="21"/>
      <c r="G162" s="21"/>
      <c r="I162" s="21"/>
      <c r="L162" s="21"/>
      <c r="M162" s="23"/>
    </row>
    <row r="163" spans="1:13">
      <c r="A163" s="22"/>
      <c r="E163" s="21"/>
      <c r="F163" s="21"/>
      <c r="G163" s="21"/>
      <c r="I163" s="21"/>
      <c r="L163" s="21"/>
      <c r="M163" s="23"/>
    </row>
    <row r="164" spans="1:13">
      <c r="A164" s="22"/>
      <c r="E164" s="21"/>
      <c r="F164" s="21"/>
      <c r="G164" s="21"/>
      <c r="I164" s="21"/>
      <c r="L164" s="21"/>
      <c r="M164" s="23"/>
    </row>
    <row r="165" spans="1:13">
      <c r="A165" s="22"/>
      <c r="E165" s="21"/>
      <c r="F165" s="21"/>
      <c r="G165" s="21"/>
      <c r="I165" s="21"/>
      <c r="L165" s="21"/>
      <c r="M165" s="23"/>
    </row>
    <row r="166" spans="1:13">
      <c r="A166" s="22"/>
      <c r="E166" s="21"/>
      <c r="F166" s="21"/>
      <c r="G166" s="21"/>
      <c r="I166" s="21"/>
      <c r="L166" s="21"/>
      <c r="M166" s="23"/>
    </row>
    <row r="167" spans="1:13">
      <c r="A167" s="22"/>
      <c r="E167" s="21"/>
      <c r="F167" s="21"/>
      <c r="G167" s="21"/>
      <c r="I167" s="21"/>
      <c r="L167" s="21"/>
      <c r="M167" s="23"/>
    </row>
    <row r="168" spans="1:13">
      <c r="A168" s="22"/>
      <c r="E168" s="21"/>
      <c r="F168" s="21"/>
      <c r="G168" s="21"/>
      <c r="I168" s="21"/>
      <c r="L168" s="21"/>
      <c r="M168" s="23"/>
    </row>
    <row r="169" spans="1:13">
      <c r="A169" s="22"/>
      <c r="E169" s="21"/>
      <c r="F169" s="21"/>
      <c r="G169" s="21"/>
      <c r="I169" s="21"/>
      <c r="L169" s="21"/>
      <c r="M169" s="23"/>
    </row>
    <row r="170" spans="1:13">
      <c r="A170" s="22"/>
      <c r="E170" s="21"/>
      <c r="F170" s="21"/>
      <c r="G170" s="21"/>
      <c r="I170" s="21"/>
      <c r="L170" s="21"/>
      <c r="M170" s="23"/>
    </row>
    <row r="171" spans="1:13">
      <c r="A171" s="22"/>
      <c r="E171" s="21"/>
      <c r="F171" s="21"/>
      <c r="G171" s="21"/>
      <c r="I171" s="21"/>
      <c r="L171" s="21"/>
      <c r="M171" s="23"/>
    </row>
    <row r="172" spans="1:13">
      <c r="A172" s="22"/>
      <c r="E172" s="21"/>
      <c r="F172" s="21"/>
      <c r="G172" s="21"/>
      <c r="I172" s="21"/>
      <c r="L172" s="21"/>
      <c r="M172" s="23"/>
    </row>
    <row r="173" spans="1:13">
      <c r="A173" s="22"/>
      <c r="E173" s="21"/>
      <c r="F173" s="21"/>
      <c r="G173" s="21"/>
      <c r="I173" s="21"/>
      <c r="L173" s="21"/>
      <c r="M173" s="23"/>
    </row>
    <row r="174" spans="1:13">
      <c r="A174" s="22"/>
      <c r="E174" s="21"/>
      <c r="F174" s="21"/>
      <c r="G174" s="21"/>
      <c r="I174" s="21"/>
      <c r="L174" s="21"/>
      <c r="M174" s="23"/>
    </row>
    <row r="175" spans="1:13">
      <c r="A175" s="22"/>
      <c r="E175" s="21"/>
      <c r="F175" s="21"/>
      <c r="G175" s="21"/>
      <c r="I175" s="21"/>
      <c r="L175" s="21"/>
      <c r="M175" s="23"/>
    </row>
    <row r="176" spans="1:13">
      <c r="A176" s="22"/>
      <c r="E176" s="21"/>
      <c r="F176" s="21"/>
      <c r="G176" s="21"/>
      <c r="I176" s="21"/>
      <c r="L176" s="21"/>
      <c r="M176" s="23"/>
    </row>
    <row r="177" spans="1:13">
      <c r="A177" s="22"/>
      <c r="E177" s="21"/>
      <c r="F177" s="21"/>
      <c r="G177" s="21"/>
      <c r="I177" s="21"/>
      <c r="L177" s="21"/>
      <c r="M177" s="23"/>
    </row>
    <row r="178" spans="1:13">
      <c r="A178" s="22"/>
      <c r="E178" s="21"/>
      <c r="F178" s="21"/>
      <c r="G178" s="21"/>
      <c r="I178" s="21"/>
      <c r="L178" s="21"/>
      <c r="M178" s="23"/>
    </row>
    <row r="179" spans="1:13">
      <c r="A179" s="22"/>
      <c r="E179" s="21"/>
      <c r="F179" s="21"/>
      <c r="G179" s="21"/>
      <c r="I179" s="21"/>
      <c r="L179" s="21"/>
      <c r="M179" s="23"/>
    </row>
    <row r="180" spans="1:13">
      <c r="A180" s="22"/>
      <c r="E180" s="21"/>
      <c r="F180" s="21"/>
      <c r="G180" s="21"/>
      <c r="I180" s="21"/>
      <c r="L180" s="21"/>
      <c r="M180" s="23"/>
    </row>
    <row r="181" spans="1:13">
      <c r="A181" s="22"/>
      <c r="E181" s="21"/>
      <c r="F181" s="21"/>
      <c r="G181" s="21"/>
      <c r="I181" s="21"/>
      <c r="L181" s="21"/>
      <c r="M181" s="23"/>
    </row>
    <row r="182" spans="1:13">
      <c r="A182" s="22"/>
      <c r="E182" s="21"/>
      <c r="F182" s="21"/>
      <c r="G182" s="21"/>
      <c r="I182" s="21"/>
      <c r="L182" s="21"/>
      <c r="M182" s="23"/>
    </row>
    <row r="183" spans="1:13">
      <c r="A183" s="22"/>
      <c r="E183" s="21"/>
      <c r="F183" s="21"/>
      <c r="G183" s="21"/>
      <c r="I183" s="21"/>
      <c r="L183" s="21"/>
      <c r="M183" s="23"/>
    </row>
    <row r="184" spans="1:13">
      <c r="A184" s="22"/>
      <c r="E184" s="21"/>
      <c r="F184" s="21"/>
      <c r="G184" s="21"/>
      <c r="I184" s="21"/>
      <c r="L184" s="21"/>
      <c r="M184" s="23"/>
    </row>
    <row r="185" spans="1:13">
      <c r="A185" s="22"/>
      <c r="E185" s="21"/>
      <c r="F185" s="21"/>
      <c r="G185" s="21"/>
      <c r="I185" s="21"/>
      <c r="L185" s="21"/>
      <c r="M185" s="23"/>
    </row>
    <row r="186" spans="1:13">
      <c r="A186" s="22"/>
      <c r="E186" s="21"/>
      <c r="F186" s="21"/>
      <c r="G186" s="21"/>
      <c r="I186" s="21"/>
      <c r="L186" s="21"/>
      <c r="M186" s="23"/>
    </row>
    <row r="187" spans="1:13">
      <c r="A187" s="22"/>
      <c r="E187" s="21"/>
      <c r="F187" s="21"/>
      <c r="G187" s="21"/>
      <c r="I187" s="21"/>
      <c r="L187" s="21"/>
      <c r="M187" s="23"/>
    </row>
    <row r="188" spans="1:13">
      <c r="A188" s="22"/>
      <c r="E188" s="21"/>
      <c r="F188" s="21"/>
      <c r="G188" s="21"/>
      <c r="I188" s="21"/>
      <c r="L188" s="21"/>
      <c r="M188" s="23"/>
    </row>
    <row r="189" spans="1:13">
      <c r="A189" s="22"/>
      <c r="E189" s="21"/>
      <c r="F189" s="21"/>
      <c r="G189" s="21"/>
      <c r="I189" s="21"/>
      <c r="L189" s="21"/>
      <c r="M189" s="23"/>
    </row>
    <row r="190" spans="1:13">
      <c r="A190" s="22"/>
      <c r="E190" s="21"/>
      <c r="F190" s="21"/>
      <c r="G190" s="21"/>
      <c r="I190" s="21"/>
      <c r="L190" s="21"/>
      <c r="M190" s="23"/>
    </row>
    <row r="191" spans="1:13">
      <c r="A191" s="22"/>
      <c r="E191" s="21"/>
      <c r="F191" s="21"/>
      <c r="G191" s="21"/>
      <c r="I191" s="21"/>
      <c r="L191" s="21"/>
      <c r="M191" s="23"/>
    </row>
    <row r="192" spans="1:13">
      <c r="A192" s="22"/>
      <c r="E192" s="21"/>
      <c r="F192" s="21"/>
      <c r="G192" s="21"/>
      <c r="I192" s="21"/>
      <c r="L192" s="21"/>
      <c r="M192" s="23"/>
    </row>
    <row r="193" spans="1:13">
      <c r="A193" s="22"/>
      <c r="E193" s="21"/>
      <c r="F193" s="21"/>
      <c r="G193" s="21"/>
      <c r="I193" s="21"/>
      <c r="L193" s="21"/>
      <c r="M193" s="23"/>
    </row>
    <row r="194" spans="1:13">
      <c r="A194" s="22"/>
      <c r="E194" s="21"/>
      <c r="F194" s="21"/>
      <c r="G194" s="21"/>
      <c r="I194" s="21"/>
      <c r="L194" s="21"/>
      <c r="M194" s="23"/>
    </row>
    <row r="195" spans="1:13">
      <c r="A195" s="22"/>
      <c r="E195" s="21"/>
      <c r="F195" s="21"/>
      <c r="G195" s="21"/>
      <c r="I195" s="21"/>
      <c r="L195" s="21"/>
      <c r="M195" s="23"/>
    </row>
    <row r="196" spans="1:13">
      <c r="A196" s="22"/>
      <c r="E196" s="21"/>
      <c r="F196" s="21"/>
      <c r="G196" s="21"/>
      <c r="I196" s="21"/>
      <c r="L196" s="21"/>
      <c r="M196" s="23"/>
    </row>
    <row r="197" spans="1:13">
      <c r="A197" s="22"/>
      <c r="E197" s="21"/>
      <c r="F197" s="21"/>
      <c r="G197" s="21"/>
      <c r="I197" s="21"/>
      <c r="L197" s="21"/>
      <c r="M197" s="23"/>
    </row>
    <row r="198" spans="1:13">
      <c r="A198" s="22"/>
      <c r="E198" s="21"/>
      <c r="F198" s="21"/>
      <c r="G198" s="21"/>
      <c r="I198" s="21"/>
      <c r="L198" s="21"/>
      <c r="M198" s="23"/>
    </row>
    <row r="199" spans="1:13">
      <c r="A199" s="22"/>
      <c r="E199" s="21"/>
      <c r="F199" s="21"/>
      <c r="G199" s="21"/>
      <c r="I199" s="21"/>
      <c r="L199" s="21"/>
      <c r="M199" s="23"/>
    </row>
    <row r="200" spans="1:13">
      <c r="A200" s="22"/>
      <c r="E200" s="21"/>
      <c r="F200" s="21"/>
      <c r="G200" s="21"/>
      <c r="I200" s="21"/>
      <c r="L200" s="21"/>
      <c r="M200" s="23"/>
    </row>
    <row r="201" spans="1:13">
      <c r="A201" s="22"/>
      <c r="E201" s="21"/>
      <c r="F201" s="21"/>
      <c r="G201" s="21"/>
      <c r="I201" s="21"/>
      <c r="L201" s="21"/>
      <c r="M201" s="23"/>
    </row>
    <row r="202" spans="1:13">
      <c r="A202" s="22"/>
      <c r="E202" s="21"/>
      <c r="F202" s="21"/>
      <c r="G202" s="21"/>
      <c r="I202" s="21"/>
      <c r="L202" s="21"/>
      <c r="M202" s="23"/>
    </row>
    <row r="203" spans="1:13">
      <c r="A203" s="22"/>
      <c r="E203" s="21"/>
      <c r="F203" s="21"/>
      <c r="G203" s="21"/>
      <c r="I203" s="21"/>
      <c r="L203" s="21"/>
      <c r="M203" s="23"/>
    </row>
    <row r="204" spans="1:13">
      <c r="A204" s="22"/>
      <c r="E204" s="21"/>
      <c r="F204" s="21"/>
      <c r="G204" s="21"/>
      <c r="I204" s="21"/>
      <c r="L204" s="21"/>
      <c r="M204" s="23"/>
    </row>
    <row r="205" spans="1:13">
      <c r="A205" s="22"/>
      <c r="E205" s="21"/>
      <c r="F205" s="21"/>
      <c r="G205" s="21"/>
      <c r="I205" s="21"/>
      <c r="L205" s="21"/>
      <c r="M205" s="23"/>
    </row>
    <row r="206" spans="1:13">
      <c r="A206" s="22"/>
      <c r="E206" s="21"/>
      <c r="F206" s="21"/>
      <c r="G206" s="21"/>
      <c r="I206" s="21"/>
      <c r="L206" s="21"/>
      <c r="M206" s="23"/>
    </row>
    <row r="207" spans="1:13">
      <c r="A207" s="22"/>
      <c r="E207" s="21"/>
      <c r="F207" s="21"/>
      <c r="G207" s="21"/>
      <c r="I207" s="21"/>
      <c r="L207" s="21"/>
      <c r="M207" s="23"/>
    </row>
    <row r="208" spans="1:13">
      <c r="A208" s="22"/>
      <c r="E208" s="21"/>
      <c r="F208" s="21"/>
      <c r="G208" s="21"/>
      <c r="I208" s="21"/>
      <c r="L208" s="21"/>
      <c r="M208" s="23"/>
    </row>
    <row r="209" spans="1:13">
      <c r="A209" s="22"/>
      <c r="E209" s="21"/>
      <c r="F209" s="21"/>
      <c r="G209" s="21"/>
      <c r="I209" s="21"/>
      <c r="L209" s="21"/>
      <c r="M209" s="23"/>
    </row>
    <row r="210" spans="1:13">
      <c r="A210" s="22"/>
      <c r="E210" s="21"/>
      <c r="F210" s="21"/>
      <c r="G210" s="21"/>
      <c r="I210" s="21"/>
      <c r="L210" s="21"/>
      <c r="M210" s="23"/>
    </row>
    <row r="211" spans="1:13">
      <c r="A211" s="22"/>
      <c r="E211" s="21"/>
      <c r="F211" s="21"/>
      <c r="G211" s="21"/>
      <c r="I211" s="21"/>
      <c r="L211" s="21"/>
      <c r="M211" s="23"/>
    </row>
    <row r="212" spans="1:13">
      <c r="A212" s="22"/>
      <c r="E212" s="21"/>
      <c r="F212" s="21"/>
      <c r="G212" s="21"/>
      <c r="I212" s="21"/>
      <c r="L212" s="21"/>
      <c r="M212" s="23"/>
    </row>
    <row r="213" spans="1:13">
      <c r="A213" s="22"/>
      <c r="E213" s="21"/>
      <c r="F213" s="21"/>
      <c r="G213" s="21"/>
      <c r="I213" s="21"/>
      <c r="L213" s="21"/>
      <c r="M213" s="23"/>
    </row>
    <row r="214" spans="1:13">
      <c r="A214" s="22"/>
      <c r="E214" s="21"/>
      <c r="F214" s="21"/>
      <c r="G214" s="21"/>
      <c r="I214" s="21"/>
      <c r="L214" s="21"/>
      <c r="M214" s="23"/>
    </row>
    <row r="215" spans="1:13">
      <c r="A215" s="22"/>
      <c r="E215" s="21"/>
      <c r="F215" s="21"/>
      <c r="G215" s="21"/>
      <c r="I215" s="21"/>
      <c r="L215" s="21"/>
      <c r="M215" s="23"/>
    </row>
    <row r="216" spans="1:13">
      <c r="A216" s="22"/>
      <c r="E216" s="21"/>
      <c r="F216" s="21"/>
      <c r="G216" s="21"/>
      <c r="I216" s="21"/>
      <c r="L216" s="21"/>
      <c r="M216" s="23"/>
    </row>
    <row r="217" spans="1:13">
      <c r="A217" s="22"/>
      <c r="E217" s="21"/>
      <c r="F217" s="21"/>
      <c r="G217" s="21"/>
      <c r="I217" s="21"/>
      <c r="L217" s="21"/>
      <c r="M217" s="23"/>
    </row>
    <row r="218" spans="1:13">
      <c r="A218" s="22"/>
      <c r="E218" s="21"/>
      <c r="F218" s="21"/>
      <c r="G218" s="21"/>
      <c r="I218" s="21"/>
      <c r="L218" s="21"/>
      <c r="M218" s="23"/>
    </row>
    <row r="219" spans="1:13">
      <c r="A219" s="22"/>
      <c r="E219" s="21"/>
      <c r="F219" s="21"/>
      <c r="G219" s="21"/>
      <c r="I219" s="21"/>
      <c r="L219" s="21"/>
      <c r="M219" s="23"/>
    </row>
    <row r="220" spans="1:13">
      <c r="A220" s="22"/>
      <c r="E220" s="21"/>
      <c r="F220" s="21"/>
      <c r="G220" s="21"/>
      <c r="I220" s="21"/>
      <c r="L220" s="21"/>
      <c r="M220" s="23"/>
    </row>
    <row r="221" spans="1:13">
      <c r="A221" s="22"/>
      <c r="E221" s="21"/>
      <c r="F221" s="21"/>
      <c r="G221" s="21"/>
      <c r="I221" s="21"/>
      <c r="L221" s="21"/>
      <c r="M221" s="23"/>
    </row>
    <row r="222" spans="1:13">
      <c r="A222" s="22"/>
      <c r="E222" s="21"/>
      <c r="F222" s="21"/>
      <c r="G222" s="21"/>
      <c r="I222" s="21"/>
      <c r="L222" s="21"/>
      <c r="M222" s="23"/>
    </row>
    <row r="223" spans="1:13">
      <c r="A223" s="22"/>
      <c r="E223" s="21"/>
      <c r="F223" s="21"/>
      <c r="G223" s="21"/>
      <c r="I223" s="21"/>
      <c r="L223" s="21"/>
      <c r="M223" s="23"/>
    </row>
    <row r="224" spans="1:13">
      <c r="A224" s="22"/>
      <c r="E224" s="21"/>
      <c r="F224" s="21"/>
      <c r="G224" s="21"/>
      <c r="I224" s="21"/>
      <c r="L224" s="21"/>
      <c r="M224" s="23"/>
    </row>
    <row r="225" spans="1:13">
      <c r="A225" s="22"/>
      <c r="E225" s="21"/>
      <c r="F225" s="21"/>
      <c r="G225" s="21"/>
      <c r="I225" s="21"/>
      <c r="L225" s="21"/>
      <c r="M225" s="23"/>
    </row>
    <row r="226" spans="1:13">
      <c r="A226" s="22"/>
      <c r="E226" s="21"/>
      <c r="F226" s="21"/>
      <c r="G226" s="21"/>
      <c r="I226" s="21"/>
      <c r="L226" s="21"/>
      <c r="M226" s="23"/>
    </row>
    <row r="227" spans="1:13">
      <c r="A227" s="22"/>
      <c r="E227" s="21"/>
      <c r="F227" s="21"/>
      <c r="G227" s="21"/>
      <c r="I227" s="21"/>
      <c r="L227" s="21"/>
      <c r="M227" s="23"/>
    </row>
    <row r="228" spans="1:13">
      <c r="A228" s="22"/>
      <c r="E228" s="21"/>
      <c r="F228" s="21"/>
      <c r="G228" s="21"/>
      <c r="I228" s="21"/>
      <c r="L228" s="21"/>
      <c r="M228" s="23"/>
    </row>
    <row r="229" spans="1:13">
      <c r="A229" s="22"/>
      <c r="E229" s="21"/>
      <c r="F229" s="21"/>
      <c r="G229" s="21"/>
      <c r="I229" s="21"/>
      <c r="L229" s="21"/>
      <c r="M229" s="23"/>
    </row>
    <row r="230" spans="1:13">
      <c r="A230" s="22"/>
      <c r="E230" s="21"/>
      <c r="F230" s="21"/>
      <c r="G230" s="21"/>
      <c r="I230" s="21"/>
      <c r="L230" s="21"/>
      <c r="M230" s="23"/>
    </row>
    <row r="231" spans="1:13">
      <c r="A231" s="22"/>
      <c r="E231" s="21"/>
      <c r="F231" s="21"/>
      <c r="G231" s="21"/>
      <c r="I231" s="21"/>
      <c r="L231" s="21"/>
      <c r="M231" s="23"/>
    </row>
    <row r="232" spans="1:13">
      <c r="A232" s="22"/>
      <c r="E232" s="21"/>
      <c r="F232" s="21"/>
      <c r="G232" s="21"/>
      <c r="I232" s="21"/>
      <c r="L232" s="21"/>
      <c r="M232" s="23"/>
    </row>
    <row r="233" spans="1:13">
      <c r="A233" s="22"/>
      <c r="E233" s="21"/>
      <c r="F233" s="21"/>
      <c r="G233" s="21"/>
      <c r="I233" s="21"/>
      <c r="L233" s="21"/>
      <c r="M233" s="23"/>
    </row>
    <row r="234" spans="1:13">
      <c r="A234" s="22"/>
      <c r="E234" s="21"/>
      <c r="F234" s="21"/>
      <c r="G234" s="21"/>
      <c r="I234" s="21"/>
      <c r="L234" s="21"/>
      <c r="M234" s="23"/>
    </row>
    <row r="235" spans="1:13">
      <c r="A235" s="22"/>
      <c r="E235" s="21"/>
      <c r="F235" s="21"/>
      <c r="G235" s="21"/>
      <c r="I235" s="21"/>
      <c r="L235" s="21"/>
      <c r="M235" s="23"/>
    </row>
    <row r="236" spans="1:13">
      <c r="A236" s="22"/>
      <c r="E236" s="21"/>
      <c r="F236" s="21"/>
      <c r="G236" s="21"/>
      <c r="I236" s="21"/>
      <c r="L236" s="21"/>
      <c r="M236" s="23"/>
    </row>
    <row r="237" spans="1:13">
      <c r="A237" s="22"/>
      <c r="E237" s="21"/>
      <c r="F237" s="21"/>
      <c r="G237" s="21"/>
      <c r="I237" s="21"/>
      <c r="L237" s="21"/>
      <c r="M237" s="23"/>
    </row>
    <row r="238" spans="1:13">
      <c r="A238" s="22"/>
      <c r="E238" s="21"/>
      <c r="F238" s="21"/>
      <c r="G238" s="21"/>
      <c r="I238" s="21"/>
      <c r="L238" s="21"/>
      <c r="M238" s="23"/>
    </row>
    <row r="239" spans="1:13">
      <c r="A239" s="22"/>
      <c r="E239" s="21"/>
      <c r="F239" s="21"/>
      <c r="G239" s="21"/>
      <c r="I239" s="21"/>
      <c r="L239" s="21"/>
      <c r="M239" s="23"/>
    </row>
    <row r="240" spans="1:13">
      <c r="A240" s="22"/>
      <c r="E240" s="21"/>
      <c r="F240" s="21"/>
      <c r="G240" s="21"/>
      <c r="I240" s="21"/>
      <c r="L240" s="21"/>
      <c r="M240" s="23"/>
    </row>
    <row r="241" spans="1:13">
      <c r="A241" s="22"/>
      <c r="E241" s="21"/>
      <c r="F241" s="21"/>
      <c r="G241" s="21"/>
      <c r="I241" s="21"/>
      <c r="L241" s="21"/>
      <c r="M241" s="23"/>
    </row>
    <row r="242" spans="1:13">
      <c r="A242" s="22"/>
      <c r="E242" s="21"/>
      <c r="F242" s="21"/>
      <c r="G242" s="21"/>
      <c r="I242" s="21"/>
      <c r="L242" s="21"/>
      <c r="M242" s="23"/>
    </row>
    <row r="243" spans="1:13">
      <c r="A243" s="22"/>
      <c r="E243" s="21"/>
      <c r="F243" s="21"/>
      <c r="G243" s="21"/>
      <c r="I243" s="21"/>
      <c r="L243" s="21"/>
      <c r="M243" s="23"/>
    </row>
    <row r="244" spans="1:13">
      <c r="A244" s="22"/>
      <c r="E244" s="21"/>
      <c r="F244" s="21"/>
      <c r="G244" s="21"/>
      <c r="I244" s="21"/>
      <c r="L244" s="21"/>
      <c r="M244" s="23"/>
    </row>
    <row r="245" spans="1:13">
      <c r="A245" s="22"/>
      <c r="E245" s="21"/>
      <c r="F245" s="21"/>
      <c r="G245" s="21"/>
      <c r="I245" s="21"/>
      <c r="L245" s="21"/>
      <c r="M245" s="23"/>
    </row>
    <row r="246" spans="1:13">
      <c r="A246" s="22"/>
      <c r="E246" s="21"/>
      <c r="F246" s="21"/>
      <c r="G246" s="21"/>
      <c r="I246" s="21"/>
      <c r="L246" s="21"/>
      <c r="M246" s="23"/>
    </row>
    <row r="247" spans="1:13">
      <c r="A247" s="22"/>
      <c r="E247" s="21"/>
      <c r="F247" s="21"/>
      <c r="G247" s="21"/>
      <c r="I247" s="21"/>
      <c r="L247" s="21"/>
      <c r="M247" s="23"/>
    </row>
    <row r="248" spans="1:13">
      <c r="A248" s="22"/>
      <c r="E248" s="21"/>
      <c r="F248" s="21"/>
      <c r="G248" s="21"/>
      <c r="I248" s="21"/>
      <c r="L248" s="21"/>
      <c r="M248" s="23"/>
    </row>
    <row r="249" spans="1:13">
      <c r="A249" s="22"/>
      <c r="E249" s="21"/>
      <c r="F249" s="21"/>
      <c r="G249" s="21"/>
      <c r="I249" s="21"/>
      <c r="L249" s="21"/>
      <c r="M249" s="23"/>
    </row>
    <row r="250" spans="1:13">
      <c r="A250" s="22"/>
      <c r="E250" s="21"/>
      <c r="F250" s="21"/>
      <c r="G250" s="21"/>
      <c r="I250" s="21"/>
      <c r="L250" s="21"/>
      <c r="M250" s="23"/>
    </row>
    <row r="251" spans="1:13">
      <c r="A251" s="22"/>
      <c r="E251" s="21"/>
      <c r="F251" s="21"/>
      <c r="G251" s="21"/>
      <c r="I251" s="21"/>
      <c r="L251" s="21"/>
      <c r="M251" s="23"/>
    </row>
    <row r="252" spans="1:13">
      <c r="A252" s="22"/>
      <c r="E252" s="21"/>
      <c r="F252" s="21"/>
      <c r="G252" s="21"/>
      <c r="I252" s="21"/>
      <c r="L252" s="21"/>
      <c r="M252" s="23"/>
    </row>
    <row r="253" spans="1:13">
      <c r="A253" s="22"/>
      <c r="E253" s="21"/>
      <c r="F253" s="21"/>
      <c r="G253" s="21"/>
      <c r="I253" s="21"/>
      <c r="L253" s="21"/>
      <c r="M253" s="23"/>
    </row>
    <row r="254" spans="1:13">
      <c r="A254" s="22"/>
      <c r="E254" s="21"/>
      <c r="F254" s="21"/>
      <c r="G254" s="21"/>
      <c r="I254" s="21"/>
      <c r="L254" s="21"/>
      <c r="M254" s="23"/>
    </row>
    <row r="255" spans="1:13">
      <c r="A255" s="22"/>
      <c r="E255" s="21"/>
      <c r="F255" s="21"/>
      <c r="G255" s="21"/>
      <c r="I255" s="21"/>
      <c r="L255" s="21"/>
      <c r="M255" s="23"/>
    </row>
    <row r="256" spans="1:13">
      <c r="A256" s="22"/>
      <c r="E256" s="21"/>
      <c r="F256" s="21"/>
      <c r="G256" s="21"/>
      <c r="I256" s="21"/>
      <c r="L256" s="21"/>
      <c r="M256" s="23"/>
    </row>
    <row r="257" spans="1:13">
      <c r="A257" s="22"/>
      <c r="E257" s="21"/>
      <c r="F257" s="21"/>
      <c r="G257" s="21"/>
      <c r="I257" s="21"/>
      <c r="L257" s="21"/>
      <c r="M257" s="23"/>
    </row>
    <row r="258" spans="1:13">
      <c r="A258" s="22"/>
      <c r="E258" s="21"/>
      <c r="F258" s="21"/>
      <c r="G258" s="21"/>
      <c r="I258" s="21"/>
      <c r="L258" s="21"/>
      <c r="M258" s="23"/>
    </row>
    <row r="259" spans="1:13">
      <c r="A259" s="22"/>
      <c r="E259" s="21"/>
      <c r="F259" s="21"/>
      <c r="G259" s="21"/>
      <c r="I259" s="21"/>
      <c r="L259" s="21"/>
      <c r="M259" s="23"/>
    </row>
    <row r="260" spans="1:13">
      <c r="A260" s="22"/>
      <c r="E260" s="21"/>
      <c r="F260" s="21"/>
      <c r="G260" s="21"/>
      <c r="I260" s="21"/>
      <c r="L260" s="21"/>
      <c r="M260" s="23"/>
    </row>
    <row r="261" spans="1:13">
      <c r="A261" s="22"/>
      <c r="E261" s="21"/>
      <c r="F261" s="21"/>
      <c r="G261" s="21"/>
      <c r="I261" s="21"/>
      <c r="L261" s="21"/>
      <c r="M261" s="23"/>
    </row>
    <row r="262" spans="1:13">
      <c r="A262" s="22"/>
      <c r="E262" s="21"/>
      <c r="F262" s="21"/>
      <c r="G262" s="21"/>
      <c r="I262" s="21"/>
      <c r="L262" s="21"/>
      <c r="M262" s="23"/>
    </row>
    <row r="263" spans="1:13">
      <c r="A263" s="22"/>
      <c r="E263" s="21"/>
      <c r="F263" s="21"/>
      <c r="G263" s="21"/>
      <c r="I263" s="21"/>
      <c r="L263" s="21"/>
      <c r="M263" s="23"/>
    </row>
    <row r="264" spans="1:13">
      <c r="A264" s="22"/>
      <c r="E264" s="21"/>
      <c r="F264" s="21"/>
      <c r="G264" s="21"/>
      <c r="I264" s="21"/>
      <c r="L264" s="21"/>
      <c r="M264" s="23"/>
    </row>
    <row r="265" spans="1:13">
      <c r="A265" s="22"/>
      <c r="E265" s="21"/>
      <c r="F265" s="21"/>
      <c r="G265" s="21"/>
      <c r="I265" s="21"/>
      <c r="L265" s="21"/>
      <c r="M265" s="23"/>
    </row>
    <row r="266" spans="1:13">
      <c r="A266" s="22"/>
      <c r="E266" s="21"/>
      <c r="F266" s="21"/>
      <c r="G266" s="21"/>
      <c r="I266" s="21"/>
      <c r="L266" s="21"/>
      <c r="M266" s="23"/>
    </row>
    <row r="267" spans="1:13">
      <c r="A267" s="22"/>
      <c r="E267" s="21"/>
      <c r="F267" s="21"/>
      <c r="G267" s="21"/>
      <c r="I267" s="21"/>
      <c r="L267" s="21"/>
      <c r="M267" s="23"/>
    </row>
    <row r="268" spans="1:13">
      <c r="A268" s="22"/>
      <c r="E268" s="21"/>
      <c r="F268" s="21"/>
      <c r="G268" s="21"/>
      <c r="I268" s="21"/>
      <c r="L268" s="21"/>
      <c r="M268" s="23"/>
    </row>
    <row r="269" spans="1:13">
      <c r="A269" s="22"/>
      <c r="E269" s="21"/>
      <c r="F269" s="21"/>
      <c r="G269" s="21"/>
      <c r="I269" s="21"/>
      <c r="L269" s="21"/>
      <c r="M269" s="23"/>
    </row>
    <row r="270" spans="1:13">
      <c r="A270" s="22"/>
      <c r="E270" s="21"/>
      <c r="F270" s="21"/>
      <c r="G270" s="21"/>
      <c r="I270" s="21"/>
      <c r="L270" s="21"/>
      <c r="M270" s="23"/>
    </row>
    <row r="271" spans="1:13">
      <c r="A271" s="22"/>
      <c r="E271" s="21"/>
      <c r="F271" s="21"/>
      <c r="G271" s="21"/>
      <c r="I271" s="21"/>
      <c r="L271" s="21"/>
      <c r="M271" s="23"/>
    </row>
    <row r="272" spans="1:13">
      <c r="A272" s="22"/>
      <c r="E272" s="21"/>
      <c r="F272" s="21"/>
      <c r="G272" s="21"/>
      <c r="I272" s="21"/>
      <c r="L272" s="21"/>
      <c r="M272" s="23"/>
    </row>
    <row r="273" spans="1:13">
      <c r="A273" s="22"/>
      <c r="E273" s="21"/>
      <c r="F273" s="21"/>
      <c r="G273" s="21"/>
      <c r="I273" s="21"/>
      <c r="L273" s="21"/>
      <c r="M273" s="23"/>
    </row>
    <row r="274" spans="1:13">
      <c r="A274" s="22"/>
      <c r="E274" s="21"/>
      <c r="F274" s="21"/>
      <c r="G274" s="21"/>
      <c r="I274" s="21"/>
      <c r="L274" s="21"/>
      <c r="M274" s="23"/>
    </row>
    <row r="275" spans="1:13">
      <c r="A275" s="22"/>
      <c r="E275" s="21"/>
      <c r="F275" s="21"/>
      <c r="G275" s="21"/>
      <c r="I275" s="21"/>
      <c r="L275" s="21"/>
      <c r="M275" s="23"/>
    </row>
    <row r="276" spans="1:13">
      <c r="A276" s="22"/>
      <c r="E276" s="21"/>
      <c r="F276" s="21"/>
      <c r="G276" s="21"/>
      <c r="I276" s="21"/>
      <c r="L276" s="21"/>
      <c r="M276" s="23"/>
    </row>
    <row r="277" spans="1:13">
      <c r="A277" s="22"/>
      <c r="E277" s="21"/>
      <c r="F277" s="21"/>
      <c r="G277" s="21"/>
      <c r="I277" s="21"/>
      <c r="L277" s="21"/>
      <c r="M277" s="23"/>
    </row>
    <row r="278" spans="1:13">
      <c r="A278" s="22"/>
      <c r="E278" s="21"/>
      <c r="F278" s="21"/>
      <c r="G278" s="21"/>
      <c r="I278" s="21"/>
      <c r="L278" s="21"/>
      <c r="M278" s="23"/>
    </row>
    <row r="279" spans="1:13">
      <c r="A279" s="22"/>
      <c r="E279" s="21"/>
      <c r="F279" s="21"/>
      <c r="G279" s="21"/>
      <c r="I279" s="21"/>
      <c r="L279" s="21"/>
      <c r="M279" s="23"/>
    </row>
    <row r="280" spans="1:13">
      <c r="A280" s="22"/>
      <c r="E280" s="21"/>
      <c r="F280" s="21"/>
      <c r="G280" s="21"/>
      <c r="I280" s="21"/>
      <c r="L280" s="21"/>
      <c r="M280" s="23"/>
    </row>
    <row r="281" spans="1:13">
      <c r="A281" s="22"/>
      <c r="E281" s="21"/>
      <c r="F281" s="21"/>
      <c r="G281" s="21"/>
      <c r="I281" s="21"/>
      <c r="L281" s="21"/>
      <c r="M281" s="23"/>
    </row>
    <row r="282" spans="1:13">
      <c r="A282" s="22"/>
      <c r="E282" s="21"/>
      <c r="F282" s="21"/>
      <c r="G282" s="21"/>
      <c r="I282" s="21"/>
      <c r="L282" s="21"/>
      <c r="M282" s="23"/>
    </row>
    <row r="283" spans="1:13">
      <c r="A283" s="22"/>
      <c r="E283" s="21"/>
      <c r="F283" s="21"/>
      <c r="G283" s="21"/>
      <c r="I283" s="21"/>
      <c r="L283" s="21"/>
      <c r="M283" s="23"/>
    </row>
    <row r="284" spans="1:13">
      <c r="A284" s="22"/>
      <c r="E284" s="21"/>
      <c r="F284" s="21"/>
      <c r="G284" s="21"/>
      <c r="I284" s="21"/>
      <c r="L284" s="21"/>
      <c r="M284" s="23"/>
    </row>
    <row r="285" spans="1:13">
      <c r="A285" s="22"/>
      <c r="E285" s="21"/>
      <c r="F285" s="21"/>
      <c r="G285" s="21"/>
      <c r="I285" s="21"/>
      <c r="L285" s="21"/>
      <c r="M285" s="23"/>
    </row>
    <row r="286" spans="1:13">
      <c r="A286" s="22"/>
      <c r="E286" s="21"/>
      <c r="F286" s="21"/>
      <c r="G286" s="21"/>
      <c r="I286" s="21"/>
      <c r="L286" s="21"/>
      <c r="M286" s="23"/>
    </row>
    <row r="287" spans="1:13">
      <c r="A287" s="22"/>
      <c r="E287" s="21"/>
      <c r="F287" s="21"/>
      <c r="G287" s="21"/>
      <c r="I287" s="21"/>
      <c r="L287" s="21"/>
      <c r="M287" s="23"/>
    </row>
    <row r="288" spans="1:13">
      <c r="A288" s="22"/>
      <c r="E288" s="21"/>
      <c r="F288" s="21"/>
      <c r="G288" s="21"/>
      <c r="I288" s="21"/>
      <c r="L288" s="21"/>
      <c r="M288" s="23"/>
    </row>
    <row r="289" spans="1:13">
      <c r="A289" s="22"/>
      <c r="E289" s="21"/>
      <c r="F289" s="21"/>
      <c r="G289" s="21"/>
      <c r="I289" s="21"/>
      <c r="L289" s="21"/>
      <c r="M289" s="23"/>
    </row>
    <row r="290" spans="1:13">
      <c r="A290" s="22"/>
      <c r="E290" s="21"/>
      <c r="F290" s="21"/>
      <c r="G290" s="21"/>
      <c r="I290" s="21"/>
      <c r="L290" s="21"/>
      <c r="M290" s="23"/>
    </row>
    <row r="291" spans="1:13">
      <c r="A291" s="22"/>
      <c r="E291" s="21"/>
      <c r="F291" s="21"/>
      <c r="G291" s="21"/>
      <c r="I291" s="21"/>
      <c r="L291" s="21"/>
      <c r="M291" s="23"/>
    </row>
    <row r="292" spans="1:13">
      <c r="A292" s="22"/>
      <c r="E292" s="21"/>
      <c r="F292" s="21"/>
      <c r="G292" s="21"/>
      <c r="I292" s="21"/>
      <c r="L292" s="21"/>
      <c r="M292" s="23"/>
    </row>
    <row r="293" spans="1:13">
      <c r="A293" s="22"/>
      <c r="E293" s="21"/>
      <c r="F293" s="21"/>
      <c r="G293" s="21"/>
      <c r="I293" s="21"/>
      <c r="L293" s="21"/>
      <c r="M293" s="23"/>
    </row>
    <row r="294" spans="1:13">
      <c r="A294" s="22"/>
      <c r="E294" s="21"/>
      <c r="F294" s="21"/>
      <c r="G294" s="21"/>
      <c r="I294" s="21"/>
      <c r="L294" s="21"/>
      <c r="M294" s="23"/>
    </row>
    <row r="295" spans="1:13">
      <c r="A295" s="22"/>
      <c r="E295" s="21"/>
      <c r="F295" s="21"/>
      <c r="G295" s="21"/>
      <c r="I295" s="21"/>
      <c r="L295" s="21"/>
      <c r="M295" s="23"/>
    </row>
    <row r="296" spans="1:13">
      <c r="A296" s="22"/>
      <c r="E296" s="21"/>
      <c r="F296" s="21"/>
      <c r="G296" s="21"/>
      <c r="I296" s="21"/>
      <c r="L296" s="21"/>
      <c r="M296" s="23"/>
    </row>
    <row r="297" spans="1:13">
      <c r="A297" s="22"/>
      <c r="E297" s="21"/>
      <c r="F297" s="21"/>
      <c r="G297" s="21"/>
      <c r="I297" s="21"/>
      <c r="L297" s="21"/>
      <c r="M297" s="23"/>
    </row>
    <row r="298" spans="1:13">
      <c r="A298" s="22"/>
      <c r="E298" s="21"/>
      <c r="F298" s="21"/>
      <c r="G298" s="21"/>
      <c r="I298" s="21"/>
      <c r="L298" s="21"/>
      <c r="M298" s="23"/>
    </row>
    <row r="299" spans="1:13">
      <c r="A299" s="22"/>
      <c r="E299" s="21"/>
      <c r="F299" s="21"/>
      <c r="G299" s="21"/>
      <c r="I299" s="21"/>
      <c r="L299" s="21"/>
      <c r="M299" s="23"/>
    </row>
    <row r="300" spans="1:13">
      <c r="A300" s="22"/>
      <c r="E300" s="21"/>
      <c r="F300" s="21"/>
      <c r="G300" s="21"/>
      <c r="I300" s="21"/>
      <c r="L300" s="21"/>
      <c r="M300" s="23"/>
    </row>
    <row r="301" spans="1:13">
      <c r="A301" s="22"/>
      <c r="E301" s="21"/>
      <c r="F301" s="21"/>
      <c r="G301" s="21"/>
      <c r="I301" s="21"/>
      <c r="L301" s="21"/>
      <c r="M301" s="23"/>
    </row>
    <row r="302" spans="1:13">
      <c r="A302" s="22"/>
      <c r="E302" s="21"/>
      <c r="F302" s="21"/>
      <c r="G302" s="21"/>
      <c r="I302" s="21"/>
      <c r="L302" s="21"/>
      <c r="M302" s="23"/>
    </row>
    <row r="303" spans="1:13">
      <c r="A303" s="22"/>
      <c r="E303" s="21"/>
      <c r="F303" s="21"/>
      <c r="G303" s="21"/>
      <c r="I303" s="21"/>
      <c r="L303" s="21"/>
      <c r="M303" s="23"/>
    </row>
    <row r="304" spans="1:13">
      <c r="A304" s="22"/>
      <c r="E304" s="21"/>
      <c r="F304" s="21"/>
      <c r="G304" s="21"/>
      <c r="I304" s="21"/>
      <c r="L304" s="21"/>
      <c r="M304" s="23"/>
    </row>
    <row r="305" spans="1:13">
      <c r="A305" s="22"/>
      <c r="E305" s="21"/>
      <c r="F305" s="21"/>
      <c r="G305" s="21"/>
      <c r="I305" s="21"/>
      <c r="L305" s="21"/>
      <c r="M305" s="23"/>
    </row>
    <row r="306" spans="1:13">
      <c r="A306" s="22"/>
      <c r="E306" s="21"/>
      <c r="F306" s="21"/>
      <c r="G306" s="21"/>
      <c r="I306" s="21"/>
      <c r="L306" s="21"/>
      <c r="M306" s="23"/>
    </row>
    <row r="307" spans="1:13">
      <c r="A307" s="22"/>
      <c r="E307" s="21"/>
      <c r="F307" s="21"/>
      <c r="G307" s="21"/>
      <c r="I307" s="21"/>
      <c r="L307" s="21"/>
      <c r="M307" s="23"/>
    </row>
    <row r="308" spans="1:13">
      <c r="A308" s="22"/>
      <c r="E308" s="21"/>
      <c r="F308" s="21"/>
      <c r="G308" s="21"/>
      <c r="I308" s="21"/>
      <c r="L308" s="21"/>
      <c r="M308" s="23"/>
    </row>
    <row r="309" spans="1:13">
      <c r="A309" s="22"/>
      <c r="E309" s="21"/>
      <c r="F309" s="21"/>
      <c r="G309" s="21"/>
      <c r="I309" s="21"/>
      <c r="L309" s="21"/>
      <c r="M309" s="23"/>
    </row>
    <row r="310" spans="1:13">
      <c r="A310" s="22"/>
      <c r="E310" s="21"/>
      <c r="F310" s="21"/>
      <c r="G310" s="21"/>
      <c r="I310" s="21"/>
      <c r="L310" s="21"/>
      <c r="M310" s="23"/>
    </row>
    <row r="311" spans="1:13">
      <c r="A311" s="22"/>
      <c r="E311" s="21"/>
      <c r="F311" s="21"/>
      <c r="G311" s="21"/>
      <c r="I311" s="21"/>
      <c r="L311" s="21"/>
      <c r="M311" s="23"/>
    </row>
    <row r="312" spans="1:13">
      <c r="A312" s="22"/>
      <c r="E312" s="21"/>
      <c r="F312" s="21"/>
      <c r="G312" s="21"/>
      <c r="I312" s="21"/>
      <c r="L312" s="21"/>
      <c r="M312" s="23"/>
    </row>
    <row r="313" spans="1:13">
      <c r="A313" s="22"/>
      <c r="E313" s="21"/>
      <c r="F313" s="21"/>
      <c r="G313" s="21"/>
      <c r="I313" s="21"/>
      <c r="L313" s="21"/>
      <c r="M313" s="23"/>
    </row>
    <row r="314" spans="1:13">
      <c r="A314" s="22"/>
      <c r="E314" s="21"/>
      <c r="F314" s="21"/>
      <c r="G314" s="21"/>
      <c r="I314" s="21"/>
      <c r="L314" s="21"/>
      <c r="M314" s="23"/>
    </row>
    <row r="315" spans="1:13">
      <c r="A315" s="22"/>
      <c r="E315" s="21"/>
      <c r="F315" s="21"/>
      <c r="G315" s="21"/>
      <c r="I315" s="21"/>
      <c r="L315" s="21"/>
      <c r="M315" s="23"/>
    </row>
    <row r="316" spans="1:13">
      <c r="A316" s="22"/>
      <c r="E316" s="21"/>
      <c r="F316" s="21"/>
      <c r="G316" s="21"/>
      <c r="I316" s="21"/>
      <c r="L316" s="21"/>
      <c r="M316" s="23"/>
    </row>
    <row r="317" spans="1:13">
      <c r="A317" s="22"/>
      <c r="E317" s="21"/>
      <c r="F317" s="21"/>
      <c r="G317" s="21"/>
      <c r="I317" s="21"/>
      <c r="L317" s="21"/>
      <c r="M317" s="23"/>
    </row>
    <row r="318" spans="1:13">
      <c r="A318" s="22"/>
      <c r="E318" s="21"/>
      <c r="F318" s="21"/>
      <c r="G318" s="21"/>
      <c r="I318" s="21"/>
      <c r="L318" s="21"/>
      <c r="M318" s="23"/>
    </row>
    <row r="319" spans="1:13">
      <c r="A319" s="22"/>
      <c r="E319" s="21"/>
      <c r="F319" s="21"/>
      <c r="G319" s="21"/>
      <c r="I319" s="21"/>
      <c r="L319" s="21"/>
      <c r="M319" s="23"/>
    </row>
    <row r="320" spans="1:13">
      <c r="A320" s="22"/>
      <c r="E320" s="21"/>
      <c r="F320" s="21"/>
      <c r="G320" s="21"/>
      <c r="I320" s="21"/>
      <c r="L320" s="21"/>
      <c r="M320" s="23"/>
    </row>
    <row r="321" spans="1:13">
      <c r="A321" s="22"/>
      <c r="E321" s="21"/>
      <c r="F321" s="21"/>
      <c r="G321" s="21"/>
      <c r="I321" s="21"/>
      <c r="L321" s="21"/>
      <c r="M321" s="23"/>
    </row>
    <row r="322" spans="1:13">
      <c r="A322" s="22"/>
      <c r="E322" s="21"/>
      <c r="F322" s="21"/>
      <c r="G322" s="21"/>
      <c r="I322" s="21"/>
      <c r="L322" s="21"/>
      <c r="M322" s="23"/>
    </row>
    <row r="323" spans="1:13">
      <c r="A323" s="22"/>
      <c r="E323" s="21"/>
      <c r="F323" s="21"/>
      <c r="G323" s="21"/>
      <c r="I323" s="21"/>
      <c r="L323" s="21"/>
      <c r="M323" s="23"/>
    </row>
    <row r="324" spans="1:13">
      <c r="A324" s="22"/>
      <c r="E324" s="21"/>
      <c r="F324" s="21"/>
      <c r="G324" s="21"/>
      <c r="I324" s="21"/>
      <c r="L324" s="21"/>
      <c r="M324" s="23"/>
    </row>
    <row r="325" spans="1:13">
      <c r="A325" s="22"/>
      <c r="E325" s="21"/>
      <c r="F325" s="21"/>
      <c r="G325" s="21"/>
      <c r="I325" s="21"/>
      <c r="L325" s="21"/>
      <c r="M325" s="23"/>
    </row>
    <row r="326" spans="1:13">
      <c r="A326" s="22"/>
      <c r="E326" s="21"/>
      <c r="F326" s="21"/>
      <c r="G326" s="21"/>
      <c r="I326" s="21"/>
      <c r="L326" s="21"/>
      <c r="M326" s="23"/>
    </row>
    <row r="327" spans="1:13">
      <c r="A327" s="22"/>
      <c r="E327" s="21"/>
      <c r="F327" s="21"/>
      <c r="G327" s="21"/>
      <c r="I327" s="21"/>
      <c r="L327" s="21"/>
      <c r="M327" s="23"/>
    </row>
    <row r="328" spans="1:13">
      <c r="A328" s="22"/>
      <c r="E328" s="21"/>
      <c r="F328" s="21"/>
      <c r="G328" s="21"/>
      <c r="I328" s="21"/>
      <c r="L328" s="21"/>
      <c r="M328" s="23"/>
    </row>
    <row r="329" spans="1:13">
      <c r="A329" s="22"/>
      <c r="E329" s="21"/>
      <c r="F329" s="21"/>
      <c r="G329" s="21"/>
      <c r="I329" s="21"/>
      <c r="L329" s="21"/>
      <c r="M329" s="23"/>
    </row>
    <row r="330" spans="1:13">
      <c r="A330" s="22"/>
      <c r="E330" s="21"/>
      <c r="F330" s="21"/>
      <c r="G330" s="21"/>
      <c r="I330" s="21"/>
      <c r="L330" s="21"/>
      <c r="M330" s="23"/>
    </row>
    <row r="331" spans="1:13">
      <c r="A331" s="22"/>
      <c r="E331" s="21"/>
      <c r="F331" s="21"/>
      <c r="G331" s="21"/>
      <c r="I331" s="21"/>
      <c r="L331" s="21"/>
      <c r="M331" s="23"/>
    </row>
    <row r="332" spans="1:13">
      <c r="A332" s="22"/>
      <c r="E332" s="21"/>
      <c r="F332" s="21"/>
      <c r="G332" s="21"/>
      <c r="I332" s="21"/>
      <c r="L332" s="21"/>
      <c r="M332" s="23"/>
    </row>
    <row r="333" spans="1:13">
      <c r="A333" s="22"/>
      <c r="E333" s="21"/>
      <c r="F333" s="21"/>
      <c r="G333" s="21"/>
      <c r="I333" s="21"/>
      <c r="L333" s="21"/>
      <c r="M333" s="23"/>
    </row>
    <row r="334" spans="1:13">
      <c r="A334" s="22"/>
      <c r="E334" s="21"/>
      <c r="F334" s="21"/>
      <c r="G334" s="21"/>
      <c r="I334" s="21"/>
      <c r="L334" s="21"/>
      <c r="M334" s="23"/>
    </row>
    <row r="335" spans="1:13">
      <c r="A335" s="22"/>
      <c r="E335" s="21"/>
      <c r="F335" s="21"/>
      <c r="G335" s="21"/>
      <c r="I335" s="21"/>
      <c r="L335" s="21"/>
      <c r="M335" s="23"/>
    </row>
    <row r="336" spans="1:13">
      <c r="A336" s="22"/>
      <c r="E336" s="21"/>
      <c r="F336" s="21"/>
      <c r="G336" s="21"/>
      <c r="I336" s="21"/>
      <c r="L336" s="21"/>
      <c r="M336" s="23"/>
    </row>
    <row r="337" spans="1:13">
      <c r="A337" s="22"/>
      <c r="E337" s="21"/>
      <c r="F337" s="21"/>
      <c r="G337" s="21"/>
      <c r="I337" s="21"/>
      <c r="L337" s="21"/>
      <c r="M337" s="23"/>
    </row>
    <row r="338" spans="1:13">
      <c r="A338" s="22"/>
      <c r="E338" s="21"/>
      <c r="F338" s="21"/>
      <c r="G338" s="21"/>
      <c r="I338" s="21"/>
      <c r="L338" s="21"/>
      <c r="M338" s="23"/>
    </row>
    <row r="339" spans="1:13">
      <c r="A339" s="22"/>
      <c r="E339" s="21"/>
      <c r="F339" s="21"/>
      <c r="G339" s="21"/>
      <c r="I339" s="21"/>
      <c r="L339" s="21"/>
      <c r="M339" s="23"/>
    </row>
    <row r="340" spans="1:13">
      <c r="A340" s="22"/>
      <c r="E340" s="21"/>
      <c r="F340" s="21"/>
      <c r="G340" s="21"/>
      <c r="I340" s="21"/>
      <c r="L340" s="21"/>
      <c r="M340" s="23"/>
    </row>
    <row r="341" spans="1:13">
      <c r="A341" s="22"/>
      <c r="E341" s="21"/>
      <c r="F341" s="21"/>
      <c r="G341" s="21"/>
      <c r="I341" s="21"/>
      <c r="L341" s="21"/>
      <c r="M341" s="23"/>
    </row>
    <row r="342" spans="1:13">
      <c r="A342" s="22"/>
      <c r="E342" s="21"/>
      <c r="F342" s="21"/>
      <c r="G342" s="21"/>
      <c r="I342" s="21"/>
      <c r="L342" s="21"/>
      <c r="M342" s="23"/>
    </row>
    <row r="343" spans="1:13">
      <c r="A343" s="22"/>
      <c r="E343" s="21"/>
      <c r="F343" s="21"/>
      <c r="G343" s="21"/>
      <c r="I343" s="21"/>
      <c r="L343" s="21"/>
      <c r="M343" s="23"/>
    </row>
    <row r="344" spans="1:13">
      <c r="A344" s="22"/>
      <c r="E344" s="21"/>
      <c r="F344" s="21"/>
      <c r="G344" s="21"/>
      <c r="I344" s="21"/>
      <c r="L344" s="21"/>
      <c r="M344" s="23"/>
    </row>
    <row r="345" spans="1:13">
      <c r="A345" s="22"/>
      <c r="E345" s="21"/>
      <c r="F345" s="21"/>
      <c r="G345" s="21"/>
      <c r="I345" s="21"/>
      <c r="L345" s="21"/>
      <c r="M345" s="23"/>
    </row>
    <row r="346" spans="1:13">
      <c r="A346" s="22"/>
      <c r="E346" s="21"/>
      <c r="F346" s="21"/>
      <c r="G346" s="21"/>
      <c r="I346" s="21"/>
      <c r="L346" s="21"/>
      <c r="M346" s="23"/>
    </row>
    <row r="347" spans="1:13">
      <c r="A347" s="22"/>
      <c r="E347" s="21"/>
      <c r="F347" s="21"/>
      <c r="G347" s="21"/>
      <c r="I347" s="21"/>
      <c r="L347" s="21"/>
      <c r="M347" s="23"/>
    </row>
    <row r="348" spans="1:13">
      <c r="A348" s="22"/>
      <c r="E348" s="21"/>
      <c r="F348" s="21"/>
      <c r="G348" s="21"/>
      <c r="I348" s="21"/>
      <c r="L348" s="21"/>
      <c r="M348" s="23"/>
    </row>
    <row r="349" spans="1:13">
      <c r="A349" s="22"/>
      <c r="E349" s="21"/>
      <c r="F349" s="21"/>
      <c r="G349" s="21"/>
      <c r="I349" s="21"/>
      <c r="L349" s="21"/>
      <c r="M349" s="23"/>
    </row>
    <row r="350" spans="1:13">
      <c r="A350" s="22"/>
      <c r="E350" s="21"/>
      <c r="F350" s="21"/>
      <c r="G350" s="21"/>
      <c r="I350" s="21"/>
      <c r="L350" s="21"/>
      <c r="M350" s="23"/>
    </row>
    <row r="351" spans="1:13">
      <c r="A351" s="22"/>
      <c r="E351" s="21"/>
      <c r="F351" s="21"/>
      <c r="G351" s="21"/>
      <c r="I351" s="21"/>
      <c r="L351" s="21"/>
      <c r="M351" s="23"/>
    </row>
    <row r="352" spans="1:13">
      <c r="A352" s="22"/>
      <c r="E352" s="21"/>
      <c r="F352" s="21"/>
      <c r="G352" s="21"/>
      <c r="I352" s="21"/>
      <c r="L352" s="21"/>
      <c r="M352" s="23"/>
    </row>
    <row r="353" spans="1:13">
      <c r="A353" s="22"/>
      <c r="E353" s="21"/>
      <c r="F353" s="21"/>
      <c r="G353" s="21"/>
      <c r="I353" s="21"/>
      <c r="L353" s="21"/>
      <c r="M353" s="23"/>
    </row>
    <row r="354" spans="1:13">
      <c r="A354" s="22"/>
      <c r="E354" s="21"/>
      <c r="F354" s="21"/>
      <c r="G354" s="21"/>
      <c r="I354" s="21"/>
      <c r="L354" s="21"/>
      <c r="M354" s="23"/>
    </row>
    <row r="355" spans="1:13">
      <c r="A355" s="22"/>
      <c r="E355" s="21"/>
      <c r="F355" s="21"/>
      <c r="G355" s="21"/>
      <c r="I355" s="21"/>
      <c r="L355" s="21"/>
      <c r="M355" s="23"/>
    </row>
    <row r="356" spans="1:13">
      <c r="A356" s="22"/>
      <c r="E356" s="21"/>
      <c r="F356" s="21"/>
      <c r="G356" s="21"/>
      <c r="I356" s="21"/>
      <c r="L356" s="21"/>
      <c r="M356" s="23"/>
    </row>
    <row r="357" spans="1:13">
      <c r="A357" s="22"/>
      <c r="E357" s="21"/>
      <c r="F357" s="21"/>
      <c r="G357" s="21"/>
      <c r="I357" s="21"/>
      <c r="L357" s="21"/>
      <c r="M357" s="23"/>
    </row>
    <row r="358" spans="1:13">
      <c r="A358" s="22"/>
      <c r="E358" s="21"/>
      <c r="F358" s="21"/>
      <c r="G358" s="21"/>
      <c r="I358" s="21"/>
      <c r="L358" s="21"/>
      <c r="M358" s="23"/>
    </row>
    <row r="359" spans="1:13">
      <c r="A359" s="22"/>
      <c r="E359" s="21"/>
      <c r="F359" s="21"/>
      <c r="G359" s="21"/>
      <c r="I359" s="21"/>
      <c r="L359" s="21"/>
      <c r="M359" s="23"/>
    </row>
    <row r="360" spans="1:13">
      <c r="A360" s="22"/>
      <c r="E360" s="21"/>
      <c r="F360" s="21"/>
      <c r="G360" s="21"/>
      <c r="I360" s="21"/>
      <c r="L360" s="21"/>
      <c r="M360" s="23"/>
    </row>
    <row r="361" spans="1:13">
      <c r="A361" s="22"/>
      <c r="E361" s="21"/>
      <c r="F361" s="21"/>
      <c r="G361" s="21"/>
      <c r="I361" s="21"/>
      <c r="L361" s="21"/>
      <c r="M361" s="23"/>
    </row>
    <row r="362" spans="1:13">
      <c r="A362" s="22"/>
      <c r="E362" s="21"/>
      <c r="F362" s="21"/>
      <c r="G362" s="21"/>
      <c r="I362" s="21"/>
      <c r="L362" s="21"/>
      <c r="M362" s="23"/>
    </row>
    <row r="363" spans="1:13">
      <c r="A363" s="22"/>
      <c r="E363" s="21"/>
      <c r="F363" s="21"/>
      <c r="G363" s="21"/>
      <c r="I363" s="21"/>
      <c r="L363" s="21"/>
      <c r="M363" s="23"/>
    </row>
    <row r="364" spans="1:13">
      <c r="A364" s="22"/>
      <c r="E364" s="21"/>
      <c r="F364" s="21"/>
      <c r="G364" s="21"/>
      <c r="I364" s="21"/>
      <c r="L364" s="21"/>
      <c r="M364" s="23"/>
    </row>
    <row r="365" spans="1:13">
      <c r="A365" s="22"/>
      <c r="E365" s="21"/>
      <c r="F365" s="21"/>
      <c r="G365" s="21"/>
      <c r="I365" s="21"/>
      <c r="L365" s="21"/>
      <c r="M365" s="23"/>
    </row>
    <row r="366" spans="1:13">
      <c r="A366" s="22"/>
      <c r="E366" s="21"/>
      <c r="F366" s="21"/>
      <c r="G366" s="21"/>
      <c r="I366" s="21"/>
      <c r="L366" s="21"/>
      <c r="M366" s="23"/>
    </row>
    <row r="367" spans="1:13">
      <c r="A367" s="22"/>
      <c r="E367" s="21"/>
      <c r="F367" s="21"/>
      <c r="G367" s="21"/>
      <c r="I367" s="21"/>
      <c r="L367" s="21"/>
      <c r="M367" s="23"/>
    </row>
    <row r="368" spans="1:13">
      <c r="A368" s="22"/>
      <c r="E368" s="21"/>
      <c r="F368" s="21"/>
      <c r="G368" s="21"/>
      <c r="I368" s="21"/>
      <c r="L368" s="21"/>
      <c r="M368" s="23"/>
    </row>
    <row r="369" spans="1:13">
      <c r="A369" s="22"/>
      <c r="E369" s="21"/>
      <c r="F369" s="21"/>
      <c r="G369" s="21"/>
      <c r="I369" s="21"/>
      <c r="L369" s="21"/>
      <c r="M369" s="23"/>
    </row>
    <row r="370" spans="1:13">
      <c r="A370" s="22"/>
      <c r="E370" s="21"/>
      <c r="F370" s="21"/>
      <c r="G370" s="21"/>
      <c r="I370" s="21"/>
      <c r="L370" s="21"/>
      <c r="M370" s="23"/>
    </row>
    <row r="371" spans="1:13">
      <c r="A371" s="22"/>
      <c r="E371" s="21"/>
      <c r="F371" s="21"/>
      <c r="G371" s="21"/>
      <c r="I371" s="21"/>
      <c r="L371" s="21"/>
      <c r="M371" s="23"/>
    </row>
    <row r="372" spans="1:13">
      <c r="A372" s="22"/>
      <c r="E372" s="21"/>
      <c r="F372" s="21"/>
      <c r="G372" s="21"/>
      <c r="I372" s="21"/>
      <c r="L372" s="21"/>
      <c r="M372" s="23"/>
    </row>
    <row r="373" spans="1:13">
      <c r="A373" s="22"/>
      <c r="E373" s="21"/>
      <c r="F373" s="21"/>
      <c r="G373" s="21"/>
      <c r="I373" s="21"/>
      <c r="L373" s="21"/>
      <c r="M373" s="23"/>
    </row>
    <row r="374" spans="1:13">
      <c r="A374" s="22"/>
      <c r="E374" s="21"/>
      <c r="F374" s="21"/>
      <c r="G374" s="21"/>
      <c r="I374" s="21"/>
      <c r="L374" s="21"/>
      <c r="M374" s="23"/>
    </row>
    <row r="375" spans="1:13">
      <c r="A375" s="22"/>
      <c r="E375" s="21"/>
      <c r="F375" s="21"/>
      <c r="G375" s="21"/>
      <c r="I375" s="21"/>
      <c r="L375" s="21"/>
      <c r="M375" s="23"/>
    </row>
    <row r="376" spans="1:13">
      <c r="A376" s="22"/>
      <c r="E376" s="21"/>
      <c r="F376" s="21"/>
      <c r="G376" s="21"/>
      <c r="I376" s="21"/>
      <c r="L376" s="21"/>
      <c r="M376" s="23"/>
    </row>
    <row r="377" spans="1:13">
      <c r="A377" s="22"/>
      <c r="E377" s="21"/>
      <c r="F377" s="21"/>
      <c r="G377" s="21"/>
      <c r="I377" s="21"/>
      <c r="L377" s="21"/>
      <c r="M377" s="23"/>
    </row>
    <row r="378" spans="1:13">
      <c r="A378" s="22"/>
      <c r="E378" s="21"/>
      <c r="F378" s="21"/>
      <c r="G378" s="21"/>
      <c r="I378" s="21"/>
      <c r="L378" s="21"/>
      <c r="M378" s="23"/>
    </row>
    <row r="379" spans="1:13">
      <c r="A379" s="22"/>
      <c r="E379" s="21"/>
      <c r="F379" s="21"/>
      <c r="G379" s="21"/>
      <c r="I379" s="21"/>
      <c r="L379" s="21"/>
      <c r="M379" s="23"/>
    </row>
    <row r="380" spans="1:13">
      <c r="A380" s="22"/>
      <c r="E380" s="21"/>
      <c r="F380" s="21"/>
      <c r="G380" s="21"/>
      <c r="I380" s="21"/>
      <c r="L380" s="21"/>
      <c r="M380" s="23"/>
    </row>
    <row r="381" spans="1:13">
      <c r="A381" s="22"/>
      <c r="E381" s="21"/>
      <c r="F381" s="21"/>
      <c r="G381" s="21"/>
      <c r="I381" s="21"/>
      <c r="L381" s="21"/>
      <c r="M381" s="23"/>
    </row>
    <row r="382" spans="1:13">
      <c r="A382" s="22"/>
      <c r="E382" s="21"/>
      <c r="F382" s="21"/>
      <c r="G382" s="21"/>
      <c r="I382" s="21"/>
      <c r="L382" s="21"/>
      <c r="M382" s="23"/>
    </row>
    <row r="383" spans="1:13">
      <c r="A383" s="22"/>
      <c r="E383" s="21"/>
      <c r="F383" s="21"/>
      <c r="G383" s="21"/>
      <c r="I383" s="21"/>
      <c r="L383" s="21"/>
      <c r="M383" s="23"/>
    </row>
    <row r="384" spans="1:13">
      <c r="A384" s="22"/>
      <c r="E384" s="21"/>
      <c r="F384" s="21"/>
      <c r="G384" s="21"/>
      <c r="I384" s="21"/>
      <c r="L384" s="21"/>
      <c r="M384" s="23"/>
    </row>
    <row r="385" spans="1:13">
      <c r="A385" s="22"/>
      <c r="E385" s="21"/>
      <c r="F385" s="21"/>
      <c r="G385" s="21"/>
      <c r="I385" s="21"/>
      <c r="L385" s="21"/>
      <c r="M385" s="23"/>
    </row>
    <row r="386" spans="1:13">
      <c r="A386" s="22"/>
      <c r="E386" s="21"/>
      <c r="F386" s="21"/>
      <c r="G386" s="21"/>
      <c r="I386" s="21"/>
      <c r="L386" s="21"/>
      <c r="M386" s="23"/>
    </row>
    <row r="387" spans="1:13">
      <c r="A387" s="22"/>
      <c r="E387" s="21"/>
      <c r="F387" s="21"/>
      <c r="G387" s="21"/>
      <c r="I387" s="21"/>
      <c r="L387" s="21"/>
      <c r="M387" s="23"/>
    </row>
    <row r="388" spans="1:13">
      <c r="A388" s="22"/>
      <c r="E388" s="21"/>
      <c r="F388" s="21"/>
      <c r="G388" s="21"/>
      <c r="I388" s="21"/>
      <c r="L388" s="21"/>
      <c r="M388" s="23"/>
    </row>
    <row r="389" spans="1:13">
      <c r="A389" s="22"/>
      <c r="E389" s="21"/>
      <c r="F389" s="21"/>
      <c r="G389" s="21"/>
      <c r="I389" s="21"/>
      <c r="L389" s="21"/>
      <c r="M389" s="23"/>
    </row>
    <row r="390" spans="1:13">
      <c r="A390" s="22"/>
      <c r="E390" s="21"/>
      <c r="F390" s="21"/>
      <c r="G390" s="21"/>
      <c r="I390" s="21"/>
      <c r="L390" s="21"/>
      <c r="M390" s="23"/>
    </row>
    <row r="391" spans="1:13">
      <c r="A391" s="22"/>
      <c r="E391" s="21"/>
      <c r="F391" s="21"/>
      <c r="G391" s="21"/>
      <c r="I391" s="21"/>
      <c r="L391" s="21"/>
      <c r="M391" s="23"/>
    </row>
    <row r="392" spans="1:13">
      <c r="A392" s="22"/>
      <c r="E392" s="21"/>
      <c r="F392" s="21"/>
      <c r="G392" s="21"/>
      <c r="I392" s="21"/>
      <c r="L392" s="21"/>
      <c r="M392" s="23"/>
    </row>
    <row r="393" spans="1:13">
      <c r="A393" s="22"/>
      <c r="E393" s="21"/>
      <c r="F393" s="21"/>
      <c r="G393" s="21"/>
      <c r="I393" s="21"/>
      <c r="L393" s="21"/>
      <c r="M393" s="23"/>
    </row>
    <row r="394" spans="1:13">
      <c r="A394" s="22"/>
      <c r="E394" s="21"/>
      <c r="F394" s="21"/>
      <c r="G394" s="21"/>
      <c r="I394" s="21"/>
      <c r="L394" s="21"/>
      <c r="M394" s="23"/>
    </row>
    <row r="395" spans="1:13">
      <c r="A395" s="22"/>
      <c r="E395" s="21"/>
      <c r="F395" s="21"/>
      <c r="G395" s="21"/>
      <c r="I395" s="21"/>
      <c r="L395" s="21"/>
      <c r="M395" s="23"/>
    </row>
    <row r="396" spans="1:13">
      <c r="A396" s="22"/>
      <c r="E396" s="21"/>
      <c r="F396" s="21"/>
      <c r="G396" s="21"/>
      <c r="I396" s="21"/>
      <c r="L396" s="21"/>
      <c r="M396" s="23"/>
    </row>
    <row r="397" spans="1:13">
      <c r="A397" s="22"/>
      <c r="E397" s="21"/>
      <c r="F397" s="21"/>
      <c r="G397" s="21"/>
      <c r="I397" s="21"/>
      <c r="L397" s="21"/>
      <c r="M397" s="23"/>
    </row>
    <row r="398" spans="1:13">
      <c r="A398" s="22"/>
      <c r="E398" s="21"/>
      <c r="F398" s="21"/>
      <c r="G398" s="21"/>
      <c r="I398" s="21"/>
      <c r="L398" s="21"/>
      <c r="M398" s="23"/>
    </row>
    <row r="399" spans="1:13">
      <c r="A399" s="22"/>
      <c r="E399" s="21"/>
      <c r="F399" s="21"/>
      <c r="G399" s="21"/>
      <c r="I399" s="21"/>
      <c r="L399" s="21"/>
      <c r="M399" s="23"/>
    </row>
    <row r="400" spans="1:13">
      <c r="A400" s="22"/>
      <c r="E400" s="21"/>
      <c r="F400" s="21"/>
      <c r="G400" s="21"/>
      <c r="I400" s="21"/>
      <c r="L400" s="21"/>
      <c r="M400" s="23"/>
    </row>
    <row r="401" spans="1:13">
      <c r="A401" s="22"/>
      <c r="E401" s="21"/>
      <c r="F401" s="21"/>
      <c r="G401" s="21"/>
      <c r="I401" s="21"/>
      <c r="L401" s="21"/>
      <c r="M401" s="23"/>
    </row>
    <row r="402" spans="1:13">
      <c r="A402" s="22"/>
      <c r="E402" s="21"/>
      <c r="F402" s="21"/>
      <c r="G402" s="21"/>
      <c r="I402" s="21"/>
      <c r="L402" s="21"/>
      <c r="M402" s="23"/>
    </row>
    <row r="403" spans="1:13">
      <c r="A403" s="22"/>
      <c r="E403" s="21"/>
      <c r="F403" s="21"/>
      <c r="G403" s="21"/>
      <c r="I403" s="21"/>
      <c r="L403" s="21"/>
      <c r="M403" s="23"/>
    </row>
    <row r="404" spans="1:13">
      <c r="A404" s="22"/>
      <c r="E404" s="21"/>
      <c r="F404" s="21"/>
      <c r="G404" s="21"/>
      <c r="I404" s="21"/>
      <c r="L404" s="21"/>
      <c r="M404" s="23"/>
    </row>
    <row r="405" spans="1:13">
      <c r="A405" s="22"/>
      <c r="E405" s="21"/>
      <c r="F405" s="21"/>
      <c r="G405" s="21"/>
      <c r="I405" s="21"/>
      <c r="L405" s="21"/>
      <c r="M405" s="23"/>
    </row>
    <row r="406" spans="1:13">
      <c r="A406" s="22"/>
      <c r="E406" s="21"/>
      <c r="F406" s="21"/>
      <c r="G406" s="21"/>
      <c r="I406" s="21"/>
      <c r="L406" s="21"/>
      <c r="M406" s="23"/>
    </row>
    <row r="407" spans="1:13">
      <c r="A407" s="22"/>
      <c r="E407" s="21"/>
      <c r="F407" s="21"/>
      <c r="G407" s="21"/>
      <c r="I407" s="21"/>
      <c r="L407" s="21"/>
      <c r="M407" s="23"/>
    </row>
    <row r="408" spans="1:13">
      <c r="A408" s="22"/>
      <c r="E408" s="21"/>
      <c r="F408" s="21"/>
      <c r="G408" s="21"/>
      <c r="I408" s="21"/>
      <c r="L408" s="21"/>
      <c r="M408" s="23"/>
    </row>
    <row r="409" spans="1:13">
      <c r="A409" s="22"/>
      <c r="E409" s="21"/>
      <c r="F409" s="21"/>
      <c r="G409" s="21"/>
      <c r="I409" s="21"/>
      <c r="L409" s="21"/>
      <c r="M409" s="23"/>
    </row>
    <row r="410" spans="1:13">
      <c r="A410" s="22"/>
      <c r="E410" s="21"/>
      <c r="F410" s="21"/>
      <c r="G410" s="21"/>
      <c r="I410" s="21"/>
      <c r="L410" s="21"/>
      <c r="M410" s="23"/>
    </row>
    <row r="411" spans="1:13">
      <c r="A411" s="22"/>
      <c r="E411" s="21"/>
      <c r="F411" s="21"/>
      <c r="G411" s="21"/>
      <c r="I411" s="21"/>
      <c r="L411" s="21"/>
      <c r="M411" s="23"/>
    </row>
    <row r="412" spans="1:13">
      <c r="A412" s="22"/>
      <c r="E412" s="21"/>
      <c r="F412" s="21"/>
      <c r="G412" s="21"/>
      <c r="I412" s="21"/>
      <c r="L412" s="21"/>
      <c r="M412" s="23"/>
    </row>
    <row r="413" spans="1:13">
      <c r="A413" s="22"/>
      <c r="E413" s="21"/>
      <c r="F413" s="21"/>
      <c r="G413" s="21"/>
      <c r="I413" s="21"/>
      <c r="L413" s="21"/>
      <c r="M413" s="23"/>
    </row>
    <row r="414" spans="1:13">
      <c r="A414" s="22"/>
      <c r="E414" s="21"/>
      <c r="F414" s="21"/>
      <c r="G414" s="21"/>
      <c r="I414" s="21"/>
      <c r="L414" s="21"/>
      <c r="M414" s="23"/>
    </row>
    <row r="415" spans="1:13">
      <c r="A415" s="22"/>
      <c r="E415" s="21"/>
      <c r="F415" s="21"/>
      <c r="G415" s="21"/>
      <c r="I415" s="21"/>
      <c r="L415" s="21"/>
      <c r="M415" s="23"/>
    </row>
    <row r="416" spans="1:13">
      <c r="A416" s="22"/>
      <c r="E416" s="21"/>
      <c r="F416" s="21"/>
      <c r="G416" s="21"/>
      <c r="I416" s="21"/>
      <c r="L416" s="21"/>
      <c r="M416" s="23"/>
    </row>
    <row r="417" spans="1:13">
      <c r="A417" s="22"/>
      <c r="E417" s="21"/>
      <c r="F417" s="21"/>
      <c r="G417" s="21"/>
      <c r="I417" s="21"/>
      <c r="L417" s="21"/>
      <c r="M417" s="23"/>
    </row>
    <row r="418" spans="1:13">
      <c r="A418" s="22"/>
      <c r="E418" s="21"/>
      <c r="F418" s="21"/>
      <c r="G418" s="21"/>
      <c r="I418" s="21"/>
      <c r="L418" s="21"/>
      <c r="M418" s="23"/>
    </row>
    <row r="419" spans="1:13">
      <c r="A419" s="22"/>
      <c r="E419" s="21"/>
      <c r="F419" s="21"/>
      <c r="G419" s="21"/>
      <c r="I419" s="21"/>
      <c r="L419" s="21"/>
      <c r="M419" s="23"/>
    </row>
    <row r="420" spans="1:13">
      <c r="A420" s="22"/>
      <c r="E420" s="21"/>
      <c r="F420" s="21"/>
      <c r="G420" s="21"/>
      <c r="I420" s="21"/>
      <c r="L420" s="21"/>
      <c r="M420" s="23"/>
    </row>
    <row r="421" spans="1:13">
      <c r="A421" s="22"/>
      <c r="E421" s="21"/>
      <c r="F421" s="21"/>
      <c r="G421" s="21"/>
      <c r="I421" s="21"/>
      <c r="L421" s="21"/>
      <c r="M421" s="23"/>
    </row>
    <row r="422" spans="1:13">
      <c r="A422" s="22"/>
      <c r="E422" s="21"/>
      <c r="F422" s="21"/>
      <c r="G422" s="21"/>
      <c r="I422" s="21"/>
      <c r="L422" s="21"/>
      <c r="M422" s="23"/>
    </row>
    <row r="423" spans="1:13">
      <c r="A423" s="22"/>
      <c r="E423" s="21"/>
      <c r="F423" s="21"/>
      <c r="G423" s="21"/>
      <c r="I423" s="21"/>
      <c r="L423" s="21"/>
      <c r="M423" s="23"/>
    </row>
    <row r="424" spans="1:13">
      <c r="A424" s="22"/>
      <c r="E424" s="21"/>
      <c r="F424" s="21"/>
      <c r="G424" s="21"/>
      <c r="I424" s="21"/>
      <c r="L424" s="21"/>
      <c r="M424" s="23"/>
    </row>
    <row r="425" spans="1:13">
      <c r="A425" s="22"/>
      <c r="E425" s="21"/>
      <c r="F425" s="21"/>
      <c r="G425" s="21"/>
      <c r="I425" s="21"/>
      <c r="L425" s="21"/>
      <c r="M425" s="23"/>
    </row>
    <row r="426" spans="1:13">
      <c r="A426" s="22"/>
      <c r="E426" s="21"/>
      <c r="F426" s="21"/>
      <c r="G426" s="21"/>
      <c r="I426" s="21"/>
      <c r="L426" s="21"/>
      <c r="M426" s="23"/>
    </row>
    <row r="427" spans="1:13">
      <c r="A427" s="22"/>
      <c r="E427" s="21"/>
      <c r="F427" s="21"/>
      <c r="G427" s="21"/>
      <c r="I427" s="21"/>
      <c r="L427" s="21"/>
      <c r="M427" s="23"/>
    </row>
    <row r="428" spans="1:13">
      <c r="A428" s="22"/>
      <c r="E428" s="21"/>
      <c r="F428" s="21"/>
      <c r="G428" s="21"/>
      <c r="I428" s="21"/>
      <c r="L428" s="21"/>
      <c r="M428" s="23"/>
    </row>
    <row r="429" spans="1:13">
      <c r="A429" s="22"/>
      <c r="E429" s="21"/>
      <c r="F429" s="21"/>
      <c r="G429" s="21"/>
      <c r="I429" s="21"/>
      <c r="L429" s="21"/>
      <c r="M429" s="23"/>
    </row>
    <row r="430" spans="1:13">
      <c r="A430" s="22"/>
      <c r="E430" s="21"/>
      <c r="F430" s="21"/>
      <c r="G430" s="21"/>
      <c r="I430" s="21"/>
      <c r="L430" s="21"/>
      <c r="M430" s="23"/>
    </row>
    <row r="431" spans="1:13">
      <c r="A431" s="22"/>
      <c r="E431" s="21"/>
      <c r="F431" s="21"/>
      <c r="G431" s="21"/>
      <c r="I431" s="21"/>
      <c r="L431" s="21"/>
      <c r="M431" s="23"/>
    </row>
    <row r="432" spans="1:13">
      <c r="A432" s="22"/>
      <c r="E432" s="21"/>
      <c r="F432" s="21"/>
      <c r="G432" s="21"/>
      <c r="I432" s="21"/>
      <c r="L432" s="21"/>
      <c r="M432" s="23"/>
    </row>
    <row r="433" spans="1:13">
      <c r="A433" s="22"/>
      <c r="E433" s="21"/>
      <c r="F433" s="21"/>
      <c r="G433" s="21"/>
      <c r="I433" s="21"/>
      <c r="L433" s="21"/>
      <c r="M433" s="23"/>
    </row>
    <row r="434" spans="1:13">
      <c r="A434" s="22"/>
      <c r="E434" s="21"/>
      <c r="F434" s="21"/>
      <c r="G434" s="21"/>
      <c r="I434" s="21"/>
      <c r="L434" s="21"/>
      <c r="M434" s="23"/>
    </row>
    <row r="435" spans="1:13">
      <c r="A435" s="22"/>
      <c r="E435" s="21"/>
      <c r="F435" s="21"/>
      <c r="G435" s="21"/>
      <c r="I435" s="21"/>
      <c r="L435" s="21"/>
      <c r="M435" s="23"/>
    </row>
    <row r="436" spans="1:13">
      <c r="A436" s="22"/>
      <c r="E436" s="21"/>
      <c r="F436" s="21"/>
      <c r="G436" s="21"/>
      <c r="I436" s="21"/>
      <c r="L436" s="21"/>
      <c r="M436" s="23"/>
    </row>
    <row r="437" spans="1:13">
      <c r="A437" s="22"/>
      <c r="E437" s="21"/>
      <c r="F437" s="21"/>
      <c r="G437" s="21"/>
      <c r="I437" s="21"/>
      <c r="L437" s="21"/>
      <c r="M437" s="23"/>
    </row>
    <row r="438" spans="1:13">
      <c r="A438" s="22"/>
      <c r="E438" s="21"/>
      <c r="F438" s="21"/>
      <c r="G438" s="21"/>
      <c r="I438" s="21"/>
      <c r="L438" s="21"/>
      <c r="M438" s="23"/>
    </row>
    <row r="439" spans="1:13">
      <c r="A439" s="22"/>
      <c r="E439" s="21"/>
      <c r="F439" s="21"/>
      <c r="G439" s="21"/>
      <c r="I439" s="21"/>
      <c r="L439" s="21"/>
      <c r="M439" s="23"/>
    </row>
    <row r="440" spans="1:13">
      <c r="A440" s="22"/>
      <c r="E440" s="21"/>
      <c r="F440" s="21"/>
      <c r="G440" s="21"/>
      <c r="I440" s="21"/>
      <c r="L440" s="21"/>
      <c r="M440" s="23"/>
    </row>
    <row r="441" spans="1:13">
      <c r="A441" s="22"/>
      <c r="E441" s="21"/>
      <c r="F441" s="21"/>
      <c r="G441" s="21"/>
      <c r="I441" s="21"/>
      <c r="L441" s="21"/>
      <c r="M441" s="23"/>
    </row>
    <row r="442" spans="1:13">
      <c r="A442" s="22"/>
      <c r="E442" s="21"/>
      <c r="F442" s="21"/>
      <c r="G442" s="21"/>
      <c r="I442" s="21"/>
      <c r="L442" s="21"/>
      <c r="M442" s="23"/>
    </row>
    <row r="443" spans="1:13">
      <c r="A443" s="22"/>
      <c r="E443" s="21"/>
      <c r="F443" s="21"/>
      <c r="G443" s="21"/>
      <c r="I443" s="21"/>
      <c r="L443" s="21"/>
      <c r="M443" s="23"/>
    </row>
    <row r="444" spans="1:13">
      <c r="A444" s="22"/>
      <c r="E444" s="21"/>
      <c r="F444" s="21"/>
      <c r="G444" s="21"/>
      <c r="I444" s="21"/>
      <c r="L444" s="21"/>
      <c r="M444" s="23"/>
    </row>
    <row r="445" spans="1:13">
      <c r="A445" s="22"/>
      <c r="E445" s="21"/>
      <c r="F445" s="21"/>
      <c r="G445" s="21"/>
      <c r="I445" s="21"/>
      <c r="L445" s="21"/>
      <c r="M445" s="23"/>
    </row>
    <row r="446" spans="1:13">
      <c r="A446" s="22"/>
      <c r="E446" s="21"/>
      <c r="F446" s="21"/>
      <c r="G446" s="21"/>
      <c r="I446" s="21"/>
      <c r="L446" s="21"/>
      <c r="M446" s="23"/>
    </row>
    <row r="447" spans="1:13">
      <c r="A447" s="22"/>
      <c r="E447" s="21"/>
      <c r="F447" s="21"/>
      <c r="G447" s="21"/>
      <c r="I447" s="21"/>
      <c r="L447" s="21"/>
      <c r="M447" s="23"/>
    </row>
    <row r="448" spans="1:13">
      <c r="A448" s="22"/>
      <c r="E448" s="21"/>
      <c r="F448" s="21"/>
      <c r="G448" s="21"/>
      <c r="I448" s="21"/>
      <c r="L448" s="21"/>
      <c r="M448" s="23"/>
    </row>
    <row r="449" spans="1:13">
      <c r="A449" s="22"/>
      <c r="E449" s="21"/>
      <c r="F449" s="21"/>
      <c r="G449" s="21"/>
      <c r="I449" s="21"/>
      <c r="L449" s="21"/>
      <c r="M449" s="23"/>
    </row>
    <row r="450" spans="1:13">
      <c r="A450" s="22"/>
      <c r="E450" s="21"/>
      <c r="F450" s="21"/>
      <c r="G450" s="21"/>
      <c r="I450" s="21"/>
      <c r="L450" s="21"/>
      <c r="M450" s="23"/>
    </row>
    <row r="451" spans="1:13">
      <c r="A451" s="22"/>
      <c r="E451" s="21"/>
      <c r="F451" s="21"/>
      <c r="G451" s="21"/>
      <c r="I451" s="21"/>
      <c r="L451" s="21"/>
      <c r="M451" s="23"/>
    </row>
    <row r="452" spans="1:13">
      <c r="A452" s="22"/>
      <c r="E452" s="21"/>
      <c r="F452" s="21"/>
      <c r="G452" s="21"/>
      <c r="I452" s="21"/>
      <c r="L452" s="21"/>
      <c r="M452" s="23"/>
    </row>
    <row r="453" spans="1:13">
      <c r="A453" s="22"/>
      <c r="E453" s="21"/>
      <c r="F453" s="21"/>
      <c r="G453" s="21"/>
      <c r="I453" s="21"/>
      <c r="L453" s="21"/>
      <c r="M453" s="23"/>
    </row>
    <row r="454" spans="1:13">
      <c r="A454" s="22"/>
      <c r="E454" s="21"/>
      <c r="F454" s="21"/>
      <c r="G454" s="21"/>
      <c r="I454" s="21"/>
      <c r="L454" s="21"/>
      <c r="M454" s="23"/>
    </row>
    <row r="455" spans="1:13">
      <c r="A455" s="22"/>
      <c r="E455" s="21"/>
      <c r="F455" s="21"/>
      <c r="G455" s="21"/>
      <c r="I455" s="21"/>
      <c r="L455" s="21"/>
      <c r="M455" s="23"/>
    </row>
    <row r="456" spans="1:13">
      <c r="A456" s="22"/>
      <c r="E456" s="21"/>
      <c r="F456" s="21"/>
      <c r="G456" s="21"/>
      <c r="I456" s="21"/>
      <c r="L456" s="21"/>
      <c r="M456" s="23"/>
    </row>
    <row r="457" spans="1:13">
      <c r="A457" s="22"/>
      <c r="E457" s="21"/>
      <c r="F457" s="21"/>
      <c r="G457" s="21"/>
      <c r="I457" s="21"/>
      <c r="L457" s="21"/>
      <c r="M457" s="23"/>
    </row>
    <row r="458" spans="1:13">
      <c r="A458" s="22"/>
      <c r="E458" s="21"/>
      <c r="F458" s="21"/>
      <c r="G458" s="21"/>
      <c r="I458" s="21"/>
      <c r="L458" s="21"/>
      <c r="M458" s="23"/>
    </row>
    <row r="459" spans="1:13">
      <c r="A459" s="22"/>
      <c r="E459" s="21"/>
      <c r="F459" s="21"/>
      <c r="G459" s="21"/>
      <c r="I459" s="21"/>
      <c r="L459" s="21"/>
      <c r="M459" s="23"/>
    </row>
    <row r="460" spans="1:13">
      <c r="A460" s="22"/>
      <c r="E460" s="21"/>
      <c r="F460" s="21"/>
      <c r="G460" s="21"/>
      <c r="I460" s="21"/>
      <c r="L460" s="21"/>
      <c r="M460" s="23"/>
    </row>
    <row r="461" spans="1:13">
      <c r="A461" s="22"/>
      <c r="E461" s="21"/>
      <c r="F461" s="21"/>
      <c r="G461" s="21"/>
      <c r="I461" s="21"/>
      <c r="L461" s="21"/>
      <c r="M461" s="23"/>
    </row>
    <row r="462" spans="1:13">
      <c r="A462" s="22"/>
      <c r="E462" s="21"/>
      <c r="F462" s="21"/>
      <c r="G462" s="21"/>
      <c r="I462" s="21"/>
      <c r="L462" s="21"/>
      <c r="M462" s="23"/>
    </row>
    <row r="463" spans="1:13">
      <c r="A463" s="22"/>
      <c r="E463" s="21"/>
      <c r="F463" s="21"/>
      <c r="G463" s="21"/>
      <c r="I463" s="21"/>
      <c r="L463" s="21"/>
      <c r="M463" s="23"/>
    </row>
    <row r="464" spans="1:13">
      <c r="A464" s="22"/>
      <c r="E464" s="21"/>
      <c r="F464" s="21"/>
      <c r="G464" s="21"/>
      <c r="I464" s="21"/>
      <c r="L464" s="21"/>
      <c r="M464" s="23"/>
    </row>
    <row r="465" spans="1:13">
      <c r="A465" s="22"/>
      <c r="E465" s="21"/>
      <c r="F465" s="21"/>
      <c r="G465" s="21"/>
      <c r="I465" s="21"/>
      <c r="L465" s="21"/>
      <c r="M465" s="23"/>
    </row>
    <row r="466" spans="1:13">
      <c r="A466" s="22"/>
      <c r="E466" s="21"/>
      <c r="F466" s="21"/>
      <c r="G466" s="21"/>
      <c r="I466" s="21"/>
      <c r="L466" s="21"/>
      <c r="M466" s="23"/>
    </row>
    <row r="467" spans="1:13">
      <c r="A467" s="22"/>
      <c r="E467" s="21"/>
      <c r="F467" s="21"/>
      <c r="G467" s="21"/>
      <c r="I467" s="21"/>
      <c r="L467" s="21"/>
      <c r="M467" s="23"/>
    </row>
    <row r="468" spans="1:13">
      <c r="A468" s="22"/>
      <c r="E468" s="21"/>
      <c r="F468" s="21"/>
      <c r="G468" s="21"/>
      <c r="I468" s="21"/>
      <c r="L468" s="21"/>
      <c r="M468" s="23"/>
    </row>
    <row r="469" spans="1:13">
      <c r="A469" s="22"/>
      <c r="E469" s="21"/>
      <c r="F469" s="21"/>
      <c r="G469" s="21"/>
      <c r="I469" s="21"/>
      <c r="L469" s="21"/>
      <c r="M469" s="23"/>
    </row>
    <row r="470" spans="1:13">
      <c r="A470" s="22"/>
      <c r="E470" s="21"/>
      <c r="F470" s="21"/>
      <c r="G470" s="21"/>
      <c r="I470" s="21"/>
      <c r="L470" s="21"/>
      <c r="M470" s="23"/>
    </row>
    <row r="471" spans="1:13">
      <c r="A471" s="22"/>
      <c r="E471" s="21"/>
      <c r="F471" s="21"/>
      <c r="G471" s="21"/>
      <c r="I471" s="21"/>
      <c r="L471" s="21"/>
      <c r="M471" s="23"/>
    </row>
    <row r="472" spans="1:13">
      <c r="A472" s="22"/>
      <c r="E472" s="21"/>
      <c r="F472" s="21"/>
      <c r="G472" s="21"/>
      <c r="I472" s="21"/>
      <c r="L472" s="21"/>
      <c r="M472" s="23"/>
    </row>
    <row r="473" spans="1:13">
      <c r="A473" s="22"/>
      <c r="E473" s="21"/>
      <c r="F473" s="21"/>
      <c r="G473" s="21"/>
      <c r="I473" s="21"/>
      <c r="L473" s="21"/>
      <c r="M473" s="23"/>
    </row>
    <row r="474" spans="1:13">
      <c r="A474" s="22"/>
      <c r="E474" s="21"/>
      <c r="F474" s="21"/>
      <c r="G474" s="21"/>
      <c r="I474" s="21"/>
      <c r="L474" s="21"/>
      <c r="M474" s="23"/>
    </row>
    <row r="475" spans="1:13">
      <c r="A475" s="22"/>
      <c r="E475" s="21"/>
      <c r="F475" s="21"/>
      <c r="G475" s="21"/>
      <c r="I475" s="21"/>
      <c r="L475" s="21"/>
      <c r="M475" s="23"/>
    </row>
    <row r="476" spans="1:13">
      <c r="A476" s="22"/>
      <c r="E476" s="21"/>
      <c r="F476" s="21"/>
      <c r="G476" s="21"/>
      <c r="I476" s="21"/>
      <c r="L476" s="21"/>
      <c r="M476" s="23"/>
    </row>
    <row r="477" spans="1:13">
      <c r="A477" s="22"/>
      <c r="E477" s="21"/>
      <c r="F477" s="21"/>
      <c r="G477" s="21"/>
      <c r="I477" s="21"/>
      <c r="L477" s="21"/>
      <c r="M477" s="23"/>
    </row>
    <row r="478" spans="1:13">
      <c r="A478" s="22"/>
      <c r="E478" s="21"/>
      <c r="F478" s="21"/>
      <c r="G478" s="21"/>
      <c r="I478" s="21"/>
      <c r="L478" s="21"/>
      <c r="M478" s="23"/>
    </row>
    <row r="479" spans="1:13">
      <c r="A479" s="22"/>
      <c r="E479" s="21"/>
      <c r="F479" s="21"/>
      <c r="G479" s="21"/>
      <c r="I479" s="21"/>
      <c r="L479" s="21"/>
      <c r="M479" s="23"/>
    </row>
    <row r="480" spans="1:13">
      <c r="A480" s="22"/>
      <c r="E480" s="21"/>
      <c r="F480" s="21"/>
      <c r="G480" s="21"/>
      <c r="I480" s="21"/>
      <c r="L480" s="21"/>
      <c r="M480" s="23"/>
    </row>
    <row r="481" spans="1:13">
      <c r="A481" s="22"/>
      <c r="E481" s="21"/>
      <c r="F481" s="21"/>
      <c r="G481" s="21"/>
      <c r="I481" s="21"/>
      <c r="L481" s="21"/>
      <c r="M481" s="23"/>
    </row>
    <row r="482" spans="1:13">
      <c r="A482" s="22"/>
      <c r="E482" s="21"/>
      <c r="F482" s="21"/>
      <c r="G482" s="21"/>
      <c r="I482" s="21"/>
      <c r="L482" s="21"/>
      <c r="M482" s="23"/>
    </row>
    <row r="483" spans="1:13">
      <c r="A483" s="22"/>
      <c r="E483" s="21"/>
      <c r="F483" s="21"/>
      <c r="G483" s="21"/>
      <c r="I483" s="21"/>
      <c r="L483" s="21"/>
      <c r="M483" s="23"/>
    </row>
    <row r="484" spans="1:13">
      <c r="A484" s="22"/>
      <c r="E484" s="21"/>
      <c r="F484" s="21"/>
      <c r="G484" s="21"/>
      <c r="I484" s="21"/>
      <c r="L484" s="21"/>
      <c r="M484" s="23"/>
    </row>
    <row r="485" spans="1:13">
      <c r="A485" s="22"/>
      <c r="E485" s="21"/>
      <c r="F485" s="21"/>
      <c r="G485" s="21"/>
      <c r="I485" s="21"/>
      <c r="L485" s="21"/>
      <c r="M485" s="23"/>
    </row>
    <row r="486" spans="1:13">
      <c r="A486" s="22"/>
      <c r="E486" s="21"/>
      <c r="F486" s="21"/>
      <c r="G486" s="21"/>
      <c r="I486" s="21"/>
      <c r="L486" s="21"/>
      <c r="M486" s="23"/>
    </row>
    <row r="487" spans="1:13">
      <c r="A487" s="22"/>
      <c r="E487" s="21"/>
      <c r="F487" s="21"/>
      <c r="G487" s="21"/>
      <c r="I487" s="21"/>
      <c r="L487" s="21"/>
      <c r="M487" s="23"/>
    </row>
    <row r="488" spans="1:13">
      <c r="A488" s="22"/>
      <c r="E488" s="21"/>
      <c r="F488" s="21"/>
      <c r="G488" s="21"/>
      <c r="I488" s="21"/>
      <c r="L488" s="21"/>
      <c r="M488" s="23"/>
    </row>
    <row r="489" spans="1:13">
      <c r="A489" s="22"/>
      <c r="E489" s="21"/>
      <c r="F489" s="21"/>
      <c r="G489" s="21"/>
      <c r="I489" s="21"/>
      <c r="L489" s="21"/>
      <c r="M489" s="23"/>
    </row>
    <row r="490" spans="1:13">
      <c r="A490" s="22"/>
      <c r="E490" s="21"/>
      <c r="F490" s="21"/>
      <c r="G490" s="21"/>
      <c r="I490" s="21"/>
      <c r="L490" s="21"/>
      <c r="M490" s="23"/>
    </row>
    <row r="491" spans="1:13">
      <c r="A491" s="22"/>
      <c r="E491" s="21"/>
      <c r="F491" s="21"/>
      <c r="G491" s="21"/>
      <c r="I491" s="21"/>
      <c r="L491" s="21"/>
      <c r="M491" s="23"/>
    </row>
    <row r="492" spans="1:13">
      <c r="A492" s="22"/>
      <c r="E492" s="21"/>
      <c r="F492" s="21"/>
      <c r="G492" s="21"/>
      <c r="I492" s="21"/>
      <c r="L492" s="21"/>
      <c r="M492" s="23"/>
    </row>
    <row r="493" spans="1:13">
      <c r="A493" s="22"/>
      <c r="E493" s="21"/>
      <c r="F493" s="21"/>
      <c r="G493" s="21"/>
      <c r="I493" s="21"/>
      <c r="L493" s="21"/>
      <c r="M493" s="23"/>
    </row>
    <row r="494" spans="1:13">
      <c r="A494" s="22"/>
      <c r="E494" s="21"/>
      <c r="F494" s="21"/>
      <c r="G494" s="21"/>
      <c r="I494" s="21"/>
      <c r="L494" s="21"/>
      <c r="M494" s="23"/>
    </row>
    <row r="495" spans="1:13">
      <c r="A495" s="22"/>
      <c r="E495" s="21"/>
      <c r="F495" s="21"/>
      <c r="G495" s="21"/>
      <c r="I495" s="21"/>
      <c r="L495" s="21"/>
      <c r="M495" s="23"/>
    </row>
    <row r="496" spans="1:13">
      <c r="A496" s="22"/>
      <c r="E496" s="21"/>
      <c r="F496" s="21"/>
      <c r="G496" s="21"/>
      <c r="I496" s="21"/>
      <c r="L496" s="21"/>
      <c r="M496" s="23"/>
    </row>
    <row r="497" spans="1:13">
      <c r="A497" s="22"/>
      <c r="E497" s="21"/>
      <c r="F497" s="21"/>
      <c r="G497" s="21"/>
      <c r="I497" s="21"/>
      <c r="L497" s="21"/>
      <c r="M497" s="23"/>
    </row>
    <row r="498" spans="1:13">
      <c r="A498" s="22"/>
      <c r="E498" s="21"/>
      <c r="F498" s="21"/>
      <c r="G498" s="21"/>
      <c r="I498" s="21"/>
      <c r="L498" s="21"/>
      <c r="M498" s="23"/>
    </row>
    <row r="499" spans="1:13">
      <c r="A499" s="22"/>
      <c r="E499" s="21"/>
      <c r="F499" s="21"/>
      <c r="G499" s="21"/>
      <c r="I499" s="21"/>
      <c r="L499" s="21"/>
      <c r="M499" s="23"/>
    </row>
    <row r="500" spans="1:13">
      <c r="A500" s="22"/>
      <c r="E500" s="21"/>
      <c r="F500" s="21"/>
      <c r="G500" s="21"/>
      <c r="I500" s="21"/>
      <c r="L500" s="21"/>
      <c r="M500" s="23"/>
    </row>
    <row r="501" spans="1:13">
      <c r="A501" s="22"/>
      <c r="E501" s="21"/>
      <c r="F501" s="21"/>
      <c r="G501" s="21"/>
      <c r="I501" s="21"/>
      <c r="L501" s="21"/>
      <c r="M501" s="23"/>
    </row>
    <row r="502" spans="1:13">
      <c r="A502" s="22"/>
      <c r="E502" s="21"/>
      <c r="F502" s="21"/>
      <c r="G502" s="21"/>
      <c r="I502" s="21"/>
      <c r="L502" s="21"/>
      <c r="M502" s="23"/>
    </row>
    <row r="503" spans="1:13">
      <c r="A503" s="22"/>
      <c r="E503" s="21"/>
      <c r="F503" s="21"/>
      <c r="G503" s="21"/>
      <c r="I503" s="21"/>
      <c r="L503" s="21"/>
      <c r="M503" s="23"/>
    </row>
    <row r="504" spans="1:13">
      <c r="A504" s="22"/>
      <c r="E504" s="21"/>
      <c r="F504" s="21"/>
      <c r="G504" s="21"/>
      <c r="I504" s="21"/>
      <c r="L504" s="21"/>
      <c r="M504" s="23"/>
    </row>
    <row r="505" spans="1:13">
      <c r="A505" s="22"/>
      <c r="E505" s="21"/>
      <c r="F505" s="21"/>
      <c r="G505" s="21"/>
      <c r="I505" s="21"/>
      <c r="L505" s="21"/>
      <c r="M505" s="23"/>
    </row>
    <row r="506" spans="1:13">
      <c r="A506" s="22"/>
      <c r="E506" s="21"/>
      <c r="F506" s="21"/>
      <c r="G506" s="21"/>
      <c r="I506" s="21"/>
      <c r="L506" s="21"/>
      <c r="M506" s="23"/>
    </row>
    <row r="507" spans="1:13">
      <c r="A507" s="22"/>
      <c r="E507" s="21"/>
      <c r="F507" s="21"/>
      <c r="G507" s="21"/>
      <c r="I507" s="21"/>
      <c r="L507" s="21"/>
      <c r="M507" s="23"/>
    </row>
    <row r="508" spans="1:13">
      <c r="A508" s="22"/>
      <c r="E508" s="21"/>
      <c r="F508" s="21"/>
      <c r="G508" s="21"/>
      <c r="I508" s="21"/>
      <c r="L508" s="21"/>
      <c r="M508" s="23"/>
    </row>
    <row r="509" spans="1:13">
      <c r="A509" s="22"/>
      <c r="E509" s="21"/>
      <c r="F509" s="21"/>
      <c r="G509" s="21"/>
      <c r="I509" s="21"/>
      <c r="L509" s="21"/>
      <c r="M509" s="23"/>
    </row>
    <row r="510" spans="1:13">
      <c r="A510" s="22"/>
      <c r="E510" s="21"/>
      <c r="F510" s="21"/>
      <c r="G510" s="21"/>
      <c r="I510" s="21"/>
      <c r="L510" s="21"/>
      <c r="M510" s="23"/>
    </row>
    <row r="511" spans="1:13">
      <c r="A511" s="22"/>
      <c r="E511" s="21"/>
      <c r="F511" s="21"/>
      <c r="G511" s="21"/>
      <c r="I511" s="21"/>
      <c r="L511" s="21"/>
      <c r="M511" s="23"/>
    </row>
    <row r="512" spans="1:13">
      <c r="A512" s="22"/>
      <c r="E512" s="21"/>
      <c r="F512" s="21"/>
      <c r="G512" s="21"/>
      <c r="I512" s="21"/>
      <c r="L512" s="21"/>
      <c r="M512" s="23"/>
    </row>
    <row r="513" spans="1:13">
      <c r="A513" s="22"/>
      <c r="E513" s="21"/>
      <c r="F513" s="21"/>
      <c r="G513" s="21"/>
      <c r="I513" s="21"/>
      <c r="L513" s="21"/>
      <c r="M513" s="23"/>
    </row>
    <row r="514" spans="1:13">
      <c r="A514" s="22"/>
      <c r="E514" s="21"/>
      <c r="F514" s="21"/>
      <c r="G514" s="21"/>
      <c r="I514" s="21"/>
      <c r="L514" s="21"/>
      <c r="M514" s="23"/>
    </row>
    <row r="515" spans="1:13">
      <c r="A515" s="22"/>
      <c r="E515" s="21"/>
      <c r="F515" s="21"/>
      <c r="G515" s="21"/>
      <c r="I515" s="21"/>
      <c r="L515" s="21"/>
      <c r="M515" s="23"/>
    </row>
    <row r="516" spans="1:13">
      <c r="A516" s="22"/>
      <c r="E516" s="21"/>
      <c r="F516" s="21"/>
      <c r="G516" s="21"/>
      <c r="I516" s="21"/>
      <c r="L516" s="21"/>
      <c r="M516" s="23"/>
    </row>
    <row r="517" spans="1:13">
      <c r="A517" s="22"/>
      <c r="E517" s="21"/>
      <c r="F517" s="21"/>
      <c r="G517" s="21"/>
      <c r="I517" s="21"/>
      <c r="L517" s="21"/>
      <c r="M517" s="23"/>
    </row>
    <row r="518" spans="1:13">
      <c r="A518" s="22"/>
      <c r="E518" s="21"/>
      <c r="F518" s="21"/>
      <c r="G518" s="21"/>
      <c r="I518" s="21"/>
      <c r="L518" s="21"/>
      <c r="M518" s="23"/>
    </row>
    <row r="519" spans="1:13">
      <c r="A519" s="22"/>
      <c r="E519" s="21"/>
      <c r="F519" s="21"/>
      <c r="G519" s="21"/>
      <c r="I519" s="21"/>
      <c r="L519" s="21"/>
      <c r="M519" s="23"/>
    </row>
    <row r="520" spans="1:13">
      <c r="A520" s="22"/>
      <c r="E520" s="21"/>
      <c r="F520" s="21"/>
      <c r="G520" s="21"/>
      <c r="I520" s="21"/>
      <c r="L520" s="21"/>
      <c r="M520" s="23"/>
    </row>
    <row r="521" spans="1:13">
      <c r="A521" s="22"/>
      <c r="E521" s="21"/>
      <c r="F521" s="21"/>
      <c r="G521" s="21"/>
      <c r="I521" s="21"/>
      <c r="L521" s="21"/>
      <c r="M521" s="23"/>
    </row>
    <row r="522" spans="1:13">
      <c r="A522" s="22"/>
      <c r="E522" s="21"/>
      <c r="F522" s="21"/>
      <c r="G522" s="21"/>
      <c r="I522" s="21"/>
      <c r="L522" s="21"/>
      <c r="M522" s="23"/>
    </row>
    <row r="523" spans="1:13">
      <c r="A523" s="22"/>
      <c r="E523" s="21"/>
      <c r="F523" s="21"/>
      <c r="G523" s="21"/>
      <c r="I523" s="21"/>
      <c r="L523" s="21"/>
      <c r="M523" s="23"/>
    </row>
    <row r="524" spans="1:13">
      <c r="A524" s="22"/>
      <c r="E524" s="21"/>
      <c r="F524" s="21"/>
      <c r="G524" s="21"/>
      <c r="I524" s="21"/>
      <c r="L524" s="21"/>
      <c r="M524" s="23"/>
    </row>
    <row r="525" spans="1:13">
      <c r="A525" s="22"/>
      <c r="E525" s="21"/>
      <c r="F525" s="21"/>
      <c r="G525" s="21"/>
      <c r="I525" s="21"/>
      <c r="L525" s="21"/>
      <c r="M525" s="23"/>
    </row>
    <row r="526" spans="1:13">
      <c r="A526" s="22"/>
      <c r="E526" s="21"/>
      <c r="F526" s="21"/>
      <c r="G526" s="21"/>
      <c r="I526" s="21"/>
      <c r="L526" s="21"/>
      <c r="M526" s="23"/>
    </row>
    <row r="527" spans="1:13">
      <c r="A527" s="22"/>
      <c r="E527" s="21"/>
      <c r="F527" s="21"/>
      <c r="G527" s="21"/>
      <c r="I527" s="21"/>
      <c r="L527" s="21"/>
      <c r="M527" s="23"/>
    </row>
    <row r="528" spans="1:13">
      <c r="A528" s="22"/>
      <c r="E528" s="21"/>
      <c r="F528" s="21"/>
      <c r="G528" s="21"/>
      <c r="I528" s="21"/>
      <c r="L528" s="21"/>
      <c r="M528" s="23"/>
    </row>
    <row r="529" spans="1:13">
      <c r="A529" s="22"/>
      <c r="E529" s="21"/>
      <c r="F529" s="21"/>
      <c r="G529" s="21"/>
      <c r="I529" s="21"/>
      <c r="L529" s="21"/>
      <c r="M529" s="23"/>
    </row>
    <row r="530" spans="1:13">
      <c r="A530" s="22"/>
      <c r="E530" s="21"/>
      <c r="F530" s="21"/>
      <c r="G530" s="21"/>
      <c r="I530" s="21"/>
      <c r="L530" s="21"/>
      <c r="M530" s="23"/>
    </row>
    <row r="531" spans="1:13">
      <c r="A531" s="22"/>
      <c r="E531" s="21"/>
      <c r="F531" s="21"/>
      <c r="G531" s="21"/>
      <c r="I531" s="21"/>
      <c r="L531" s="21"/>
      <c r="M531" s="23"/>
    </row>
    <row r="532" spans="1:13">
      <c r="A532" s="22"/>
      <c r="E532" s="21"/>
      <c r="F532" s="21"/>
      <c r="G532" s="21"/>
      <c r="I532" s="21"/>
      <c r="L532" s="21"/>
      <c r="M532" s="23"/>
    </row>
    <row r="533" spans="1:13">
      <c r="A533" s="22"/>
      <c r="E533" s="21"/>
      <c r="F533" s="21"/>
      <c r="G533" s="21"/>
      <c r="I533" s="21"/>
      <c r="L533" s="21"/>
      <c r="M533" s="23"/>
    </row>
    <row r="534" spans="1:13">
      <c r="A534" s="22"/>
      <c r="E534" s="21"/>
      <c r="F534" s="21"/>
      <c r="G534" s="21"/>
      <c r="I534" s="21"/>
      <c r="L534" s="21"/>
      <c r="M534" s="23"/>
    </row>
    <row r="535" spans="1:13">
      <c r="A535" s="22"/>
      <c r="E535" s="21"/>
      <c r="F535" s="21"/>
      <c r="G535" s="21"/>
      <c r="I535" s="21"/>
      <c r="L535" s="21"/>
      <c r="M535" s="23"/>
    </row>
    <row r="536" spans="1:13">
      <c r="A536" s="22"/>
      <c r="E536" s="21"/>
      <c r="F536" s="21"/>
      <c r="G536" s="21"/>
      <c r="I536" s="21"/>
      <c r="L536" s="21"/>
      <c r="M536" s="23"/>
    </row>
    <row r="537" spans="1:13">
      <c r="A537" s="22"/>
      <c r="E537" s="21"/>
      <c r="F537" s="21"/>
      <c r="G537" s="21"/>
      <c r="I537" s="21"/>
      <c r="L537" s="21"/>
      <c r="M537" s="23"/>
    </row>
    <row r="538" spans="1:13">
      <c r="A538" s="22"/>
      <c r="E538" s="21"/>
      <c r="F538" s="21"/>
      <c r="G538" s="21"/>
      <c r="I538" s="21"/>
      <c r="L538" s="21"/>
      <c r="M538" s="23"/>
    </row>
    <row r="539" spans="1:13">
      <c r="A539" s="22"/>
      <c r="E539" s="21"/>
      <c r="F539" s="21"/>
      <c r="G539" s="21"/>
      <c r="I539" s="21"/>
      <c r="L539" s="21"/>
      <c r="M539" s="23"/>
    </row>
    <row r="540" spans="1:13">
      <c r="A540" s="22"/>
      <c r="E540" s="21"/>
      <c r="F540" s="21"/>
      <c r="G540" s="21"/>
      <c r="I540" s="21"/>
      <c r="L540" s="21"/>
      <c r="M540" s="23"/>
    </row>
    <row r="541" spans="1:13">
      <c r="A541" s="22"/>
      <c r="E541" s="21"/>
      <c r="F541" s="21"/>
      <c r="G541" s="21"/>
      <c r="I541" s="21"/>
      <c r="L541" s="21"/>
      <c r="M541" s="23"/>
    </row>
    <row r="542" spans="1:13">
      <c r="A542" s="22"/>
      <c r="E542" s="21"/>
      <c r="F542" s="21"/>
      <c r="G542" s="21"/>
      <c r="I542" s="21"/>
      <c r="L542" s="21"/>
      <c r="M542" s="23"/>
    </row>
    <row r="543" spans="1:13">
      <c r="A543" s="22"/>
      <c r="E543" s="21"/>
      <c r="F543" s="21"/>
      <c r="G543" s="21"/>
      <c r="I543" s="21"/>
      <c r="L543" s="21"/>
      <c r="M543" s="23"/>
    </row>
    <row r="544" spans="1:13">
      <c r="A544" s="22"/>
      <c r="E544" s="21"/>
      <c r="F544" s="21"/>
      <c r="G544" s="21"/>
      <c r="I544" s="21"/>
      <c r="L544" s="21"/>
      <c r="M544" s="23"/>
    </row>
    <row r="545" spans="1:13">
      <c r="A545" s="22"/>
      <c r="E545" s="21"/>
      <c r="F545" s="21"/>
      <c r="G545" s="21"/>
      <c r="I545" s="21"/>
      <c r="L545" s="21"/>
      <c r="M545" s="23"/>
    </row>
    <row r="546" spans="1:13">
      <c r="A546" s="22"/>
      <c r="E546" s="21"/>
      <c r="F546" s="21"/>
      <c r="G546" s="21"/>
      <c r="I546" s="21"/>
      <c r="L546" s="21"/>
      <c r="M546" s="23"/>
    </row>
    <row r="547" spans="1:13">
      <c r="A547" s="22"/>
      <c r="E547" s="21"/>
      <c r="F547" s="21"/>
      <c r="G547" s="21"/>
      <c r="I547" s="21"/>
      <c r="L547" s="21"/>
      <c r="M547" s="23"/>
    </row>
    <row r="548" spans="1:13">
      <c r="A548" s="22"/>
      <c r="E548" s="21"/>
      <c r="F548" s="21"/>
      <c r="G548" s="21"/>
      <c r="I548" s="21"/>
      <c r="L548" s="21"/>
      <c r="M548" s="23"/>
    </row>
    <row r="549" spans="1:13">
      <c r="A549" s="22"/>
      <c r="E549" s="21"/>
      <c r="F549" s="21"/>
      <c r="G549" s="21"/>
      <c r="I549" s="21"/>
      <c r="L549" s="21"/>
      <c r="M549" s="23"/>
    </row>
    <row r="550" spans="1:13">
      <c r="A550" s="22"/>
      <c r="E550" s="21"/>
      <c r="F550" s="21"/>
      <c r="G550" s="21"/>
      <c r="I550" s="21"/>
      <c r="L550" s="21"/>
      <c r="M550" s="23"/>
    </row>
    <row r="551" spans="1:13">
      <c r="A551" s="22"/>
      <c r="E551" s="21"/>
      <c r="F551" s="21"/>
      <c r="G551" s="21"/>
      <c r="I551" s="21"/>
      <c r="L551" s="21"/>
      <c r="M551" s="23"/>
    </row>
    <row r="552" spans="1:13">
      <c r="A552" s="22"/>
      <c r="E552" s="21"/>
      <c r="F552" s="21"/>
      <c r="G552" s="21"/>
      <c r="I552" s="21"/>
      <c r="L552" s="21"/>
      <c r="M552" s="23"/>
    </row>
    <row r="553" spans="1:13">
      <c r="A553" s="22"/>
      <c r="E553" s="21"/>
      <c r="F553" s="21"/>
      <c r="G553" s="21"/>
      <c r="I553" s="21"/>
      <c r="L553" s="21"/>
      <c r="M553" s="23"/>
    </row>
    <row r="554" spans="1:13">
      <c r="A554" s="22"/>
      <c r="E554" s="21"/>
      <c r="F554" s="21"/>
      <c r="G554" s="21"/>
      <c r="I554" s="21"/>
      <c r="L554" s="21"/>
      <c r="M554" s="23"/>
    </row>
    <row r="555" spans="1:13">
      <c r="A555" s="22"/>
      <c r="E555" s="21"/>
      <c r="F555" s="21"/>
      <c r="G555" s="21"/>
      <c r="I555" s="21"/>
      <c r="L555" s="21"/>
      <c r="M555" s="23"/>
    </row>
    <row r="556" spans="1:13">
      <c r="A556" s="22"/>
      <c r="E556" s="21"/>
      <c r="F556" s="21"/>
      <c r="G556" s="21"/>
      <c r="I556" s="21"/>
      <c r="L556" s="21"/>
      <c r="M556" s="23"/>
    </row>
    <row r="557" spans="1:13">
      <c r="A557" s="22"/>
      <c r="E557" s="21"/>
      <c r="F557" s="21"/>
      <c r="G557" s="21"/>
      <c r="I557" s="21"/>
      <c r="L557" s="21"/>
      <c r="M557" s="23"/>
    </row>
    <row r="558" spans="1:13">
      <c r="A558" s="22"/>
      <c r="E558" s="21"/>
      <c r="F558" s="21"/>
      <c r="G558" s="21"/>
      <c r="I558" s="21"/>
      <c r="L558" s="21"/>
      <c r="M558" s="23"/>
    </row>
    <row r="559" spans="1:13">
      <c r="A559" s="22"/>
      <c r="E559" s="21"/>
      <c r="F559" s="21"/>
      <c r="G559" s="21"/>
      <c r="I559" s="21"/>
      <c r="L559" s="21"/>
      <c r="M559" s="23"/>
    </row>
    <row r="560" spans="1:13">
      <c r="A560" s="22"/>
      <c r="E560" s="21"/>
      <c r="F560" s="21"/>
      <c r="G560" s="21"/>
      <c r="I560" s="21"/>
      <c r="L560" s="21"/>
      <c r="M560" s="23"/>
    </row>
    <row r="561" spans="1:13">
      <c r="A561" s="22"/>
      <c r="E561" s="21"/>
      <c r="F561" s="21"/>
      <c r="G561" s="21"/>
      <c r="I561" s="21"/>
      <c r="L561" s="21"/>
      <c r="M561" s="23"/>
    </row>
    <row r="562" spans="1:13">
      <c r="A562" s="22"/>
      <c r="E562" s="21"/>
      <c r="F562" s="21"/>
      <c r="G562" s="21"/>
      <c r="I562" s="21"/>
      <c r="L562" s="21"/>
      <c r="M562" s="23"/>
    </row>
    <row r="563" spans="1:13">
      <c r="A563" s="22"/>
      <c r="E563" s="21"/>
      <c r="F563" s="21"/>
      <c r="G563" s="21"/>
      <c r="I563" s="21"/>
      <c r="L563" s="21"/>
      <c r="M563" s="23"/>
    </row>
    <row r="564" spans="1:13">
      <c r="A564" s="22"/>
      <c r="E564" s="21"/>
      <c r="F564" s="21"/>
      <c r="G564" s="21"/>
      <c r="I564" s="21"/>
      <c r="L564" s="21"/>
      <c r="M564" s="23"/>
    </row>
    <row r="565" spans="1:13">
      <c r="A565" s="22"/>
      <c r="E565" s="21"/>
      <c r="F565" s="21"/>
      <c r="G565" s="21"/>
      <c r="I565" s="21"/>
      <c r="L565" s="21"/>
      <c r="M565" s="23"/>
    </row>
    <row r="566" spans="1:13">
      <c r="A566" s="22"/>
      <c r="E566" s="21"/>
      <c r="F566" s="21"/>
      <c r="G566" s="21"/>
      <c r="I566" s="21"/>
      <c r="L566" s="21"/>
      <c r="M566" s="23"/>
    </row>
    <row r="567" spans="1:13">
      <c r="A567" s="22"/>
      <c r="E567" s="21"/>
      <c r="F567" s="21"/>
      <c r="G567" s="21"/>
      <c r="I567" s="21"/>
      <c r="L567" s="21"/>
      <c r="M567" s="23"/>
    </row>
    <row r="568" spans="1:13">
      <c r="A568" s="22"/>
      <c r="E568" s="21"/>
      <c r="F568" s="21"/>
      <c r="G568" s="21"/>
      <c r="I568" s="21"/>
      <c r="L568" s="21"/>
      <c r="M568" s="23"/>
    </row>
    <row r="569" spans="1:13">
      <c r="A569" s="22"/>
      <c r="E569" s="21"/>
      <c r="F569" s="21"/>
      <c r="G569" s="21"/>
      <c r="I569" s="21"/>
      <c r="L569" s="21"/>
      <c r="M569" s="23"/>
    </row>
    <row r="570" spans="1:13">
      <c r="A570" s="22"/>
      <c r="E570" s="21"/>
      <c r="F570" s="21"/>
      <c r="G570" s="21"/>
      <c r="I570" s="21"/>
      <c r="L570" s="21"/>
      <c r="M570" s="23"/>
    </row>
    <row r="571" spans="1:13">
      <c r="A571" s="22"/>
      <c r="E571" s="21"/>
      <c r="F571" s="21"/>
      <c r="G571" s="21"/>
      <c r="I571" s="21"/>
      <c r="L571" s="21"/>
      <c r="M571" s="23"/>
    </row>
    <row r="572" spans="1:13">
      <c r="A572" s="22"/>
      <c r="E572" s="21"/>
      <c r="F572" s="21"/>
      <c r="G572" s="21"/>
      <c r="I572" s="21"/>
      <c r="L572" s="21"/>
      <c r="M572" s="23"/>
    </row>
    <row r="573" spans="1:13">
      <c r="A573" s="22"/>
      <c r="E573" s="21"/>
      <c r="F573" s="21"/>
      <c r="G573" s="21"/>
      <c r="I573" s="21"/>
      <c r="L573" s="21"/>
      <c r="M573" s="23"/>
    </row>
    <row r="574" spans="1:13">
      <c r="A574" s="22"/>
      <c r="E574" s="21"/>
      <c r="F574" s="21"/>
      <c r="G574" s="21"/>
      <c r="I574" s="21"/>
      <c r="L574" s="21"/>
      <c r="M574" s="23"/>
    </row>
    <row r="575" spans="1:13">
      <c r="A575" s="22"/>
      <c r="E575" s="21"/>
      <c r="F575" s="21"/>
      <c r="G575" s="21"/>
      <c r="I575" s="21"/>
      <c r="L575" s="21"/>
      <c r="M575" s="23"/>
    </row>
    <row r="576" spans="1:13">
      <c r="A576" s="22"/>
      <c r="E576" s="21"/>
      <c r="F576" s="21"/>
      <c r="G576" s="21"/>
      <c r="I576" s="21"/>
      <c r="L576" s="21"/>
      <c r="M576" s="23"/>
    </row>
    <row r="577" spans="1:13">
      <c r="A577" s="22"/>
      <c r="E577" s="21"/>
      <c r="F577" s="21"/>
      <c r="G577" s="21"/>
      <c r="I577" s="21"/>
      <c r="L577" s="21"/>
      <c r="M577" s="23"/>
    </row>
    <row r="578" spans="1:13">
      <c r="A578" s="22"/>
      <c r="E578" s="21"/>
      <c r="F578" s="21"/>
      <c r="G578" s="21"/>
      <c r="I578" s="21"/>
      <c r="L578" s="21"/>
      <c r="M578" s="23"/>
    </row>
    <row r="579" spans="1:13">
      <c r="A579" s="22"/>
      <c r="E579" s="21"/>
      <c r="F579" s="21"/>
      <c r="G579" s="21"/>
      <c r="I579" s="21"/>
      <c r="L579" s="21"/>
      <c r="M579" s="23"/>
    </row>
    <row r="580" spans="1:13">
      <c r="A580" s="22"/>
      <c r="E580" s="21"/>
      <c r="F580" s="21"/>
      <c r="G580" s="21"/>
      <c r="I580" s="21"/>
      <c r="L580" s="21"/>
      <c r="M580" s="23"/>
    </row>
    <row r="581" spans="1:13">
      <c r="A581" s="22"/>
      <c r="E581" s="21"/>
      <c r="F581" s="21"/>
      <c r="G581" s="21"/>
      <c r="I581" s="21"/>
      <c r="L581" s="21"/>
      <c r="M581" s="23"/>
    </row>
    <row r="582" spans="1:13">
      <c r="A582" s="22"/>
      <c r="E582" s="21"/>
      <c r="F582" s="21"/>
      <c r="G582" s="21"/>
      <c r="I582" s="21"/>
      <c r="L582" s="21"/>
      <c r="M582" s="23"/>
    </row>
    <row r="583" spans="1:13">
      <c r="A583" s="22"/>
      <c r="E583" s="21"/>
      <c r="F583" s="21"/>
      <c r="G583" s="21"/>
      <c r="I583" s="21"/>
      <c r="L583" s="21"/>
      <c r="M583" s="23"/>
    </row>
    <row r="584" spans="1:13">
      <c r="A584" s="22"/>
      <c r="E584" s="21"/>
      <c r="F584" s="21"/>
      <c r="G584" s="21"/>
      <c r="I584" s="21"/>
      <c r="L584" s="21"/>
      <c r="M584" s="23"/>
    </row>
    <row r="585" spans="1:13">
      <c r="A585" s="22"/>
      <c r="E585" s="21"/>
      <c r="F585" s="21"/>
      <c r="G585" s="21"/>
      <c r="I585" s="21"/>
      <c r="L585" s="21"/>
      <c r="M585" s="23"/>
    </row>
    <row r="586" spans="1:13">
      <c r="A586" s="22"/>
      <c r="E586" s="21"/>
      <c r="F586" s="21"/>
      <c r="G586" s="21"/>
      <c r="I586" s="21"/>
      <c r="L586" s="21"/>
      <c r="M586" s="23"/>
    </row>
    <row r="587" spans="1:13">
      <c r="A587" s="22"/>
      <c r="E587" s="21"/>
      <c r="F587" s="21"/>
      <c r="G587" s="21"/>
      <c r="I587" s="21"/>
      <c r="L587" s="21"/>
      <c r="M587" s="23"/>
    </row>
    <row r="588" spans="1:13">
      <c r="A588" s="22"/>
      <c r="E588" s="21"/>
      <c r="F588" s="21"/>
      <c r="G588" s="21"/>
      <c r="I588" s="21"/>
      <c r="L588" s="21"/>
      <c r="M588" s="23"/>
    </row>
    <row r="589" spans="1:13">
      <c r="A589" s="22"/>
      <c r="E589" s="21"/>
      <c r="F589" s="21"/>
      <c r="G589" s="21"/>
      <c r="I589" s="21"/>
      <c r="L589" s="21"/>
      <c r="M589" s="23"/>
    </row>
    <row r="590" spans="1:13">
      <c r="A590" s="22"/>
      <c r="E590" s="21"/>
      <c r="F590" s="21"/>
      <c r="G590" s="21"/>
      <c r="I590" s="21"/>
      <c r="L590" s="21"/>
      <c r="M590" s="23"/>
    </row>
    <row r="591" spans="1:13">
      <c r="A591" s="22"/>
      <c r="E591" s="21"/>
      <c r="F591" s="21"/>
      <c r="G591" s="21"/>
      <c r="I591" s="21"/>
      <c r="L591" s="21"/>
      <c r="M591" s="23"/>
    </row>
    <row r="592" spans="1:13">
      <c r="A592" s="22"/>
      <c r="E592" s="21"/>
      <c r="F592" s="21"/>
      <c r="G592" s="21"/>
      <c r="I592" s="21"/>
      <c r="L592" s="21"/>
      <c r="M592" s="23"/>
    </row>
    <row r="593" spans="1:13">
      <c r="A593" s="22"/>
      <c r="E593" s="21"/>
      <c r="F593" s="21"/>
      <c r="G593" s="21"/>
      <c r="I593" s="21"/>
      <c r="L593" s="21"/>
      <c r="M593" s="23"/>
    </row>
    <row r="594" spans="1:13">
      <c r="A594" s="22"/>
      <c r="E594" s="21"/>
      <c r="F594" s="21"/>
      <c r="G594" s="21"/>
      <c r="I594" s="21"/>
      <c r="L594" s="21"/>
      <c r="M594" s="23"/>
    </row>
    <row r="595" spans="1:13">
      <c r="A595" s="22"/>
      <c r="E595" s="21"/>
      <c r="F595" s="21"/>
      <c r="G595" s="21"/>
      <c r="I595" s="21"/>
      <c r="L595" s="21"/>
      <c r="M595" s="23"/>
    </row>
    <row r="596" spans="1:13">
      <c r="A596" s="22"/>
      <c r="E596" s="21"/>
      <c r="F596" s="21"/>
      <c r="G596" s="21"/>
      <c r="I596" s="21"/>
      <c r="L596" s="21"/>
      <c r="M596" s="23"/>
    </row>
    <row r="597" spans="1:13">
      <c r="A597" s="22"/>
      <c r="E597" s="21"/>
      <c r="F597" s="21"/>
      <c r="G597" s="21"/>
      <c r="I597" s="21"/>
      <c r="L597" s="21"/>
      <c r="M597" s="23"/>
    </row>
    <row r="598" spans="1:13">
      <c r="A598" s="22"/>
      <c r="E598" s="21"/>
      <c r="F598" s="21"/>
      <c r="G598" s="21"/>
      <c r="I598" s="21"/>
      <c r="L598" s="21"/>
      <c r="M598" s="23"/>
    </row>
    <row r="599" spans="1:13">
      <c r="A599" s="22"/>
      <c r="E599" s="21"/>
      <c r="F599" s="21"/>
      <c r="G599" s="21"/>
      <c r="I599" s="21"/>
      <c r="L599" s="21"/>
      <c r="M599" s="23"/>
    </row>
    <row r="600" spans="1:13">
      <c r="A600" s="22"/>
      <c r="E600" s="21"/>
      <c r="F600" s="21"/>
      <c r="G600" s="21"/>
      <c r="I600" s="21"/>
      <c r="L600" s="21"/>
      <c r="M600" s="23"/>
    </row>
    <row r="601" spans="1:13">
      <c r="A601" s="22"/>
      <c r="E601" s="21"/>
      <c r="F601" s="21"/>
      <c r="G601" s="21"/>
      <c r="I601" s="21"/>
      <c r="L601" s="21"/>
      <c r="M601" s="23"/>
    </row>
    <row r="602" spans="1:13">
      <c r="A602" s="22"/>
      <c r="E602" s="21"/>
      <c r="F602" s="21"/>
      <c r="G602" s="21"/>
      <c r="I602" s="21"/>
      <c r="L602" s="21"/>
      <c r="M602" s="23"/>
    </row>
    <row r="603" spans="1:13">
      <c r="A603" s="22"/>
      <c r="E603" s="21"/>
      <c r="F603" s="21"/>
      <c r="G603" s="21"/>
      <c r="I603" s="21"/>
      <c r="L603" s="21"/>
      <c r="M603" s="23"/>
    </row>
    <row r="604" spans="1:13">
      <c r="A604" s="22"/>
      <c r="E604" s="21"/>
      <c r="F604" s="21"/>
      <c r="G604" s="21"/>
      <c r="I604" s="21"/>
      <c r="L604" s="21"/>
      <c r="M604" s="23"/>
    </row>
    <row r="605" spans="1:13">
      <c r="A605" s="22"/>
      <c r="E605" s="21"/>
      <c r="F605" s="21"/>
      <c r="G605" s="21"/>
      <c r="I605" s="21"/>
      <c r="L605" s="21"/>
      <c r="M605" s="23"/>
    </row>
    <row r="606" spans="1:13">
      <c r="A606" s="22"/>
      <c r="E606" s="21"/>
      <c r="F606" s="21"/>
      <c r="G606" s="21"/>
      <c r="I606" s="21"/>
      <c r="L606" s="21"/>
      <c r="M606" s="23"/>
    </row>
    <row r="607" spans="1:13">
      <c r="A607" s="22"/>
      <c r="E607" s="21"/>
      <c r="F607" s="21"/>
      <c r="G607" s="21"/>
      <c r="I607" s="21"/>
      <c r="L607" s="21"/>
      <c r="M607" s="23"/>
    </row>
    <row r="608" spans="1:13">
      <c r="A608" s="22"/>
      <c r="E608" s="21"/>
      <c r="F608" s="21"/>
      <c r="G608" s="21"/>
      <c r="I608" s="21"/>
      <c r="L608" s="21"/>
      <c r="M608" s="23"/>
    </row>
    <row r="609" spans="1:13">
      <c r="A609" s="22"/>
      <c r="E609" s="21"/>
      <c r="F609" s="21"/>
      <c r="G609" s="21"/>
      <c r="I609" s="21"/>
      <c r="L609" s="21"/>
      <c r="M609" s="23"/>
    </row>
    <row r="610" spans="1:13">
      <c r="A610" s="22"/>
      <c r="E610" s="21"/>
      <c r="F610" s="21"/>
      <c r="G610" s="21"/>
      <c r="I610" s="21"/>
      <c r="L610" s="21"/>
      <c r="M610" s="23"/>
    </row>
    <row r="611" spans="1:13">
      <c r="A611" s="22"/>
      <c r="E611" s="21"/>
      <c r="F611" s="21"/>
      <c r="G611" s="21"/>
      <c r="I611" s="21"/>
      <c r="L611" s="21"/>
      <c r="M611" s="23"/>
    </row>
    <row r="612" spans="1:13">
      <c r="A612" s="22"/>
      <c r="E612" s="21"/>
      <c r="F612" s="21"/>
      <c r="G612" s="21"/>
      <c r="I612" s="21"/>
      <c r="L612" s="21"/>
      <c r="M612" s="23"/>
    </row>
    <row r="613" spans="1:13">
      <c r="A613" s="22"/>
      <c r="E613" s="21"/>
      <c r="F613" s="21"/>
      <c r="G613" s="21"/>
      <c r="I613" s="21"/>
      <c r="L613" s="21"/>
      <c r="M613" s="23"/>
    </row>
    <row r="614" spans="1:13">
      <c r="A614" s="22"/>
      <c r="E614" s="21"/>
      <c r="F614" s="21"/>
      <c r="G614" s="21"/>
      <c r="I614" s="21"/>
      <c r="L614" s="21"/>
      <c r="M614" s="23"/>
    </row>
    <row r="615" spans="1:13">
      <c r="A615" s="22"/>
      <c r="E615" s="21"/>
      <c r="F615" s="21"/>
      <c r="G615" s="21"/>
      <c r="I615" s="21"/>
      <c r="L615" s="21"/>
      <c r="M615" s="23"/>
    </row>
    <row r="616" spans="1:13">
      <c r="A616" s="22"/>
      <c r="E616" s="21"/>
      <c r="F616" s="21"/>
      <c r="G616" s="21"/>
      <c r="I616" s="21"/>
      <c r="L616" s="21"/>
      <c r="M616" s="23"/>
    </row>
    <row r="617" spans="1:13">
      <c r="A617" s="22"/>
      <c r="E617" s="21"/>
      <c r="F617" s="21"/>
      <c r="G617" s="21"/>
      <c r="I617" s="21"/>
      <c r="L617" s="21"/>
      <c r="M617" s="23"/>
    </row>
    <row r="618" spans="1:13">
      <c r="A618" s="22"/>
      <c r="E618" s="21"/>
      <c r="F618" s="21"/>
      <c r="G618" s="21"/>
      <c r="I618" s="21"/>
      <c r="L618" s="21"/>
      <c r="M618" s="23"/>
    </row>
    <row r="619" spans="1:13">
      <c r="A619" s="22"/>
      <c r="E619" s="21"/>
      <c r="F619" s="21"/>
      <c r="G619" s="21"/>
      <c r="I619" s="21"/>
      <c r="L619" s="21"/>
      <c r="M619" s="23"/>
    </row>
    <row r="620" spans="1:13">
      <c r="A620" s="22"/>
      <c r="E620" s="21"/>
      <c r="F620" s="21"/>
      <c r="G620" s="21"/>
      <c r="I620" s="21"/>
      <c r="L620" s="21"/>
      <c r="M620" s="23"/>
    </row>
    <row r="621" spans="1:13">
      <c r="A621" s="22"/>
      <c r="E621" s="21"/>
      <c r="F621" s="21"/>
      <c r="G621" s="21"/>
      <c r="I621" s="21"/>
      <c r="L621" s="21"/>
      <c r="M621" s="23"/>
    </row>
    <row r="622" spans="1:13">
      <c r="A622" s="22"/>
      <c r="E622" s="21"/>
      <c r="F622" s="21"/>
      <c r="G622" s="21"/>
      <c r="I622" s="21"/>
      <c r="L622" s="21"/>
      <c r="M622" s="23"/>
    </row>
    <row r="623" spans="1:13">
      <c r="A623" s="22"/>
      <c r="E623" s="21"/>
      <c r="F623" s="21"/>
      <c r="G623" s="21"/>
      <c r="I623" s="21"/>
      <c r="L623" s="21"/>
      <c r="M623" s="23"/>
    </row>
    <row r="624" spans="1:13">
      <c r="A624" s="22"/>
      <c r="E624" s="21"/>
      <c r="F624" s="21"/>
      <c r="G624" s="21"/>
      <c r="I624" s="21"/>
      <c r="L624" s="21"/>
      <c r="M624" s="23"/>
    </row>
    <row r="625" spans="1:13">
      <c r="A625" s="22"/>
      <c r="E625" s="21"/>
      <c r="F625" s="21"/>
      <c r="G625" s="21"/>
      <c r="I625" s="21"/>
      <c r="L625" s="21"/>
      <c r="M625" s="23"/>
    </row>
    <row r="626" spans="1:13">
      <c r="A626" s="22"/>
      <c r="E626" s="21"/>
      <c r="F626" s="21"/>
      <c r="G626" s="21"/>
      <c r="I626" s="21"/>
      <c r="L626" s="21"/>
      <c r="M626" s="23"/>
    </row>
    <row r="627" spans="1:13">
      <c r="A627" s="22"/>
      <c r="E627" s="21"/>
      <c r="F627" s="21"/>
      <c r="G627" s="21"/>
      <c r="I627" s="21"/>
      <c r="L627" s="21"/>
      <c r="M627" s="23"/>
    </row>
    <row r="628" spans="1:13">
      <c r="A628" s="22"/>
      <c r="E628" s="21"/>
      <c r="F628" s="21"/>
      <c r="G628" s="21"/>
      <c r="I628" s="21"/>
      <c r="L628" s="21"/>
      <c r="M628" s="23"/>
    </row>
    <row r="629" spans="1:13">
      <c r="A629" s="22"/>
      <c r="E629" s="21"/>
      <c r="F629" s="21"/>
      <c r="G629" s="21"/>
      <c r="I629" s="21"/>
      <c r="L629" s="21"/>
      <c r="M629" s="23"/>
    </row>
    <row r="630" spans="1:13">
      <c r="A630" s="22"/>
      <c r="E630" s="21"/>
      <c r="F630" s="21"/>
      <c r="G630" s="21"/>
      <c r="I630" s="21"/>
      <c r="L630" s="21"/>
      <c r="M630" s="23"/>
    </row>
    <row r="631" spans="1:13">
      <c r="A631" s="22"/>
      <c r="E631" s="21"/>
      <c r="F631" s="21"/>
      <c r="G631" s="21"/>
      <c r="I631" s="21"/>
      <c r="L631" s="21"/>
      <c r="M631" s="23"/>
    </row>
    <row r="632" spans="1:13">
      <c r="A632" s="22"/>
      <c r="E632" s="21"/>
      <c r="F632" s="21"/>
      <c r="G632" s="21"/>
      <c r="I632" s="21"/>
      <c r="L632" s="21"/>
      <c r="M632" s="23"/>
    </row>
    <row r="633" spans="1:13">
      <c r="A633" s="22"/>
      <c r="E633" s="21"/>
      <c r="F633" s="21"/>
      <c r="G633" s="21"/>
      <c r="I633" s="21"/>
      <c r="L633" s="21"/>
      <c r="M633" s="23"/>
    </row>
    <row r="634" spans="1:13">
      <c r="A634" s="22"/>
      <c r="E634" s="21"/>
      <c r="F634" s="21"/>
      <c r="G634" s="21"/>
      <c r="I634" s="21"/>
      <c r="L634" s="21"/>
      <c r="M634" s="23"/>
    </row>
    <row r="635" spans="1:13">
      <c r="A635" s="22"/>
      <c r="E635" s="21"/>
      <c r="F635" s="21"/>
      <c r="G635" s="21"/>
      <c r="I635" s="21"/>
      <c r="L635" s="21"/>
      <c r="M635" s="23"/>
    </row>
    <row r="636" spans="1:13">
      <c r="A636" s="22"/>
      <c r="E636" s="21"/>
      <c r="F636" s="21"/>
      <c r="G636" s="21"/>
      <c r="I636" s="21"/>
      <c r="L636" s="21"/>
      <c r="M636" s="23"/>
    </row>
    <row r="637" spans="1:13">
      <c r="A637" s="22"/>
      <c r="E637" s="21"/>
      <c r="F637" s="21"/>
      <c r="G637" s="21"/>
      <c r="I637" s="21"/>
      <c r="L637" s="21"/>
      <c r="M637" s="23"/>
    </row>
    <row r="638" spans="1:13">
      <c r="A638" s="22"/>
      <c r="E638" s="21"/>
      <c r="F638" s="21"/>
      <c r="G638" s="21"/>
      <c r="I638" s="21"/>
      <c r="L638" s="21"/>
      <c r="M638" s="23"/>
    </row>
    <row r="639" spans="1:13">
      <c r="A639" s="22"/>
      <c r="E639" s="21"/>
      <c r="F639" s="21"/>
      <c r="G639" s="21"/>
      <c r="I639" s="21"/>
      <c r="L639" s="21"/>
      <c r="M639" s="23"/>
    </row>
    <row r="640" spans="1:13">
      <c r="A640" s="22"/>
      <c r="E640" s="21"/>
      <c r="F640" s="21"/>
      <c r="G640" s="21"/>
      <c r="I640" s="21"/>
      <c r="L640" s="21"/>
      <c r="M640" s="23"/>
    </row>
    <row r="641" spans="1:13">
      <c r="A641" s="22"/>
      <c r="E641" s="21"/>
      <c r="F641" s="21"/>
      <c r="G641" s="21"/>
      <c r="I641" s="21"/>
      <c r="L641" s="21"/>
      <c r="M641" s="23"/>
    </row>
    <row r="642" spans="1:13">
      <c r="A642" s="22"/>
      <c r="E642" s="21"/>
      <c r="F642" s="21"/>
      <c r="G642" s="21"/>
      <c r="I642" s="21"/>
      <c r="L642" s="21"/>
      <c r="M642" s="23"/>
    </row>
    <row r="643" spans="1:13">
      <c r="A643" s="22"/>
      <c r="E643" s="21"/>
      <c r="F643" s="21"/>
      <c r="G643" s="21"/>
      <c r="I643" s="21"/>
      <c r="L643" s="21"/>
      <c r="M643" s="23"/>
    </row>
    <row r="644" spans="1:13">
      <c r="A644" s="22"/>
      <c r="E644" s="21"/>
      <c r="F644" s="21"/>
      <c r="G644" s="21"/>
      <c r="I644" s="21"/>
      <c r="L644" s="21"/>
      <c r="M644" s="23"/>
    </row>
    <row r="645" spans="1:13">
      <c r="A645" s="22"/>
      <c r="E645" s="21"/>
      <c r="F645" s="21"/>
      <c r="G645" s="21"/>
      <c r="I645" s="21"/>
      <c r="L645" s="21"/>
      <c r="M645" s="23"/>
    </row>
    <row r="646" spans="1:13">
      <c r="A646" s="22"/>
      <c r="E646" s="21"/>
      <c r="F646" s="21"/>
      <c r="G646" s="21"/>
      <c r="I646" s="21"/>
      <c r="L646" s="21"/>
      <c r="M646" s="23"/>
    </row>
    <row r="647" spans="1:13">
      <c r="A647" s="22"/>
      <c r="E647" s="21"/>
      <c r="F647" s="21"/>
      <c r="G647" s="21"/>
      <c r="I647" s="21"/>
      <c r="L647" s="21"/>
      <c r="M647" s="23"/>
    </row>
    <row r="648" spans="1:13">
      <c r="A648" s="22"/>
      <c r="E648" s="21"/>
      <c r="F648" s="21"/>
      <c r="G648" s="21"/>
      <c r="I648" s="21"/>
      <c r="L648" s="21"/>
      <c r="M648" s="23"/>
    </row>
    <row r="649" spans="1:13">
      <c r="A649" s="22"/>
      <c r="E649" s="21"/>
      <c r="F649" s="21"/>
      <c r="G649" s="21"/>
      <c r="I649" s="21"/>
      <c r="L649" s="21"/>
      <c r="M649" s="23"/>
    </row>
    <row r="650" spans="1:13">
      <c r="A650" s="22"/>
      <c r="E650" s="21"/>
      <c r="F650" s="21"/>
      <c r="G650" s="21"/>
      <c r="I650" s="21"/>
      <c r="L650" s="21"/>
      <c r="M650" s="23"/>
    </row>
    <row r="651" spans="1:13">
      <c r="A651" s="22"/>
      <c r="E651" s="21"/>
      <c r="F651" s="21"/>
      <c r="G651" s="21"/>
      <c r="I651" s="21"/>
      <c r="L651" s="21"/>
      <c r="M651" s="23"/>
    </row>
    <row r="652" spans="1:13">
      <c r="A652" s="22"/>
      <c r="E652" s="21"/>
      <c r="F652" s="21"/>
      <c r="G652" s="21"/>
      <c r="I652" s="21"/>
      <c r="L652" s="21"/>
      <c r="M652" s="23"/>
    </row>
    <row r="653" spans="1:13">
      <c r="A653" s="22"/>
      <c r="E653" s="21"/>
      <c r="F653" s="21"/>
      <c r="G653" s="21"/>
      <c r="I653" s="21"/>
      <c r="L653" s="21"/>
      <c r="M653" s="23"/>
    </row>
    <row r="654" spans="1:13">
      <c r="A654" s="22"/>
      <c r="E654" s="21"/>
      <c r="F654" s="21"/>
      <c r="G654" s="21"/>
      <c r="I654" s="21"/>
      <c r="L654" s="21"/>
      <c r="M654" s="23"/>
    </row>
    <row r="655" spans="1:13">
      <c r="A655" s="22"/>
      <c r="E655" s="21"/>
      <c r="F655" s="21"/>
      <c r="G655" s="21"/>
      <c r="I655" s="21"/>
      <c r="L655" s="21"/>
      <c r="M655" s="23"/>
    </row>
    <row r="656" spans="1:13">
      <c r="A656" s="22"/>
      <c r="E656" s="21"/>
      <c r="F656" s="21"/>
      <c r="G656" s="21"/>
      <c r="I656" s="21"/>
      <c r="L656" s="21"/>
      <c r="M656" s="23"/>
    </row>
    <row r="657" spans="1:13">
      <c r="A657" s="22"/>
      <c r="E657" s="21"/>
      <c r="F657" s="21"/>
      <c r="G657" s="21"/>
      <c r="I657" s="21"/>
      <c r="L657" s="21"/>
      <c r="M657" s="23"/>
    </row>
    <row r="658" spans="1:13">
      <c r="A658" s="22"/>
      <c r="E658" s="21"/>
      <c r="F658" s="21"/>
      <c r="G658" s="21"/>
      <c r="I658" s="21"/>
      <c r="L658" s="21"/>
      <c r="M658" s="23"/>
    </row>
    <row r="659" spans="1:13">
      <c r="A659" s="22"/>
      <c r="E659" s="21"/>
      <c r="F659" s="21"/>
      <c r="G659" s="21"/>
      <c r="I659" s="21"/>
      <c r="L659" s="21"/>
      <c r="M659" s="23"/>
    </row>
    <row r="660" spans="1:13">
      <c r="A660" s="22"/>
      <c r="E660" s="21"/>
      <c r="F660" s="21"/>
      <c r="G660" s="21"/>
      <c r="I660" s="21"/>
      <c r="L660" s="21"/>
      <c r="M660" s="23"/>
    </row>
    <row r="661" spans="1:13">
      <c r="A661" s="22"/>
      <c r="E661" s="21"/>
      <c r="F661" s="21"/>
      <c r="G661" s="21"/>
      <c r="I661" s="21"/>
      <c r="L661" s="21"/>
      <c r="M661" s="23"/>
    </row>
    <row r="662" spans="1:13">
      <c r="A662" s="22"/>
      <c r="E662" s="21"/>
      <c r="F662" s="21"/>
      <c r="G662" s="21"/>
      <c r="I662" s="21"/>
      <c r="L662" s="21"/>
      <c r="M662" s="23"/>
    </row>
    <row r="663" spans="1:13">
      <c r="A663" s="22"/>
      <c r="E663" s="21"/>
      <c r="F663" s="21"/>
      <c r="G663" s="21"/>
      <c r="I663" s="21"/>
      <c r="L663" s="21"/>
      <c r="M663" s="23"/>
    </row>
    <row r="664" spans="1:13">
      <c r="A664" s="22"/>
      <c r="E664" s="21"/>
      <c r="F664" s="21"/>
      <c r="G664" s="21"/>
      <c r="I664" s="21"/>
      <c r="L664" s="21"/>
      <c r="M664" s="23"/>
    </row>
    <row r="665" spans="1:13">
      <c r="A665" s="22"/>
      <c r="E665" s="21"/>
      <c r="F665" s="21"/>
      <c r="G665" s="21"/>
      <c r="I665" s="21"/>
      <c r="L665" s="21"/>
      <c r="M665" s="23"/>
    </row>
    <row r="666" spans="1:13">
      <c r="A666" s="22"/>
      <c r="E666" s="21"/>
      <c r="F666" s="21"/>
      <c r="G666" s="21"/>
      <c r="I666" s="21"/>
      <c r="L666" s="21"/>
      <c r="M666" s="23"/>
    </row>
    <row r="667" spans="1:13">
      <c r="A667" s="22"/>
      <c r="E667" s="21"/>
      <c r="F667" s="21"/>
      <c r="G667" s="21"/>
      <c r="I667" s="21"/>
      <c r="L667" s="21"/>
      <c r="M667" s="23"/>
    </row>
    <row r="668" spans="1:13">
      <c r="A668" s="22"/>
      <c r="E668" s="21"/>
      <c r="F668" s="21"/>
      <c r="G668" s="21"/>
      <c r="I668" s="21"/>
      <c r="L668" s="21"/>
      <c r="M668" s="23"/>
    </row>
    <row r="669" spans="1:13">
      <c r="A669" s="22"/>
      <c r="E669" s="21"/>
      <c r="F669" s="21"/>
      <c r="G669" s="21"/>
      <c r="I669" s="21"/>
      <c r="L669" s="21"/>
      <c r="M669" s="23"/>
    </row>
    <row r="670" spans="1:13">
      <c r="A670" s="22"/>
      <c r="E670" s="21"/>
      <c r="F670" s="21"/>
      <c r="G670" s="21"/>
      <c r="I670" s="21"/>
      <c r="L670" s="21"/>
      <c r="M670" s="23"/>
    </row>
    <row r="671" spans="1:13">
      <c r="A671" s="22"/>
      <c r="E671" s="21"/>
      <c r="F671" s="21"/>
      <c r="G671" s="21"/>
      <c r="I671" s="21"/>
      <c r="L671" s="21"/>
      <c r="M671" s="23"/>
    </row>
    <row r="672" spans="1:13">
      <c r="A672" s="22"/>
      <c r="E672" s="21"/>
      <c r="F672" s="21"/>
      <c r="G672" s="21"/>
      <c r="I672" s="21"/>
      <c r="L672" s="21"/>
      <c r="M672" s="23"/>
    </row>
    <row r="673" spans="1:13">
      <c r="A673" s="22"/>
      <c r="E673" s="21"/>
      <c r="F673" s="21"/>
      <c r="G673" s="21"/>
      <c r="I673" s="21"/>
      <c r="L673" s="21"/>
      <c r="M673" s="23"/>
    </row>
    <row r="674" spans="1:13">
      <c r="A674" s="22"/>
      <c r="E674" s="21"/>
      <c r="F674" s="21"/>
      <c r="G674" s="21"/>
      <c r="I674" s="21"/>
      <c r="L674" s="21"/>
      <c r="M674" s="23"/>
    </row>
    <row r="675" spans="1:13">
      <c r="A675" s="22"/>
      <c r="E675" s="21"/>
      <c r="F675" s="21"/>
      <c r="G675" s="21"/>
      <c r="I675" s="21"/>
      <c r="L675" s="21"/>
      <c r="M675" s="23"/>
    </row>
    <row r="676" spans="1:13">
      <c r="A676" s="22"/>
      <c r="E676" s="21"/>
      <c r="F676" s="21"/>
      <c r="G676" s="21"/>
      <c r="I676" s="21"/>
      <c r="L676" s="21"/>
      <c r="M676" s="23"/>
    </row>
    <row r="677" spans="1:13">
      <c r="A677" s="22"/>
      <c r="E677" s="21"/>
      <c r="F677" s="21"/>
      <c r="G677" s="21"/>
      <c r="I677" s="21"/>
      <c r="L677" s="21"/>
      <c r="M677" s="23"/>
    </row>
    <row r="678" spans="1:13">
      <c r="A678" s="22"/>
      <c r="E678" s="21"/>
      <c r="F678" s="21"/>
      <c r="G678" s="21"/>
      <c r="I678" s="21"/>
      <c r="L678" s="21"/>
      <c r="M678" s="23"/>
    </row>
    <row r="679" spans="1:13">
      <c r="A679" s="22"/>
      <c r="E679" s="21"/>
      <c r="F679" s="21"/>
      <c r="G679" s="21"/>
      <c r="I679" s="21"/>
      <c r="L679" s="21"/>
      <c r="M679" s="23"/>
    </row>
    <row r="680" spans="1:13">
      <c r="A680" s="22"/>
      <c r="E680" s="21"/>
      <c r="F680" s="21"/>
      <c r="G680" s="21"/>
      <c r="I680" s="21"/>
      <c r="L680" s="21"/>
      <c r="M680" s="23"/>
    </row>
    <row r="681" spans="1:13">
      <c r="A681" s="22"/>
      <c r="E681" s="21"/>
      <c r="F681" s="21"/>
      <c r="G681" s="21"/>
      <c r="I681" s="21"/>
      <c r="L681" s="21"/>
      <c r="M681" s="23"/>
    </row>
    <row r="682" spans="1:13">
      <c r="A682" s="22"/>
      <c r="E682" s="21"/>
      <c r="F682" s="21"/>
      <c r="G682" s="21"/>
      <c r="I682" s="21"/>
      <c r="L682" s="21"/>
      <c r="M682" s="23"/>
    </row>
    <row r="683" spans="1:13">
      <c r="A683" s="22"/>
      <c r="E683" s="21"/>
      <c r="F683" s="21"/>
      <c r="G683" s="21"/>
      <c r="I683" s="21"/>
      <c r="L683" s="21"/>
      <c r="M683" s="23"/>
    </row>
    <row r="684" spans="1:13">
      <c r="A684" s="22"/>
      <c r="E684" s="21"/>
      <c r="F684" s="21"/>
      <c r="G684" s="21"/>
      <c r="I684" s="21"/>
      <c r="L684" s="21"/>
      <c r="M684" s="23"/>
    </row>
    <row r="685" spans="1:13">
      <c r="A685" s="22"/>
      <c r="E685" s="21"/>
      <c r="F685" s="21"/>
      <c r="G685" s="21"/>
      <c r="I685" s="21"/>
      <c r="L685" s="21"/>
      <c r="M685" s="23"/>
    </row>
    <row r="686" spans="1:13">
      <c r="A686" s="22"/>
      <c r="E686" s="21"/>
      <c r="F686" s="21"/>
      <c r="G686" s="21"/>
      <c r="I686" s="21"/>
      <c r="L686" s="21"/>
      <c r="M686" s="23"/>
    </row>
    <row r="687" spans="1:13">
      <c r="A687" s="22"/>
      <c r="E687" s="21"/>
      <c r="F687" s="21"/>
      <c r="G687" s="21"/>
      <c r="I687" s="21"/>
      <c r="L687" s="21"/>
      <c r="M687" s="23"/>
    </row>
    <row r="688" spans="1:13">
      <c r="A688" s="22"/>
      <c r="E688" s="21"/>
      <c r="F688" s="21"/>
      <c r="G688" s="21"/>
      <c r="I688" s="21"/>
      <c r="L688" s="21"/>
      <c r="M688" s="23"/>
    </row>
    <row r="689" spans="1:13">
      <c r="A689" s="22"/>
      <c r="E689" s="21"/>
      <c r="F689" s="21"/>
      <c r="G689" s="21"/>
      <c r="I689" s="21"/>
      <c r="L689" s="21"/>
      <c r="M689" s="23"/>
    </row>
    <row r="690" spans="1:13">
      <c r="A690" s="22"/>
      <c r="E690" s="21"/>
      <c r="F690" s="21"/>
      <c r="G690" s="21"/>
      <c r="I690" s="21"/>
      <c r="L690" s="21"/>
      <c r="M690" s="23"/>
    </row>
    <row r="691" spans="1:13">
      <c r="A691" s="22"/>
      <c r="E691" s="21"/>
      <c r="F691" s="21"/>
      <c r="G691" s="21"/>
      <c r="I691" s="21"/>
      <c r="L691" s="21"/>
      <c r="M691" s="23"/>
    </row>
    <row r="692" spans="1:13">
      <c r="A692" s="22"/>
      <c r="E692" s="21"/>
      <c r="F692" s="21"/>
      <c r="G692" s="21"/>
      <c r="I692" s="21"/>
      <c r="L692" s="21"/>
      <c r="M692" s="23"/>
    </row>
    <row r="693" spans="1:13">
      <c r="A693" s="22"/>
      <c r="E693" s="21"/>
      <c r="F693" s="21"/>
      <c r="G693" s="21"/>
      <c r="I693" s="21"/>
      <c r="L693" s="21"/>
      <c r="M693" s="23"/>
    </row>
    <row r="694" spans="1:13">
      <c r="A694" s="22"/>
      <c r="E694" s="21"/>
      <c r="F694" s="21"/>
      <c r="G694" s="21"/>
      <c r="I694" s="21"/>
      <c r="L694" s="21"/>
      <c r="M694" s="23"/>
    </row>
    <row r="695" spans="1:13">
      <c r="A695" s="22"/>
      <c r="E695" s="21"/>
      <c r="F695" s="21"/>
      <c r="G695" s="21"/>
      <c r="I695" s="21"/>
      <c r="L695" s="21"/>
      <c r="M695" s="23"/>
    </row>
    <row r="696" spans="1:13">
      <c r="A696" s="22"/>
      <c r="E696" s="21"/>
      <c r="F696" s="21"/>
      <c r="G696" s="21"/>
      <c r="I696" s="21"/>
      <c r="L696" s="21"/>
      <c r="M696" s="23"/>
    </row>
    <row r="697" spans="1:13">
      <c r="A697" s="22"/>
      <c r="E697" s="21"/>
      <c r="F697" s="21"/>
      <c r="G697" s="21"/>
      <c r="I697" s="21"/>
      <c r="L697" s="21"/>
      <c r="M697" s="23"/>
    </row>
    <row r="698" spans="1:13">
      <c r="A698" s="22"/>
      <c r="E698" s="21"/>
      <c r="F698" s="21"/>
      <c r="G698" s="21"/>
      <c r="I698" s="21"/>
      <c r="L698" s="21"/>
      <c r="M698" s="23"/>
    </row>
    <row r="699" spans="1:13">
      <c r="A699" s="22"/>
      <c r="E699" s="21"/>
      <c r="F699" s="21"/>
      <c r="G699" s="21"/>
      <c r="I699" s="21"/>
      <c r="L699" s="21"/>
      <c r="M699" s="23"/>
    </row>
    <row r="700" spans="1:13">
      <c r="A700" s="22"/>
      <c r="E700" s="21"/>
      <c r="F700" s="21"/>
      <c r="G700" s="21"/>
      <c r="I700" s="21"/>
      <c r="L700" s="21"/>
      <c r="M700" s="23"/>
    </row>
    <row r="701" spans="1:13">
      <c r="A701" s="22"/>
      <c r="E701" s="21"/>
      <c r="F701" s="21"/>
      <c r="G701" s="21"/>
      <c r="I701" s="21"/>
      <c r="L701" s="21"/>
      <c r="M701" s="23"/>
    </row>
    <row r="702" spans="1:13">
      <c r="A702" s="22"/>
      <c r="E702" s="21"/>
      <c r="F702" s="21"/>
      <c r="G702" s="21"/>
      <c r="I702" s="21"/>
      <c r="L702" s="21"/>
      <c r="M702" s="23"/>
    </row>
    <row r="703" spans="1:13">
      <c r="A703" s="22"/>
      <c r="E703" s="21"/>
      <c r="F703" s="21"/>
      <c r="G703" s="21"/>
      <c r="I703" s="21"/>
      <c r="L703" s="21"/>
      <c r="M703" s="23"/>
    </row>
    <row r="704" spans="1:13">
      <c r="A704" s="22"/>
      <c r="E704" s="21"/>
      <c r="F704" s="21"/>
      <c r="G704" s="21"/>
      <c r="I704" s="21"/>
      <c r="L704" s="21"/>
      <c r="M704" s="23"/>
    </row>
    <row r="705" spans="1:13">
      <c r="A705" s="22"/>
      <c r="E705" s="21"/>
      <c r="F705" s="21"/>
      <c r="G705" s="21"/>
      <c r="I705" s="21"/>
      <c r="L705" s="21"/>
      <c r="M705" s="23"/>
    </row>
    <row r="706" spans="1:13">
      <c r="A706" s="22"/>
      <c r="E706" s="21"/>
      <c r="F706" s="21"/>
      <c r="G706" s="21"/>
      <c r="I706" s="21"/>
      <c r="L706" s="21"/>
      <c r="M706" s="23"/>
    </row>
    <row r="707" spans="1:13">
      <c r="A707" s="22"/>
      <c r="E707" s="21"/>
      <c r="F707" s="21"/>
      <c r="G707" s="21"/>
      <c r="I707" s="21"/>
      <c r="L707" s="21"/>
      <c r="M707" s="23"/>
    </row>
    <row r="708" spans="1:13">
      <c r="A708" s="22"/>
      <c r="E708" s="21"/>
      <c r="F708" s="21"/>
      <c r="G708" s="21"/>
      <c r="I708" s="21"/>
      <c r="L708" s="21"/>
      <c r="M708" s="23"/>
    </row>
    <row r="709" spans="1:13">
      <c r="A709" s="22"/>
      <c r="E709" s="21"/>
      <c r="F709" s="21"/>
      <c r="G709" s="21"/>
      <c r="I709" s="21"/>
      <c r="L709" s="21"/>
      <c r="M709" s="23"/>
    </row>
    <row r="710" spans="1:13">
      <c r="A710" s="22"/>
      <c r="E710" s="21"/>
      <c r="F710" s="21"/>
      <c r="G710" s="21"/>
      <c r="I710" s="21"/>
      <c r="L710" s="21"/>
      <c r="M710" s="23"/>
    </row>
    <row r="711" spans="1:13">
      <c r="A711" s="22"/>
      <c r="E711" s="21"/>
      <c r="F711" s="21"/>
      <c r="G711" s="21"/>
      <c r="I711" s="21"/>
      <c r="L711" s="21"/>
      <c r="M711" s="23"/>
    </row>
    <row r="712" spans="1:13">
      <c r="A712" s="22"/>
      <c r="E712" s="21"/>
      <c r="F712" s="21"/>
      <c r="G712" s="21"/>
      <c r="I712" s="21"/>
      <c r="L712" s="21"/>
      <c r="M712" s="23"/>
    </row>
    <row r="713" spans="1:13">
      <c r="A713" s="22"/>
      <c r="E713" s="21"/>
      <c r="F713" s="21"/>
      <c r="G713" s="21"/>
      <c r="I713" s="21"/>
      <c r="L713" s="21"/>
      <c r="M713" s="23"/>
    </row>
    <row r="714" spans="1:13">
      <c r="A714" s="22"/>
      <c r="E714" s="21"/>
      <c r="F714" s="21"/>
      <c r="G714" s="21"/>
      <c r="I714" s="21"/>
      <c r="L714" s="21"/>
      <c r="M714" s="23"/>
    </row>
    <row r="715" spans="1:13">
      <c r="A715" s="22"/>
      <c r="E715" s="21"/>
      <c r="F715" s="21"/>
      <c r="G715" s="21"/>
      <c r="I715" s="21"/>
      <c r="L715" s="21"/>
      <c r="M715" s="23"/>
    </row>
    <row r="716" spans="1:13">
      <c r="A716" s="22"/>
      <c r="E716" s="21"/>
      <c r="F716" s="21"/>
      <c r="G716" s="21"/>
      <c r="I716" s="21"/>
      <c r="L716" s="21"/>
      <c r="M716" s="23"/>
    </row>
    <row r="717" spans="1:13">
      <c r="A717" s="22"/>
      <c r="E717" s="21"/>
      <c r="F717" s="21"/>
      <c r="G717" s="21"/>
      <c r="I717" s="21"/>
      <c r="L717" s="21"/>
      <c r="M717" s="23"/>
    </row>
    <row r="718" spans="1:13">
      <c r="A718" s="22"/>
      <c r="E718" s="21"/>
      <c r="F718" s="21"/>
      <c r="G718" s="21"/>
      <c r="I718" s="21"/>
      <c r="L718" s="21"/>
      <c r="M718" s="23"/>
    </row>
    <row r="719" spans="1:13">
      <c r="A719" s="22"/>
      <c r="E719" s="21"/>
      <c r="F719" s="21"/>
      <c r="G719" s="21"/>
      <c r="I719" s="21"/>
      <c r="L719" s="21"/>
      <c r="M719" s="23"/>
    </row>
    <row r="720" spans="1:13">
      <c r="A720" s="22"/>
      <c r="E720" s="21"/>
      <c r="F720" s="21"/>
      <c r="G720" s="21"/>
      <c r="I720" s="21"/>
      <c r="L720" s="21"/>
      <c r="M720" s="23"/>
    </row>
    <row r="721" spans="1:13">
      <c r="A721" s="22"/>
      <c r="E721" s="21"/>
      <c r="F721" s="21"/>
      <c r="G721" s="21"/>
      <c r="I721" s="21"/>
      <c r="L721" s="21"/>
      <c r="M721" s="23"/>
    </row>
    <row r="722" spans="1:13">
      <c r="A722" s="22"/>
      <c r="E722" s="21"/>
      <c r="F722" s="21"/>
      <c r="G722" s="21"/>
      <c r="I722" s="21"/>
      <c r="L722" s="21"/>
      <c r="M722" s="23"/>
    </row>
    <row r="723" spans="1:13">
      <c r="A723" s="22"/>
      <c r="E723" s="21"/>
      <c r="F723" s="21"/>
      <c r="G723" s="21"/>
      <c r="I723" s="21"/>
      <c r="L723" s="21"/>
      <c r="M723" s="23"/>
    </row>
    <row r="724" spans="1:13">
      <c r="A724" s="22"/>
      <c r="E724" s="21"/>
      <c r="F724" s="21"/>
      <c r="G724" s="21"/>
      <c r="I724" s="21"/>
      <c r="L724" s="21"/>
      <c r="M724" s="23"/>
    </row>
    <row r="725" spans="1:13">
      <c r="A725" s="22"/>
      <c r="E725" s="21"/>
      <c r="F725" s="21"/>
      <c r="G725" s="21"/>
      <c r="I725" s="21"/>
      <c r="L725" s="21"/>
      <c r="M725" s="23"/>
    </row>
    <row r="726" spans="1:13">
      <c r="A726" s="22"/>
      <c r="E726" s="21"/>
      <c r="F726" s="21"/>
      <c r="G726" s="21"/>
      <c r="I726" s="21"/>
      <c r="L726" s="21"/>
      <c r="M726" s="23"/>
    </row>
    <row r="727" spans="1:13">
      <c r="A727" s="22"/>
      <c r="E727" s="21"/>
      <c r="F727" s="21"/>
      <c r="G727" s="21"/>
      <c r="I727" s="21"/>
      <c r="L727" s="21"/>
      <c r="M727" s="23"/>
    </row>
    <row r="728" spans="1:13">
      <c r="A728" s="22"/>
      <c r="E728" s="21"/>
      <c r="F728" s="21"/>
      <c r="G728" s="21"/>
      <c r="I728" s="21"/>
      <c r="L728" s="21"/>
      <c r="M728" s="23"/>
    </row>
    <row r="729" spans="1:13">
      <c r="A729" s="22"/>
      <c r="E729" s="21"/>
      <c r="F729" s="21"/>
      <c r="G729" s="21"/>
      <c r="I729" s="21"/>
      <c r="L729" s="21"/>
      <c r="M729" s="23"/>
    </row>
    <row r="730" spans="1:13">
      <c r="A730" s="22"/>
      <c r="E730" s="21"/>
      <c r="F730" s="21"/>
      <c r="G730" s="21"/>
      <c r="I730" s="21"/>
      <c r="L730" s="21"/>
      <c r="M730" s="23"/>
    </row>
    <row r="731" spans="1:13">
      <c r="A731" s="22"/>
      <c r="E731" s="21"/>
      <c r="F731" s="21"/>
      <c r="G731" s="21"/>
      <c r="I731" s="21"/>
      <c r="L731" s="21"/>
      <c r="M731" s="23"/>
    </row>
    <row r="732" spans="1:13">
      <c r="A732" s="22"/>
      <c r="E732" s="21"/>
      <c r="F732" s="21"/>
      <c r="G732" s="21"/>
      <c r="I732" s="21"/>
      <c r="L732" s="21"/>
      <c r="M732" s="23"/>
    </row>
    <row r="733" spans="1:13">
      <c r="A733" s="22"/>
      <c r="E733" s="21"/>
      <c r="F733" s="21"/>
      <c r="G733" s="21"/>
      <c r="I733" s="21"/>
      <c r="L733" s="21"/>
      <c r="M733" s="23"/>
    </row>
    <row r="734" spans="1:13">
      <c r="A734" s="22"/>
      <c r="E734" s="21"/>
      <c r="F734" s="21"/>
      <c r="G734" s="21"/>
      <c r="I734" s="21"/>
      <c r="L734" s="21"/>
      <c r="M734" s="23"/>
    </row>
    <row r="735" spans="1:13">
      <c r="A735" s="22"/>
      <c r="E735" s="21"/>
      <c r="F735" s="21"/>
      <c r="G735" s="21"/>
      <c r="I735" s="21"/>
      <c r="L735" s="21"/>
      <c r="M735" s="23"/>
    </row>
    <row r="736" spans="1:13">
      <c r="A736" s="22"/>
      <c r="E736" s="21"/>
      <c r="F736" s="21"/>
      <c r="G736" s="21"/>
      <c r="I736" s="21"/>
      <c r="L736" s="21"/>
      <c r="M736" s="23"/>
    </row>
    <row r="737" spans="1:13">
      <c r="A737" s="22"/>
      <c r="E737" s="21"/>
      <c r="F737" s="21"/>
      <c r="G737" s="21"/>
      <c r="I737" s="21"/>
      <c r="L737" s="21"/>
      <c r="M737" s="23"/>
    </row>
    <row r="738" spans="1:13">
      <c r="A738" s="22"/>
      <c r="E738" s="21"/>
      <c r="F738" s="21"/>
      <c r="G738" s="21"/>
      <c r="I738" s="21"/>
      <c r="L738" s="21"/>
      <c r="M738" s="23"/>
    </row>
    <row r="739" spans="1:13">
      <c r="A739" s="22"/>
      <c r="E739" s="21"/>
      <c r="F739" s="21"/>
      <c r="G739" s="21"/>
      <c r="I739" s="21"/>
      <c r="L739" s="21"/>
      <c r="M739" s="23"/>
    </row>
    <row r="740" spans="1:13">
      <c r="A740" s="22"/>
      <c r="E740" s="21"/>
      <c r="F740" s="21"/>
      <c r="G740" s="21"/>
      <c r="I740" s="21"/>
      <c r="L740" s="21"/>
      <c r="M740" s="23"/>
    </row>
    <row r="741" spans="1:13">
      <c r="A741" s="22"/>
      <c r="E741" s="21"/>
      <c r="F741" s="21"/>
      <c r="G741" s="21"/>
      <c r="I741" s="21"/>
      <c r="L741" s="21"/>
      <c r="M741" s="23"/>
    </row>
    <row r="742" spans="1:13">
      <c r="A742" s="22"/>
      <c r="E742" s="21"/>
      <c r="F742" s="21"/>
      <c r="G742" s="21"/>
      <c r="I742" s="21"/>
      <c r="L742" s="21"/>
      <c r="M742" s="23"/>
    </row>
    <row r="743" spans="1:13">
      <c r="A743" s="22"/>
      <c r="E743" s="21"/>
      <c r="F743" s="21"/>
      <c r="G743" s="21"/>
      <c r="I743" s="21"/>
      <c r="L743" s="21"/>
      <c r="M743" s="23"/>
    </row>
    <row r="744" spans="1:13">
      <c r="A744" s="22"/>
      <c r="E744" s="21"/>
      <c r="F744" s="21"/>
      <c r="G744" s="21"/>
      <c r="I744" s="21"/>
      <c r="L744" s="21"/>
      <c r="M744" s="23"/>
    </row>
    <row r="745" spans="1:13">
      <c r="A745" s="22"/>
      <c r="E745" s="21"/>
      <c r="F745" s="21"/>
      <c r="G745" s="21"/>
      <c r="I745" s="21"/>
      <c r="L745" s="21"/>
      <c r="M745" s="23"/>
    </row>
    <row r="746" spans="1:13">
      <c r="A746" s="22"/>
      <c r="E746" s="21"/>
      <c r="F746" s="21"/>
      <c r="G746" s="21"/>
      <c r="I746" s="21"/>
      <c r="L746" s="21"/>
      <c r="M746" s="23"/>
    </row>
    <row r="747" spans="1:13">
      <c r="A747" s="22"/>
      <c r="E747" s="21"/>
      <c r="F747" s="21"/>
      <c r="G747" s="21"/>
      <c r="I747" s="21"/>
      <c r="L747" s="21"/>
      <c r="M747" s="23"/>
    </row>
    <row r="748" spans="1:13">
      <c r="A748" s="22"/>
      <c r="E748" s="21"/>
      <c r="F748" s="21"/>
      <c r="G748" s="21"/>
      <c r="I748" s="21"/>
      <c r="L748" s="21"/>
      <c r="M748" s="23"/>
    </row>
    <row r="749" spans="1:13">
      <c r="A749" s="22"/>
      <c r="E749" s="21"/>
      <c r="F749" s="21"/>
      <c r="G749" s="21"/>
      <c r="I749" s="21"/>
      <c r="L749" s="21"/>
      <c r="M749" s="23"/>
    </row>
    <row r="750" spans="1:13">
      <c r="A750" s="22"/>
      <c r="E750" s="21"/>
      <c r="F750" s="21"/>
      <c r="G750" s="21"/>
      <c r="I750" s="21"/>
      <c r="L750" s="21"/>
      <c r="M750" s="23"/>
    </row>
    <row r="751" spans="1:13">
      <c r="A751" s="22"/>
      <c r="E751" s="21"/>
      <c r="F751" s="21"/>
      <c r="G751" s="21"/>
      <c r="I751" s="21"/>
      <c r="L751" s="21"/>
      <c r="M751" s="23"/>
    </row>
    <row r="752" spans="1:13">
      <c r="A752" s="22"/>
      <c r="E752" s="21"/>
      <c r="F752" s="21"/>
      <c r="G752" s="21"/>
      <c r="I752" s="21"/>
      <c r="L752" s="21"/>
      <c r="M752" s="23"/>
    </row>
    <row r="753" spans="1:13">
      <c r="A753" s="22"/>
      <c r="E753" s="21"/>
      <c r="F753" s="21"/>
      <c r="G753" s="21"/>
      <c r="I753" s="21"/>
      <c r="L753" s="21"/>
      <c r="M753" s="23"/>
    </row>
    <row r="754" spans="1:13">
      <c r="A754" s="22"/>
      <c r="E754" s="21"/>
      <c r="F754" s="21"/>
      <c r="G754" s="21"/>
      <c r="I754" s="21"/>
      <c r="L754" s="21"/>
      <c r="M754" s="23"/>
    </row>
    <row r="755" spans="1:13">
      <c r="A755" s="22"/>
      <c r="E755" s="21"/>
      <c r="F755" s="21"/>
      <c r="G755" s="21"/>
      <c r="I755" s="21"/>
      <c r="L755" s="21"/>
      <c r="M755" s="23"/>
    </row>
    <row r="756" spans="1:13">
      <c r="A756" s="22"/>
      <c r="E756" s="21"/>
      <c r="F756" s="21"/>
      <c r="G756" s="21"/>
      <c r="I756" s="21"/>
      <c r="L756" s="21"/>
      <c r="M756" s="23"/>
    </row>
    <row r="757" spans="1:13">
      <c r="A757" s="22"/>
      <c r="E757" s="21"/>
      <c r="F757" s="21"/>
      <c r="G757" s="21"/>
      <c r="I757" s="21"/>
      <c r="L757" s="21"/>
      <c r="M757" s="23"/>
    </row>
    <row r="758" spans="1:13">
      <c r="A758" s="22"/>
      <c r="E758" s="21"/>
      <c r="F758" s="21"/>
      <c r="G758" s="21"/>
      <c r="I758" s="21"/>
      <c r="L758" s="21"/>
      <c r="M758" s="23"/>
    </row>
    <row r="759" spans="1:13">
      <c r="A759" s="22"/>
      <c r="E759" s="21"/>
      <c r="F759" s="21"/>
      <c r="G759" s="21"/>
      <c r="I759" s="21"/>
      <c r="L759" s="21"/>
      <c r="M759" s="23"/>
    </row>
    <row r="760" spans="1:13">
      <c r="A760" s="22"/>
      <c r="E760" s="21"/>
      <c r="F760" s="21"/>
      <c r="G760" s="21"/>
      <c r="I760" s="21"/>
      <c r="L760" s="21"/>
      <c r="M760" s="23"/>
    </row>
    <row r="761" spans="1:13">
      <c r="A761" s="22"/>
      <c r="E761" s="21"/>
      <c r="F761" s="21"/>
      <c r="G761" s="21"/>
      <c r="I761" s="21"/>
      <c r="L761" s="21"/>
      <c r="M761" s="23"/>
    </row>
    <row r="762" spans="1:13">
      <c r="A762" s="22"/>
      <c r="E762" s="21"/>
      <c r="F762" s="21"/>
      <c r="G762" s="21"/>
      <c r="I762" s="21"/>
      <c r="L762" s="21"/>
      <c r="M762" s="23"/>
    </row>
    <row r="763" spans="1:13">
      <c r="A763" s="22"/>
      <c r="E763" s="21"/>
      <c r="F763" s="21"/>
      <c r="G763" s="21"/>
      <c r="I763" s="21"/>
      <c r="L763" s="21"/>
      <c r="M763" s="23"/>
    </row>
    <row r="764" spans="1:13">
      <c r="A764" s="22"/>
      <c r="E764" s="21"/>
      <c r="F764" s="21"/>
      <c r="G764" s="21"/>
      <c r="I764" s="21"/>
      <c r="L764" s="21"/>
      <c r="M764" s="23"/>
    </row>
    <row r="765" spans="1:13">
      <c r="A765" s="22"/>
      <c r="E765" s="21"/>
      <c r="F765" s="21"/>
      <c r="G765" s="21"/>
      <c r="I765" s="21"/>
      <c r="L765" s="21"/>
      <c r="M765" s="23"/>
    </row>
    <row r="766" spans="1:13">
      <c r="A766" s="22"/>
      <c r="E766" s="21"/>
      <c r="F766" s="21"/>
      <c r="G766" s="21"/>
      <c r="I766" s="21"/>
      <c r="L766" s="21"/>
      <c r="M766" s="23"/>
    </row>
    <row r="767" spans="1:13">
      <c r="A767" s="22"/>
      <c r="E767" s="21"/>
      <c r="F767" s="21"/>
      <c r="G767" s="21"/>
      <c r="I767" s="21"/>
      <c r="L767" s="21"/>
      <c r="M767" s="23"/>
    </row>
    <row r="768" spans="1:13">
      <c r="A768" s="22"/>
      <c r="E768" s="21"/>
      <c r="F768" s="21"/>
      <c r="G768" s="21"/>
      <c r="I768" s="21"/>
      <c r="L768" s="21"/>
      <c r="M768" s="23"/>
    </row>
    <row r="769" spans="1:13">
      <c r="A769" s="22"/>
      <c r="E769" s="21"/>
      <c r="F769" s="21"/>
      <c r="G769" s="21"/>
      <c r="I769" s="21"/>
      <c r="L769" s="21"/>
      <c r="M769" s="23"/>
    </row>
    <row r="770" spans="1:13">
      <c r="A770" s="22"/>
      <c r="E770" s="21"/>
      <c r="F770" s="21"/>
      <c r="G770" s="21"/>
      <c r="I770" s="21"/>
      <c r="L770" s="21"/>
      <c r="M770" s="23"/>
    </row>
    <row r="771" spans="1:13">
      <c r="A771" s="22"/>
      <c r="E771" s="21"/>
      <c r="F771" s="21"/>
      <c r="G771" s="21"/>
      <c r="I771" s="21"/>
      <c r="L771" s="21"/>
      <c r="M771" s="23"/>
    </row>
    <row r="772" spans="1:13">
      <c r="A772" s="22"/>
      <c r="E772" s="21"/>
      <c r="F772" s="21"/>
      <c r="G772" s="21"/>
      <c r="I772" s="21"/>
      <c r="L772" s="21"/>
      <c r="M772" s="23"/>
    </row>
    <row r="773" spans="1:13">
      <c r="A773" s="22"/>
      <c r="E773" s="21"/>
      <c r="F773" s="21"/>
      <c r="G773" s="21"/>
      <c r="I773" s="21"/>
      <c r="L773" s="21"/>
      <c r="M773" s="23"/>
    </row>
    <row r="774" spans="1:13">
      <c r="A774" s="22"/>
      <c r="E774" s="21"/>
      <c r="F774" s="21"/>
      <c r="G774" s="21"/>
      <c r="I774" s="21"/>
      <c r="L774" s="21"/>
      <c r="M774" s="23"/>
    </row>
    <row r="775" spans="1:13">
      <c r="A775" s="22"/>
      <c r="E775" s="21"/>
      <c r="F775" s="21"/>
      <c r="G775" s="21"/>
      <c r="I775" s="21"/>
      <c r="L775" s="21"/>
      <c r="M775" s="23"/>
    </row>
    <row r="776" spans="1:13">
      <c r="A776" s="22"/>
      <c r="E776" s="21"/>
      <c r="F776" s="21"/>
      <c r="G776" s="21"/>
      <c r="I776" s="21"/>
      <c r="L776" s="21"/>
      <c r="M776" s="23"/>
    </row>
    <row r="777" spans="1:13">
      <c r="A777" s="22"/>
      <c r="E777" s="21"/>
      <c r="F777" s="21"/>
      <c r="G777" s="21"/>
      <c r="I777" s="21"/>
      <c r="L777" s="21"/>
      <c r="M777" s="23"/>
    </row>
    <row r="778" spans="1:13">
      <c r="A778" s="22"/>
      <c r="E778" s="21"/>
      <c r="F778" s="21"/>
      <c r="G778" s="21"/>
      <c r="I778" s="21"/>
      <c r="L778" s="21"/>
      <c r="M778" s="23"/>
    </row>
    <row r="779" spans="1:13">
      <c r="A779" s="22"/>
      <c r="E779" s="21"/>
      <c r="F779" s="21"/>
      <c r="G779" s="21"/>
      <c r="I779" s="21"/>
      <c r="L779" s="21"/>
      <c r="M779" s="23"/>
    </row>
    <row r="780" spans="1:13">
      <c r="A780" s="22"/>
      <c r="E780" s="21"/>
      <c r="F780" s="21"/>
      <c r="G780" s="21"/>
      <c r="I780" s="21"/>
      <c r="L780" s="21"/>
      <c r="M780" s="23"/>
    </row>
    <row r="781" spans="1:13">
      <c r="A781" s="22"/>
      <c r="E781" s="21"/>
      <c r="F781" s="21"/>
      <c r="G781" s="21"/>
      <c r="I781" s="21"/>
      <c r="L781" s="21"/>
      <c r="M781" s="23"/>
    </row>
    <row r="782" spans="1:13">
      <c r="A782" s="22"/>
      <c r="E782" s="21"/>
      <c r="F782" s="21"/>
      <c r="G782" s="21"/>
      <c r="I782" s="21"/>
      <c r="L782" s="21"/>
      <c r="M782" s="23"/>
    </row>
    <row r="783" spans="1:13">
      <c r="A783" s="22"/>
      <c r="E783" s="21"/>
      <c r="F783" s="21"/>
      <c r="G783" s="21"/>
      <c r="I783" s="21"/>
      <c r="L783" s="21"/>
      <c r="M783" s="23"/>
    </row>
    <row r="784" spans="1:13">
      <c r="A784" s="22"/>
      <c r="E784" s="21"/>
      <c r="F784" s="21"/>
      <c r="G784" s="21"/>
      <c r="I784" s="21"/>
      <c r="L784" s="21"/>
      <c r="M784" s="23"/>
    </row>
    <row r="785" spans="1:13">
      <c r="A785" s="22"/>
      <c r="E785" s="21"/>
      <c r="F785" s="21"/>
      <c r="G785" s="21"/>
      <c r="I785" s="21"/>
      <c r="L785" s="21"/>
      <c r="M785" s="23"/>
    </row>
    <row r="786" spans="1:13">
      <c r="A786" s="22"/>
      <c r="E786" s="21"/>
      <c r="F786" s="21"/>
      <c r="G786" s="21"/>
      <c r="I786" s="21"/>
      <c r="L786" s="21"/>
      <c r="M786" s="23"/>
    </row>
    <row r="787" spans="1:13">
      <c r="A787" s="22"/>
      <c r="E787" s="21"/>
      <c r="F787" s="21"/>
      <c r="G787" s="21"/>
      <c r="I787" s="21"/>
      <c r="L787" s="21"/>
      <c r="M787" s="23"/>
    </row>
    <row r="788" spans="1:13">
      <c r="A788" s="22"/>
      <c r="E788" s="21"/>
      <c r="F788" s="21"/>
      <c r="G788" s="21"/>
      <c r="I788" s="21"/>
      <c r="L788" s="21"/>
      <c r="M788" s="23"/>
    </row>
    <row r="789" spans="1:13">
      <c r="A789" s="22"/>
      <c r="E789" s="21"/>
      <c r="F789" s="21"/>
      <c r="G789" s="21"/>
      <c r="I789" s="21"/>
      <c r="L789" s="21"/>
      <c r="M789" s="23"/>
    </row>
    <row r="790" spans="1:13">
      <c r="A790" s="22"/>
      <c r="E790" s="21"/>
      <c r="F790" s="21"/>
      <c r="G790" s="21"/>
      <c r="I790" s="21"/>
      <c r="L790" s="21"/>
      <c r="M790" s="23"/>
    </row>
    <row r="791" spans="1:13">
      <c r="A791" s="22"/>
      <c r="E791" s="21"/>
      <c r="F791" s="21"/>
      <c r="G791" s="21"/>
      <c r="I791" s="21"/>
      <c r="L791" s="21"/>
      <c r="M791" s="23"/>
    </row>
    <row r="792" spans="1:13">
      <c r="A792" s="22"/>
      <c r="E792" s="21"/>
      <c r="F792" s="21"/>
      <c r="G792" s="21"/>
      <c r="I792" s="21"/>
      <c r="L792" s="21"/>
      <c r="M792" s="23"/>
    </row>
    <row r="793" spans="1:13">
      <c r="A793" s="22"/>
      <c r="E793" s="21"/>
      <c r="F793" s="21"/>
      <c r="G793" s="21"/>
      <c r="I793" s="21"/>
      <c r="L793" s="21"/>
      <c r="M793" s="23"/>
    </row>
    <row r="794" spans="1:13">
      <c r="A794" s="22"/>
      <c r="E794" s="21"/>
      <c r="F794" s="21"/>
      <c r="G794" s="21"/>
      <c r="I794" s="21"/>
      <c r="L794" s="21"/>
      <c r="M794" s="23"/>
    </row>
    <row r="795" spans="1:13">
      <c r="A795" s="22"/>
      <c r="E795" s="21"/>
      <c r="F795" s="21"/>
      <c r="G795" s="21"/>
      <c r="I795" s="21"/>
      <c r="L795" s="21"/>
      <c r="M795" s="23"/>
    </row>
    <row r="796" spans="1:13">
      <c r="A796" s="22"/>
      <c r="E796" s="21"/>
      <c r="F796" s="21"/>
      <c r="G796" s="21"/>
      <c r="I796" s="21"/>
      <c r="L796" s="21"/>
      <c r="M796" s="23"/>
    </row>
    <row r="797" spans="1:13">
      <c r="A797" s="22"/>
      <c r="E797" s="21"/>
      <c r="F797" s="21"/>
      <c r="G797" s="21"/>
      <c r="I797" s="21"/>
      <c r="L797" s="21"/>
      <c r="M797" s="23"/>
    </row>
    <row r="798" spans="1:13">
      <c r="A798" s="22"/>
      <c r="E798" s="21"/>
      <c r="F798" s="21"/>
      <c r="G798" s="21"/>
      <c r="I798" s="21"/>
      <c r="L798" s="21"/>
      <c r="M798" s="23"/>
    </row>
    <row r="799" spans="1:13">
      <c r="A799" s="22"/>
      <c r="E799" s="21"/>
      <c r="F799" s="21"/>
      <c r="G799" s="21"/>
      <c r="I799" s="21"/>
      <c r="L799" s="21"/>
      <c r="M799" s="23"/>
    </row>
    <row r="800" spans="1:13">
      <c r="A800" s="22"/>
      <c r="E800" s="21"/>
      <c r="F800" s="21"/>
      <c r="G800" s="21"/>
      <c r="I800" s="21"/>
      <c r="L800" s="21"/>
      <c r="M800" s="23"/>
    </row>
    <row r="801" spans="1:13">
      <c r="A801" s="22"/>
      <c r="E801" s="21"/>
      <c r="F801" s="21"/>
      <c r="G801" s="21"/>
      <c r="I801" s="21"/>
      <c r="L801" s="21"/>
      <c r="M801" s="23"/>
    </row>
    <row r="802" spans="1:13">
      <c r="A802" s="22"/>
      <c r="E802" s="21"/>
      <c r="F802" s="21"/>
      <c r="G802" s="21"/>
      <c r="I802" s="21"/>
      <c r="L802" s="21"/>
      <c r="M802" s="23"/>
    </row>
    <row r="803" spans="1:13">
      <c r="A803" s="22"/>
      <c r="E803" s="21"/>
      <c r="F803" s="21"/>
      <c r="G803" s="21"/>
      <c r="I803" s="21"/>
      <c r="L803" s="21"/>
      <c r="M803" s="23"/>
    </row>
    <row r="804" spans="1:13">
      <c r="A804" s="22"/>
      <c r="E804" s="21"/>
      <c r="F804" s="21"/>
      <c r="G804" s="21"/>
      <c r="I804" s="21"/>
      <c r="L804" s="21"/>
      <c r="M804" s="23"/>
    </row>
    <row r="805" spans="1:13">
      <c r="A805" s="22"/>
      <c r="E805" s="21"/>
      <c r="F805" s="21"/>
      <c r="G805" s="21"/>
      <c r="I805" s="21"/>
      <c r="L805" s="21"/>
      <c r="M805" s="23"/>
    </row>
    <row r="806" spans="1:13">
      <c r="A806" s="22"/>
      <c r="E806" s="21"/>
      <c r="F806" s="21"/>
      <c r="G806" s="21"/>
      <c r="I806" s="21"/>
      <c r="L806" s="21"/>
      <c r="M806" s="23"/>
    </row>
    <row r="807" spans="1:13">
      <c r="A807" s="22"/>
      <c r="E807" s="21"/>
      <c r="F807" s="21"/>
      <c r="G807" s="21"/>
      <c r="I807" s="21"/>
      <c r="L807" s="21"/>
      <c r="M807" s="23"/>
    </row>
    <row r="808" spans="1:13">
      <c r="A808" s="22"/>
      <c r="E808" s="21"/>
      <c r="F808" s="21"/>
      <c r="G808" s="21"/>
      <c r="I808" s="21"/>
      <c r="L808" s="21"/>
      <c r="M808" s="23"/>
    </row>
    <row r="809" spans="1:13">
      <c r="A809" s="22"/>
      <c r="E809" s="21"/>
      <c r="F809" s="21"/>
      <c r="G809" s="21"/>
      <c r="I809" s="21"/>
      <c r="L809" s="21"/>
      <c r="M809" s="23"/>
    </row>
    <row r="810" spans="1:13">
      <c r="A810" s="22"/>
      <c r="E810" s="21"/>
      <c r="F810" s="21"/>
      <c r="G810" s="21"/>
      <c r="I810" s="21"/>
      <c r="L810" s="21"/>
      <c r="M810" s="23"/>
    </row>
    <row r="811" spans="1:13">
      <c r="A811" s="22"/>
      <c r="E811" s="21"/>
      <c r="F811" s="21"/>
      <c r="G811" s="21"/>
      <c r="I811" s="21"/>
      <c r="L811" s="21"/>
      <c r="M811" s="23"/>
    </row>
    <row r="812" spans="1:13">
      <c r="A812" s="22"/>
      <c r="E812" s="21"/>
      <c r="F812" s="21"/>
      <c r="G812" s="21"/>
      <c r="I812" s="21"/>
      <c r="L812" s="21"/>
      <c r="M812" s="23"/>
    </row>
    <row r="813" spans="1:13">
      <c r="A813" s="22"/>
      <c r="E813" s="21"/>
      <c r="F813" s="21"/>
      <c r="G813" s="21"/>
      <c r="I813" s="21"/>
      <c r="L813" s="21"/>
      <c r="M813" s="23"/>
    </row>
    <row r="814" spans="1:13">
      <c r="A814" s="22"/>
      <c r="E814" s="21"/>
      <c r="F814" s="21"/>
      <c r="G814" s="21"/>
      <c r="I814" s="21"/>
      <c r="L814" s="21"/>
      <c r="M814" s="23"/>
    </row>
    <row r="815" spans="1:13">
      <c r="A815" s="22"/>
      <c r="E815" s="21"/>
      <c r="F815" s="21"/>
      <c r="G815" s="21"/>
      <c r="I815" s="21"/>
      <c r="L815" s="21"/>
      <c r="M815" s="23"/>
    </row>
    <row r="816" spans="1:13">
      <c r="A816" s="22"/>
      <c r="E816" s="21"/>
      <c r="F816" s="21"/>
      <c r="G816" s="21"/>
      <c r="I816" s="21"/>
      <c r="L816" s="21"/>
      <c r="M816" s="23"/>
    </row>
    <row r="817" spans="1:13">
      <c r="A817" s="22"/>
      <c r="E817" s="21"/>
      <c r="F817" s="21"/>
      <c r="G817" s="21"/>
      <c r="I817" s="21"/>
      <c r="L817" s="21"/>
      <c r="M817" s="23"/>
    </row>
    <row r="818" spans="1:13">
      <c r="A818" s="22"/>
      <c r="E818" s="21"/>
      <c r="F818" s="21"/>
      <c r="G818" s="21"/>
      <c r="I818" s="21"/>
      <c r="L818" s="21"/>
      <c r="M818" s="23"/>
    </row>
    <row r="819" spans="1:13">
      <c r="A819" s="22"/>
      <c r="E819" s="21"/>
      <c r="F819" s="21"/>
      <c r="G819" s="21"/>
      <c r="I819" s="21"/>
      <c r="L819" s="21"/>
      <c r="M819" s="23"/>
    </row>
    <row r="820" spans="1:13">
      <c r="A820" s="22"/>
      <c r="E820" s="21"/>
      <c r="F820" s="21"/>
      <c r="G820" s="21"/>
      <c r="I820" s="21"/>
      <c r="L820" s="21"/>
      <c r="M820" s="23"/>
    </row>
    <row r="821" spans="1:13">
      <c r="A821" s="22"/>
      <c r="E821" s="21"/>
      <c r="F821" s="21"/>
      <c r="G821" s="21"/>
      <c r="I821" s="21"/>
      <c r="L821" s="21"/>
      <c r="M821" s="23"/>
    </row>
    <row r="822" spans="1:13">
      <c r="A822" s="22"/>
      <c r="E822" s="21"/>
      <c r="F822" s="21"/>
      <c r="G822" s="21"/>
      <c r="I822" s="21"/>
      <c r="L822" s="21"/>
      <c r="M822" s="23"/>
    </row>
    <row r="823" spans="1:13">
      <c r="A823" s="22"/>
      <c r="E823" s="21"/>
      <c r="F823" s="21"/>
      <c r="G823" s="21"/>
      <c r="I823" s="21"/>
      <c r="L823" s="21"/>
      <c r="M823" s="23"/>
    </row>
    <row r="824" spans="1:13">
      <c r="A824" s="22"/>
      <c r="E824" s="21"/>
      <c r="F824" s="21"/>
      <c r="G824" s="21"/>
      <c r="I824" s="21"/>
      <c r="L824" s="21"/>
      <c r="M824" s="23"/>
    </row>
    <row r="825" spans="1:13">
      <c r="A825" s="22"/>
      <c r="E825" s="21"/>
      <c r="F825" s="21"/>
      <c r="G825" s="21"/>
      <c r="I825" s="21"/>
      <c r="L825" s="21"/>
      <c r="M825" s="23"/>
    </row>
    <row r="826" spans="1:13">
      <c r="A826" s="22"/>
      <c r="E826" s="21"/>
      <c r="F826" s="21"/>
      <c r="G826" s="21"/>
      <c r="I826" s="21"/>
      <c r="L826" s="21"/>
      <c r="M826" s="23"/>
    </row>
    <row r="827" spans="1:13">
      <c r="A827" s="22"/>
      <c r="E827" s="21"/>
      <c r="F827" s="21"/>
      <c r="G827" s="21"/>
      <c r="I827" s="21"/>
      <c r="L827" s="21"/>
      <c r="M827" s="23"/>
    </row>
    <row r="828" spans="1:13">
      <c r="A828" s="22"/>
      <c r="E828" s="21"/>
      <c r="F828" s="21"/>
      <c r="G828" s="21"/>
      <c r="I828" s="21"/>
      <c r="L828" s="21"/>
      <c r="M828" s="23"/>
    </row>
    <row r="829" spans="1:13">
      <c r="A829" s="22"/>
      <c r="E829" s="21"/>
      <c r="F829" s="21"/>
      <c r="G829" s="21"/>
      <c r="I829" s="21"/>
      <c r="L829" s="21"/>
      <c r="M829" s="23"/>
    </row>
    <row r="830" spans="1:13">
      <c r="A830" s="22"/>
      <c r="E830" s="21"/>
      <c r="F830" s="21"/>
      <c r="G830" s="21"/>
      <c r="I830" s="21"/>
      <c r="L830" s="21"/>
      <c r="M830" s="23"/>
    </row>
    <row r="831" spans="1:13">
      <c r="A831" s="22"/>
      <c r="E831" s="21"/>
      <c r="F831" s="21"/>
      <c r="G831" s="21"/>
      <c r="I831" s="21"/>
      <c r="L831" s="21"/>
      <c r="M831" s="23"/>
    </row>
    <row r="832" spans="1:13">
      <c r="A832" s="22"/>
      <c r="E832" s="21"/>
      <c r="F832" s="21"/>
      <c r="G832" s="21"/>
      <c r="I832" s="21"/>
      <c r="L832" s="21"/>
      <c r="M832" s="23"/>
    </row>
    <row r="833" spans="1:13">
      <c r="A833" s="22"/>
      <c r="E833" s="21"/>
      <c r="F833" s="21"/>
      <c r="G833" s="21"/>
      <c r="I833" s="21"/>
      <c r="L833" s="21"/>
      <c r="M833" s="23"/>
    </row>
    <row r="834" spans="1:13">
      <c r="A834" s="22"/>
      <c r="E834" s="21"/>
      <c r="F834" s="21"/>
      <c r="G834" s="21"/>
      <c r="I834" s="21"/>
      <c r="L834" s="21"/>
      <c r="M834" s="23"/>
    </row>
    <row r="835" spans="1:13">
      <c r="A835" s="22"/>
      <c r="E835" s="21"/>
      <c r="F835" s="21"/>
      <c r="G835" s="21"/>
      <c r="I835" s="21"/>
      <c r="L835" s="21"/>
      <c r="M835" s="23"/>
    </row>
    <row r="836" spans="1:13">
      <c r="A836" s="22"/>
      <c r="E836" s="21"/>
      <c r="F836" s="21"/>
      <c r="G836" s="21"/>
      <c r="I836" s="21"/>
      <c r="L836" s="21"/>
      <c r="M836" s="23"/>
    </row>
    <row r="837" spans="1:13">
      <c r="A837" s="22"/>
      <c r="E837" s="21"/>
      <c r="F837" s="21"/>
      <c r="G837" s="21"/>
      <c r="I837" s="21"/>
      <c r="L837" s="21"/>
      <c r="M837" s="23"/>
    </row>
    <row r="838" spans="1:13">
      <c r="A838" s="22"/>
      <c r="E838" s="21"/>
      <c r="F838" s="21"/>
      <c r="G838" s="21"/>
      <c r="I838" s="21"/>
      <c r="L838" s="21"/>
      <c r="M838" s="23"/>
    </row>
    <row r="839" spans="1:13">
      <c r="A839" s="22"/>
      <c r="E839" s="21"/>
      <c r="F839" s="21"/>
      <c r="G839" s="21"/>
      <c r="I839" s="21"/>
      <c r="L839" s="21"/>
      <c r="M839" s="23"/>
    </row>
    <row r="840" spans="1:13">
      <c r="A840" s="22"/>
      <c r="E840" s="21"/>
      <c r="F840" s="21"/>
      <c r="G840" s="21"/>
      <c r="I840" s="21"/>
      <c r="L840" s="21"/>
      <c r="M840" s="23"/>
    </row>
    <row r="841" spans="1:13">
      <c r="A841" s="22"/>
      <c r="E841" s="21"/>
      <c r="F841" s="21"/>
      <c r="G841" s="21"/>
      <c r="I841" s="21"/>
      <c r="L841" s="21"/>
      <c r="M841" s="23"/>
    </row>
    <row r="842" spans="1:13">
      <c r="A842" s="22"/>
      <c r="E842" s="21"/>
      <c r="F842" s="21"/>
      <c r="G842" s="21"/>
      <c r="I842" s="21"/>
      <c r="L842" s="21"/>
      <c r="M842" s="23"/>
    </row>
    <row r="843" spans="1:13">
      <c r="A843" s="22"/>
      <c r="E843" s="21"/>
      <c r="F843" s="21"/>
      <c r="G843" s="21"/>
      <c r="I843" s="21"/>
      <c r="L843" s="21"/>
      <c r="M843" s="23"/>
    </row>
    <row r="844" spans="1:13">
      <c r="A844" s="22"/>
      <c r="E844" s="21"/>
      <c r="F844" s="21"/>
      <c r="G844" s="21"/>
      <c r="I844" s="21"/>
      <c r="L844" s="21"/>
      <c r="M844" s="23"/>
    </row>
    <row r="845" spans="1:13">
      <c r="A845" s="22"/>
      <c r="E845" s="21"/>
      <c r="F845" s="21"/>
      <c r="G845" s="21"/>
      <c r="I845" s="21"/>
      <c r="L845" s="21"/>
      <c r="M845" s="23"/>
    </row>
    <row r="846" spans="1:13">
      <c r="A846" s="22"/>
      <c r="E846" s="21"/>
      <c r="F846" s="21"/>
      <c r="G846" s="21"/>
      <c r="I846" s="21"/>
      <c r="L846" s="21"/>
      <c r="M846" s="23"/>
    </row>
    <row r="847" spans="1:13">
      <c r="A847" s="22"/>
      <c r="E847" s="21"/>
      <c r="F847" s="21"/>
      <c r="G847" s="21"/>
      <c r="I847" s="21"/>
      <c r="L847" s="21"/>
      <c r="M847" s="23"/>
    </row>
    <row r="848" spans="1:13">
      <c r="A848" s="22"/>
      <c r="E848" s="21"/>
      <c r="F848" s="21"/>
      <c r="G848" s="21"/>
      <c r="I848" s="21"/>
      <c r="L848" s="21"/>
      <c r="M848" s="23"/>
    </row>
    <row r="849" spans="1:13">
      <c r="A849" s="22"/>
      <c r="E849" s="21"/>
      <c r="F849" s="21"/>
      <c r="G849" s="21"/>
      <c r="I849" s="21"/>
      <c r="L849" s="21"/>
      <c r="M849" s="23"/>
    </row>
    <row r="850" spans="1:13">
      <c r="A850" s="22"/>
      <c r="E850" s="21"/>
      <c r="F850" s="21"/>
      <c r="G850" s="21"/>
      <c r="I850" s="21"/>
      <c r="L850" s="21"/>
      <c r="M850" s="23"/>
    </row>
    <row r="851" spans="1:13">
      <c r="A851" s="22"/>
      <c r="E851" s="21"/>
      <c r="F851" s="21"/>
      <c r="G851" s="21"/>
      <c r="I851" s="21"/>
      <c r="L851" s="21"/>
      <c r="M851" s="23"/>
    </row>
    <row r="852" spans="1:13">
      <c r="A852" s="22"/>
      <c r="E852" s="21"/>
      <c r="F852" s="21"/>
      <c r="G852" s="21"/>
      <c r="I852" s="21"/>
      <c r="L852" s="21"/>
      <c r="M852" s="23"/>
    </row>
    <row r="853" spans="1:13">
      <c r="A853" s="22"/>
      <c r="E853" s="21"/>
      <c r="F853" s="21"/>
      <c r="G853" s="21"/>
      <c r="I853" s="21"/>
      <c r="L853" s="21"/>
      <c r="M853" s="23"/>
    </row>
    <row r="854" spans="1:13">
      <c r="A854" s="22"/>
      <c r="E854" s="21"/>
      <c r="F854" s="21"/>
      <c r="G854" s="21"/>
      <c r="I854" s="21"/>
      <c r="L854" s="21"/>
      <c r="M854" s="23"/>
    </row>
    <row r="855" spans="1:13">
      <c r="A855" s="22"/>
      <c r="E855" s="21"/>
      <c r="F855" s="21"/>
      <c r="G855" s="21"/>
      <c r="I855" s="21"/>
      <c r="L855" s="21"/>
      <c r="M855" s="23"/>
    </row>
    <row r="856" spans="1:13">
      <c r="A856" s="22"/>
      <c r="E856" s="21"/>
      <c r="F856" s="21"/>
      <c r="G856" s="21"/>
      <c r="I856" s="21"/>
      <c r="L856" s="21"/>
      <c r="M856" s="23"/>
    </row>
    <row r="857" spans="1:13">
      <c r="A857" s="22"/>
      <c r="E857" s="21"/>
      <c r="F857" s="21"/>
      <c r="G857" s="21"/>
      <c r="I857" s="21"/>
      <c r="L857" s="21"/>
      <c r="M857" s="23"/>
    </row>
    <row r="858" spans="1:13">
      <c r="A858" s="22"/>
      <c r="E858" s="21"/>
      <c r="F858" s="21"/>
      <c r="G858" s="21"/>
      <c r="I858" s="21"/>
      <c r="L858" s="21"/>
      <c r="M858" s="23"/>
    </row>
    <row r="859" spans="1:13">
      <c r="A859" s="22"/>
      <c r="E859" s="21"/>
      <c r="F859" s="21"/>
      <c r="G859" s="21"/>
      <c r="I859" s="21"/>
      <c r="L859" s="21"/>
      <c r="M859" s="23"/>
    </row>
    <row r="860" spans="1:13">
      <c r="A860" s="22"/>
      <c r="E860" s="21"/>
      <c r="F860" s="21"/>
      <c r="G860" s="21"/>
      <c r="I860" s="21"/>
      <c r="L860" s="21"/>
      <c r="M860" s="23"/>
    </row>
    <row r="861" spans="1:13">
      <c r="A861" s="22"/>
      <c r="E861" s="21"/>
      <c r="F861" s="21"/>
      <c r="G861" s="21"/>
      <c r="I861" s="21"/>
      <c r="L861" s="21"/>
      <c r="M861" s="23"/>
    </row>
    <row r="862" spans="1:13">
      <c r="A862" s="22"/>
      <c r="E862" s="21"/>
      <c r="F862" s="21"/>
      <c r="G862" s="21"/>
      <c r="I862" s="21"/>
      <c r="L862" s="21"/>
      <c r="M862" s="23"/>
    </row>
    <row r="863" spans="1:13">
      <c r="A863" s="22"/>
      <c r="E863" s="21"/>
      <c r="F863" s="21"/>
      <c r="G863" s="21"/>
      <c r="I863" s="21"/>
      <c r="L863" s="21"/>
      <c r="M863" s="23"/>
    </row>
    <row r="864" spans="1:13">
      <c r="A864" s="22"/>
      <c r="E864" s="21"/>
      <c r="F864" s="21"/>
      <c r="G864" s="21"/>
      <c r="I864" s="21"/>
      <c r="L864" s="21"/>
      <c r="M864" s="23"/>
    </row>
    <row r="865" spans="1:13">
      <c r="A865" s="22"/>
      <c r="E865" s="21"/>
      <c r="F865" s="21"/>
      <c r="G865" s="21"/>
      <c r="I865" s="21"/>
      <c r="L865" s="21"/>
      <c r="M865" s="23"/>
    </row>
    <row r="866" spans="1:13">
      <c r="A866" s="22"/>
      <c r="E866" s="21"/>
      <c r="F866" s="21"/>
      <c r="G866" s="21"/>
      <c r="I866" s="21"/>
      <c r="L866" s="21"/>
      <c r="M866" s="23"/>
    </row>
    <row r="867" spans="1:13">
      <c r="A867" s="22"/>
      <c r="E867" s="21"/>
      <c r="F867" s="21"/>
      <c r="G867" s="21"/>
      <c r="I867" s="21"/>
      <c r="L867" s="21"/>
      <c r="M867" s="23"/>
    </row>
    <row r="868" spans="1:13">
      <c r="A868" s="22"/>
      <c r="E868" s="21"/>
      <c r="F868" s="21"/>
      <c r="G868" s="21"/>
      <c r="I868" s="21"/>
      <c r="L868" s="21"/>
      <c r="M868" s="23"/>
    </row>
    <row r="869" spans="1:13">
      <c r="A869" s="22"/>
      <c r="E869" s="21"/>
      <c r="F869" s="21"/>
      <c r="G869" s="21"/>
      <c r="I869" s="21"/>
      <c r="L869" s="21"/>
      <c r="M869" s="23"/>
    </row>
    <row r="870" spans="1:13">
      <c r="A870" s="22"/>
      <c r="E870" s="21"/>
      <c r="F870" s="21"/>
      <c r="G870" s="21"/>
      <c r="I870" s="21"/>
      <c r="L870" s="21"/>
      <c r="M870" s="23"/>
    </row>
    <row r="871" spans="1:13">
      <c r="A871" s="22"/>
      <c r="E871" s="21"/>
      <c r="F871" s="21"/>
      <c r="G871" s="21"/>
      <c r="I871" s="21"/>
      <c r="L871" s="21"/>
      <c r="M871" s="23"/>
    </row>
    <row r="872" spans="1:13">
      <c r="A872" s="22"/>
      <c r="E872" s="21"/>
      <c r="F872" s="21"/>
      <c r="G872" s="21"/>
      <c r="I872" s="21"/>
      <c r="L872" s="21"/>
      <c r="M872" s="23"/>
    </row>
    <row r="873" spans="1:13">
      <c r="A873" s="22"/>
      <c r="E873" s="21"/>
      <c r="F873" s="21"/>
      <c r="G873" s="21"/>
      <c r="I873" s="21"/>
      <c r="L873" s="21"/>
      <c r="M873" s="23"/>
    </row>
    <row r="874" spans="1:13">
      <c r="A874" s="22"/>
      <c r="E874" s="21"/>
      <c r="F874" s="21"/>
      <c r="G874" s="21"/>
      <c r="I874" s="21"/>
      <c r="L874" s="21"/>
      <c r="M874" s="23"/>
    </row>
    <row r="875" spans="1:13">
      <c r="A875" s="22"/>
      <c r="E875" s="21"/>
      <c r="F875" s="21"/>
      <c r="G875" s="21"/>
      <c r="I875" s="21"/>
      <c r="L875" s="21"/>
      <c r="M875" s="23"/>
    </row>
    <row r="876" spans="1:13">
      <c r="A876" s="22"/>
      <c r="E876" s="21"/>
      <c r="F876" s="21"/>
      <c r="G876" s="21"/>
      <c r="I876" s="21"/>
      <c r="L876" s="21"/>
      <c r="M876" s="23"/>
    </row>
    <row r="877" spans="1:13">
      <c r="A877" s="22"/>
      <c r="E877" s="21"/>
      <c r="F877" s="21"/>
      <c r="G877" s="21"/>
      <c r="I877" s="21"/>
      <c r="L877" s="21"/>
      <c r="M877" s="23"/>
    </row>
    <row r="878" spans="1:13">
      <c r="A878" s="22"/>
      <c r="E878" s="21"/>
      <c r="F878" s="21"/>
      <c r="G878" s="21"/>
      <c r="I878" s="21"/>
      <c r="L878" s="21"/>
      <c r="M878" s="23"/>
    </row>
    <row r="879" spans="1:13">
      <c r="A879" s="22"/>
      <c r="E879" s="21"/>
      <c r="F879" s="21"/>
      <c r="G879" s="21"/>
      <c r="I879" s="21"/>
      <c r="L879" s="21"/>
      <c r="M879" s="23"/>
    </row>
    <row r="880" spans="1:13">
      <c r="A880" s="22"/>
      <c r="E880" s="21"/>
      <c r="F880" s="21"/>
      <c r="G880" s="21"/>
      <c r="I880" s="21"/>
      <c r="L880" s="21"/>
      <c r="M880" s="23"/>
    </row>
    <row r="881" spans="1:13">
      <c r="A881" s="22"/>
      <c r="E881" s="21"/>
      <c r="F881" s="21"/>
      <c r="G881" s="21"/>
      <c r="I881" s="21"/>
      <c r="L881" s="21"/>
      <c r="M881" s="23"/>
    </row>
    <row r="882" spans="1:13">
      <c r="A882" s="22"/>
      <c r="E882" s="21"/>
      <c r="F882" s="21"/>
      <c r="G882" s="21"/>
      <c r="I882" s="21"/>
      <c r="L882" s="21"/>
      <c r="M882" s="23"/>
    </row>
    <row r="883" spans="1:13">
      <c r="A883" s="22"/>
      <c r="E883" s="21"/>
      <c r="F883" s="21"/>
      <c r="G883" s="21"/>
      <c r="I883" s="21"/>
      <c r="L883" s="21"/>
      <c r="M883" s="23"/>
    </row>
    <row r="884" spans="1:13">
      <c r="A884" s="22"/>
      <c r="E884" s="21"/>
      <c r="F884" s="21"/>
      <c r="G884" s="21"/>
      <c r="I884" s="21"/>
      <c r="L884" s="21"/>
      <c r="M884" s="23"/>
    </row>
    <row r="885" spans="1:13">
      <c r="A885" s="22"/>
      <c r="E885" s="21"/>
      <c r="F885" s="21"/>
      <c r="G885" s="21"/>
      <c r="I885" s="21"/>
      <c r="L885" s="21"/>
      <c r="M885" s="23"/>
    </row>
    <row r="886" spans="1:13">
      <c r="A886" s="22"/>
      <c r="E886" s="21"/>
      <c r="F886" s="21"/>
      <c r="G886" s="21"/>
      <c r="I886" s="21"/>
      <c r="L886" s="21"/>
      <c r="M886" s="23"/>
    </row>
    <row r="887" spans="1:13">
      <c r="A887" s="22"/>
      <c r="E887" s="21"/>
      <c r="F887" s="21"/>
      <c r="G887" s="21"/>
      <c r="I887" s="21"/>
      <c r="L887" s="21"/>
      <c r="M887" s="23"/>
    </row>
    <row r="888" spans="1:13">
      <c r="A888" s="22"/>
      <c r="E888" s="21"/>
      <c r="F888" s="21"/>
      <c r="G888" s="21"/>
      <c r="I888" s="21"/>
      <c r="L888" s="21"/>
      <c r="M888" s="23"/>
    </row>
    <row r="889" spans="1:13">
      <c r="A889" s="22"/>
      <c r="E889" s="21"/>
      <c r="F889" s="21"/>
      <c r="G889" s="21"/>
      <c r="I889" s="21"/>
      <c r="L889" s="21"/>
      <c r="M889" s="23"/>
    </row>
    <row r="890" spans="1:13">
      <c r="A890" s="22"/>
      <c r="E890" s="21"/>
      <c r="F890" s="21"/>
      <c r="G890" s="21"/>
      <c r="I890" s="21"/>
      <c r="L890" s="21"/>
      <c r="M890" s="23"/>
    </row>
    <row r="891" spans="1:13">
      <c r="A891" s="22"/>
      <c r="E891" s="21"/>
      <c r="F891" s="21"/>
      <c r="G891" s="21"/>
      <c r="I891" s="21"/>
      <c r="L891" s="21"/>
      <c r="M891" s="23"/>
    </row>
    <row r="892" spans="1:13">
      <c r="A892" s="22"/>
      <c r="E892" s="21"/>
      <c r="F892" s="21"/>
      <c r="G892" s="21"/>
      <c r="I892" s="21"/>
      <c r="L892" s="21"/>
      <c r="M892" s="23"/>
    </row>
    <row r="893" spans="1:13">
      <c r="A893" s="22"/>
      <c r="E893" s="21"/>
      <c r="F893" s="21"/>
      <c r="G893" s="21"/>
      <c r="I893" s="21"/>
      <c r="L893" s="21"/>
      <c r="M893" s="23"/>
    </row>
    <row r="894" spans="1:13">
      <c r="A894" s="22"/>
      <c r="E894" s="21"/>
      <c r="F894" s="21"/>
      <c r="G894" s="21"/>
      <c r="I894" s="21"/>
      <c r="L894" s="21"/>
      <c r="M894" s="23"/>
    </row>
    <row r="895" spans="1:13">
      <c r="A895" s="22"/>
      <c r="E895" s="21"/>
      <c r="F895" s="21"/>
      <c r="G895" s="21"/>
      <c r="I895" s="21"/>
      <c r="L895" s="21"/>
      <c r="M895" s="23"/>
    </row>
    <row r="896" spans="1:13">
      <c r="A896" s="22"/>
      <c r="E896" s="21"/>
      <c r="F896" s="21"/>
      <c r="G896" s="21"/>
      <c r="I896" s="21"/>
      <c r="L896" s="21"/>
      <c r="M896" s="23"/>
    </row>
    <row r="897" spans="1:13">
      <c r="A897" s="22"/>
      <c r="E897" s="21"/>
      <c r="F897" s="21"/>
      <c r="G897" s="21"/>
      <c r="I897" s="21"/>
      <c r="L897" s="21"/>
      <c r="M897" s="23"/>
    </row>
    <row r="898" spans="1:13">
      <c r="A898" s="22"/>
      <c r="E898" s="21"/>
      <c r="F898" s="21"/>
      <c r="G898" s="21"/>
      <c r="I898" s="21"/>
      <c r="L898" s="21"/>
      <c r="M898" s="23"/>
    </row>
    <row r="899" spans="1:13">
      <c r="A899" s="22"/>
      <c r="E899" s="21"/>
      <c r="F899" s="21"/>
      <c r="G899" s="21"/>
      <c r="I899" s="21"/>
      <c r="L899" s="21"/>
      <c r="M899" s="23"/>
    </row>
    <row r="900" spans="1:13">
      <c r="A900" s="22"/>
      <c r="E900" s="21"/>
      <c r="F900" s="21"/>
      <c r="G900" s="21"/>
      <c r="I900" s="21"/>
      <c r="L900" s="21"/>
      <c r="M900" s="23"/>
    </row>
    <row r="901" spans="1:13">
      <c r="A901" s="22"/>
      <c r="E901" s="21"/>
      <c r="F901" s="21"/>
      <c r="G901" s="21"/>
      <c r="I901" s="21"/>
      <c r="L901" s="21"/>
      <c r="M901" s="23"/>
    </row>
    <row r="902" spans="1:13">
      <c r="A902" s="22"/>
      <c r="E902" s="21"/>
      <c r="F902" s="21"/>
      <c r="G902" s="21"/>
      <c r="I902" s="21"/>
      <c r="L902" s="21"/>
      <c r="M902" s="23"/>
    </row>
    <row r="903" spans="1:13">
      <c r="A903" s="22"/>
      <c r="E903" s="21"/>
      <c r="F903" s="21"/>
      <c r="G903" s="21"/>
      <c r="I903" s="21"/>
      <c r="L903" s="21"/>
      <c r="M903" s="23"/>
    </row>
    <row r="904" spans="1:13">
      <c r="A904" s="22"/>
      <c r="E904" s="21"/>
      <c r="F904" s="21"/>
      <c r="G904" s="21"/>
      <c r="I904" s="21"/>
      <c r="L904" s="21"/>
      <c r="M904" s="23"/>
    </row>
    <row r="905" spans="1:13">
      <c r="A905" s="22"/>
      <c r="E905" s="21"/>
      <c r="F905" s="21"/>
      <c r="G905" s="21"/>
      <c r="I905" s="21"/>
      <c r="L905" s="21"/>
      <c r="M905" s="23"/>
    </row>
    <row r="906" spans="1:13">
      <c r="A906" s="22"/>
      <c r="E906" s="21"/>
      <c r="F906" s="21"/>
      <c r="G906" s="21"/>
      <c r="I906" s="21"/>
      <c r="L906" s="21"/>
      <c r="M906" s="23"/>
    </row>
    <row r="907" spans="1:13">
      <c r="A907" s="22"/>
      <c r="E907" s="21"/>
      <c r="F907" s="21"/>
      <c r="G907" s="21"/>
      <c r="I907" s="21"/>
      <c r="L907" s="21"/>
      <c r="M907" s="23"/>
    </row>
    <row r="908" spans="1:13">
      <c r="A908" s="22"/>
      <c r="E908" s="21"/>
      <c r="F908" s="21"/>
      <c r="G908" s="21"/>
      <c r="I908" s="21"/>
      <c r="L908" s="21"/>
      <c r="M908" s="23"/>
    </row>
    <row r="909" spans="1:13">
      <c r="A909" s="22"/>
      <c r="E909" s="21"/>
      <c r="F909" s="21"/>
      <c r="G909" s="21"/>
      <c r="I909" s="21"/>
      <c r="L909" s="21"/>
      <c r="M909" s="23"/>
    </row>
    <row r="910" spans="1:13">
      <c r="A910" s="22"/>
      <c r="E910" s="21"/>
      <c r="F910" s="21"/>
      <c r="G910" s="21"/>
      <c r="I910" s="21"/>
      <c r="L910" s="21"/>
      <c r="M910" s="23"/>
    </row>
    <row r="911" spans="1:13">
      <c r="A911" s="22"/>
      <c r="E911" s="21"/>
      <c r="F911" s="21"/>
      <c r="G911" s="21"/>
      <c r="I911" s="21"/>
      <c r="L911" s="21"/>
      <c r="M911" s="23"/>
    </row>
    <row r="912" spans="1:13">
      <c r="A912" s="22"/>
      <c r="E912" s="21"/>
      <c r="F912" s="21"/>
      <c r="G912" s="21"/>
      <c r="I912" s="21"/>
      <c r="L912" s="21"/>
      <c r="M912" s="23"/>
    </row>
    <row r="913" spans="1:13">
      <c r="A913" s="22"/>
      <c r="E913" s="21"/>
      <c r="F913" s="21"/>
      <c r="G913" s="21"/>
      <c r="I913" s="21"/>
      <c r="L913" s="21"/>
      <c r="M913" s="23"/>
    </row>
    <row r="914" spans="1:13">
      <c r="A914" s="22"/>
      <c r="E914" s="21"/>
      <c r="F914" s="21"/>
      <c r="G914" s="21"/>
      <c r="I914" s="21"/>
      <c r="L914" s="21"/>
      <c r="M914" s="23"/>
    </row>
    <row r="915" spans="1:13">
      <c r="A915" s="22"/>
      <c r="E915" s="21"/>
      <c r="F915" s="21"/>
      <c r="G915" s="21"/>
      <c r="I915" s="21"/>
      <c r="L915" s="21"/>
      <c r="M915" s="23"/>
    </row>
    <row r="916" spans="1:13">
      <c r="A916" s="22"/>
      <c r="E916" s="21"/>
      <c r="F916" s="21"/>
      <c r="G916" s="21"/>
      <c r="I916" s="21"/>
      <c r="L916" s="21"/>
      <c r="M916" s="23"/>
    </row>
    <row r="917" spans="1:13">
      <c r="A917" s="22"/>
      <c r="E917" s="21"/>
      <c r="F917" s="21"/>
      <c r="G917" s="21"/>
      <c r="I917" s="21"/>
      <c r="L917" s="21"/>
      <c r="M917" s="23"/>
    </row>
    <row r="918" spans="1:13">
      <c r="A918" s="22"/>
      <c r="E918" s="21"/>
      <c r="F918" s="21"/>
      <c r="G918" s="21"/>
      <c r="I918" s="21"/>
      <c r="L918" s="21"/>
      <c r="M918" s="23"/>
    </row>
    <row r="919" spans="1:13">
      <c r="A919" s="22"/>
      <c r="E919" s="21"/>
      <c r="F919" s="21"/>
      <c r="G919" s="21"/>
      <c r="I919" s="21"/>
      <c r="L919" s="21"/>
      <c r="M919" s="23"/>
    </row>
    <row r="920" spans="1:13">
      <c r="A920" s="22"/>
      <c r="E920" s="21"/>
      <c r="F920" s="21"/>
      <c r="G920" s="21"/>
      <c r="I920" s="21"/>
      <c r="L920" s="21"/>
      <c r="M920" s="23"/>
    </row>
    <row r="921" spans="1:13">
      <c r="A921" s="22"/>
      <c r="E921" s="21"/>
      <c r="F921" s="21"/>
      <c r="G921" s="21"/>
      <c r="I921" s="21"/>
      <c r="L921" s="21"/>
      <c r="M921" s="23"/>
    </row>
    <row r="922" spans="1:13">
      <c r="A922" s="22"/>
      <c r="E922" s="21"/>
      <c r="F922" s="21"/>
      <c r="G922" s="21"/>
      <c r="I922" s="21"/>
      <c r="L922" s="21"/>
      <c r="M922" s="23"/>
    </row>
    <row r="923" spans="1:13">
      <c r="A923" s="22"/>
      <c r="E923" s="21"/>
      <c r="F923" s="21"/>
      <c r="G923" s="21"/>
      <c r="I923" s="21"/>
      <c r="L923" s="21"/>
      <c r="M923" s="23"/>
    </row>
    <row r="924" spans="1:13">
      <c r="A924" s="22"/>
      <c r="E924" s="21"/>
      <c r="F924" s="21"/>
      <c r="G924" s="21"/>
      <c r="I924" s="21"/>
      <c r="L924" s="21"/>
      <c r="M924" s="23"/>
    </row>
    <row r="925" spans="1:13">
      <c r="A925" s="22"/>
      <c r="E925" s="21"/>
      <c r="F925" s="21"/>
      <c r="G925" s="21"/>
      <c r="I925" s="21"/>
      <c r="L925" s="21"/>
      <c r="M925" s="23"/>
    </row>
    <row r="926" spans="1:13">
      <c r="A926" s="22"/>
      <c r="E926" s="21"/>
      <c r="F926" s="21"/>
      <c r="G926" s="21"/>
      <c r="I926" s="21"/>
      <c r="L926" s="21"/>
      <c r="M926" s="23"/>
    </row>
    <row r="927" spans="1:13">
      <c r="A927" s="22"/>
      <c r="E927" s="21"/>
      <c r="F927" s="21"/>
      <c r="G927" s="21"/>
      <c r="I927" s="21"/>
      <c r="L927" s="21"/>
      <c r="M927" s="23"/>
    </row>
    <row r="928" spans="1:13">
      <c r="A928" s="22"/>
      <c r="E928" s="21"/>
      <c r="F928" s="21"/>
      <c r="G928" s="21"/>
      <c r="I928" s="21"/>
      <c r="L928" s="21"/>
      <c r="M928" s="23"/>
    </row>
    <row r="929" spans="1:13">
      <c r="A929" s="22"/>
      <c r="E929" s="21"/>
      <c r="F929" s="21"/>
      <c r="G929" s="21"/>
      <c r="I929" s="21"/>
      <c r="L929" s="21"/>
      <c r="M929" s="23"/>
    </row>
    <row r="930" spans="1:13">
      <c r="A930" s="22"/>
      <c r="E930" s="21"/>
      <c r="F930" s="21"/>
      <c r="G930" s="21"/>
      <c r="I930" s="21"/>
      <c r="L930" s="21"/>
      <c r="M930" s="23"/>
    </row>
    <row r="931" spans="1:13">
      <c r="A931" s="22"/>
      <c r="E931" s="21"/>
      <c r="F931" s="21"/>
      <c r="G931" s="21"/>
      <c r="I931" s="21"/>
      <c r="L931" s="21"/>
      <c r="M931" s="23"/>
    </row>
    <row r="932" spans="1:13">
      <c r="A932" s="22"/>
      <c r="E932" s="21"/>
      <c r="F932" s="21"/>
      <c r="G932" s="21"/>
      <c r="I932" s="21"/>
      <c r="L932" s="21"/>
      <c r="M932" s="23"/>
    </row>
    <row r="933" spans="1:13">
      <c r="A933" s="22"/>
      <c r="E933" s="21"/>
      <c r="F933" s="21"/>
      <c r="G933" s="21"/>
      <c r="I933" s="21"/>
      <c r="L933" s="21"/>
      <c r="M933" s="23"/>
    </row>
    <row r="934" spans="1:13">
      <c r="A934" s="22"/>
      <c r="E934" s="21"/>
      <c r="F934" s="21"/>
      <c r="G934" s="21"/>
      <c r="I934" s="21"/>
      <c r="L934" s="21"/>
      <c r="M934" s="23"/>
    </row>
    <row r="935" spans="1:13">
      <c r="A935" s="22"/>
      <c r="E935" s="21"/>
      <c r="F935" s="21"/>
      <c r="G935" s="21"/>
      <c r="I935" s="21"/>
      <c r="L935" s="21"/>
      <c r="M935" s="23"/>
    </row>
    <row r="936" spans="1:13">
      <c r="A936" s="22"/>
      <c r="E936" s="21"/>
      <c r="F936" s="21"/>
      <c r="G936" s="21"/>
      <c r="I936" s="21"/>
      <c r="L936" s="21"/>
      <c r="M936" s="23"/>
    </row>
    <row r="937" spans="1:13">
      <c r="A937" s="22"/>
      <c r="E937" s="21"/>
      <c r="F937" s="21"/>
      <c r="G937" s="21"/>
      <c r="I937" s="21"/>
      <c r="L937" s="21"/>
      <c r="M937" s="23"/>
    </row>
    <row r="938" spans="1:13">
      <c r="A938" s="22"/>
      <c r="E938" s="21"/>
      <c r="F938" s="21"/>
      <c r="G938" s="21"/>
      <c r="I938" s="21"/>
      <c r="L938" s="21"/>
      <c r="M938" s="23"/>
    </row>
    <row r="939" spans="1:13">
      <c r="A939" s="22"/>
      <c r="E939" s="21"/>
      <c r="F939" s="21"/>
      <c r="G939" s="21"/>
      <c r="I939" s="21"/>
      <c r="L939" s="21"/>
      <c r="M939" s="23"/>
    </row>
    <row r="940" spans="1:13">
      <c r="A940" s="22"/>
      <c r="E940" s="21"/>
      <c r="F940" s="21"/>
      <c r="G940" s="21"/>
      <c r="I940" s="21"/>
      <c r="L940" s="21"/>
      <c r="M940" s="23"/>
    </row>
    <row r="941" spans="1:13">
      <c r="A941" s="22"/>
      <c r="E941" s="21"/>
      <c r="F941" s="21"/>
      <c r="G941" s="21"/>
      <c r="I941" s="21"/>
      <c r="L941" s="21"/>
      <c r="M941" s="23"/>
    </row>
    <row r="942" spans="1:13">
      <c r="A942" s="22"/>
      <c r="E942" s="21"/>
      <c r="F942" s="21"/>
      <c r="G942" s="21"/>
      <c r="I942" s="21"/>
      <c r="L942" s="21"/>
      <c r="M942" s="23"/>
    </row>
    <row r="943" spans="1:13">
      <c r="A943" s="22"/>
      <c r="E943" s="21"/>
      <c r="F943" s="21"/>
      <c r="G943" s="21"/>
      <c r="I943" s="21"/>
      <c r="L943" s="21"/>
      <c r="M943" s="23"/>
    </row>
    <row r="944" spans="1:13">
      <c r="A944" s="22"/>
      <c r="E944" s="21"/>
      <c r="F944" s="21"/>
      <c r="G944" s="21"/>
      <c r="I944" s="21"/>
      <c r="L944" s="21"/>
      <c r="M944" s="23"/>
    </row>
    <row r="945" spans="1:13">
      <c r="A945" s="22"/>
      <c r="E945" s="21"/>
      <c r="F945" s="21"/>
      <c r="G945" s="21"/>
      <c r="I945" s="21"/>
      <c r="L945" s="21"/>
      <c r="M945" s="23"/>
    </row>
    <row r="946" spans="1:13">
      <c r="A946" s="22"/>
      <c r="E946" s="21"/>
      <c r="F946" s="21"/>
      <c r="G946" s="21"/>
      <c r="I946" s="21"/>
      <c r="L946" s="21"/>
      <c r="M946" s="23"/>
    </row>
    <row r="947" spans="1:13">
      <c r="A947" s="22"/>
      <c r="E947" s="21"/>
      <c r="F947" s="21"/>
      <c r="G947" s="21"/>
      <c r="I947" s="21"/>
      <c r="L947" s="21"/>
      <c r="M947" s="23"/>
    </row>
    <row r="948" spans="1:13">
      <c r="A948" s="22"/>
      <c r="E948" s="21"/>
      <c r="F948" s="21"/>
      <c r="G948" s="21"/>
      <c r="I948" s="21"/>
      <c r="L948" s="21"/>
      <c r="M948" s="23"/>
    </row>
    <row r="949" spans="1:13">
      <c r="A949" s="22"/>
      <c r="E949" s="21"/>
      <c r="F949" s="21"/>
      <c r="G949" s="21"/>
      <c r="I949" s="21"/>
      <c r="L949" s="21"/>
      <c r="M949" s="23"/>
    </row>
    <row r="950" spans="1:13">
      <c r="A950" s="22"/>
      <c r="E950" s="21"/>
      <c r="F950" s="21"/>
      <c r="G950" s="21"/>
      <c r="I950" s="21"/>
      <c r="L950" s="21"/>
      <c r="M950" s="23"/>
    </row>
    <row r="951" spans="1:13">
      <c r="A951" s="22"/>
      <c r="E951" s="21"/>
      <c r="F951" s="21"/>
      <c r="G951" s="21"/>
      <c r="I951" s="21"/>
      <c r="L951" s="21"/>
      <c r="M951" s="23"/>
    </row>
    <row r="952" spans="1:13">
      <c r="A952" s="22"/>
      <c r="E952" s="21"/>
      <c r="F952" s="21"/>
      <c r="G952" s="21"/>
      <c r="I952" s="21"/>
      <c r="L952" s="21"/>
      <c r="M952" s="23"/>
    </row>
    <row r="953" spans="1:13">
      <c r="A953" s="22"/>
      <c r="E953" s="21"/>
      <c r="F953" s="21"/>
      <c r="G953" s="21"/>
      <c r="I953" s="21"/>
      <c r="L953" s="21"/>
      <c r="M953" s="23"/>
    </row>
    <row r="954" spans="1:13">
      <c r="A954" s="22"/>
      <c r="E954" s="21"/>
      <c r="F954" s="21"/>
      <c r="G954" s="21"/>
      <c r="I954" s="21"/>
      <c r="L954" s="21"/>
      <c r="M954" s="23"/>
    </row>
    <row r="955" spans="1:13">
      <c r="A955" s="22"/>
      <c r="E955" s="21"/>
      <c r="F955" s="21"/>
      <c r="G955" s="21"/>
      <c r="I955" s="21"/>
      <c r="L955" s="21"/>
      <c r="M955" s="23"/>
    </row>
    <row r="956" spans="1:13">
      <c r="A956" s="22"/>
      <c r="E956" s="21"/>
      <c r="F956" s="21"/>
      <c r="G956" s="21"/>
      <c r="I956" s="21"/>
      <c r="L956" s="21"/>
      <c r="M956" s="23"/>
    </row>
    <row r="957" spans="1:13">
      <c r="A957" s="22"/>
      <c r="E957" s="21"/>
      <c r="F957" s="21"/>
      <c r="G957" s="21"/>
      <c r="I957" s="21"/>
      <c r="L957" s="21"/>
      <c r="M957" s="23"/>
    </row>
    <row r="958" spans="1:13">
      <c r="A958" s="22"/>
      <c r="E958" s="21"/>
      <c r="F958" s="21"/>
      <c r="G958" s="21"/>
      <c r="I958" s="21"/>
      <c r="L958" s="21"/>
      <c r="M958" s="23"/>
    </row>
    <row r="959" spans="1:13">
      <c r="A959" s="22"/>
      <c r="E959" s="21"/>
      <c r="F959" s="21"/>
      <c r="G959" s="21"/>
      <c r="I959" s="21"/>
      <c r="L959" s="21"/>
      <c r="M959" s="23"/>
    </row>
    <row r="960" spans="1:13">
      <c r="A960" s="22"/>
      <c r="E960" s="21"/>
      <c r="F960" s="21"/>
      <c r="G960" s="21"/>
      <c r="I960" s="21"/>
      <c r="L960" s="21"/>
      <c r="M960" s="23"/>
    </row>
    <row r="961" spans="1:13">
      <c r="A961" s="22"/>
      <c r="E961" s="21"/>
      <c r="F961" s="21"/>
      <c r="G961" s="21"/>
      <c r="I961" s="21"/>
      <c r="L961" s="21"/>
      <c r="M961" s="23"/>
    </row>
    <row r="962" spans="1:13">
      <c r="A962" s="22"/>
      <c r="E962" s="21"/>
      <c r="F962" s="21"/>
      <c r="G962" s="21"/>
      <c r="I962" s="21"/>
      <c r="L962" s="21"/>
      <c r="M962" s="23"/>
    </row>
    <row r="963" spans="1:13">
      <c r="A963" s="22"/>
      <c r="E963" s="21"/>
      <c r="F963" s="21"/>
      <c r="G963" s="21"/>
      <c r="I963" s="21"/>
      <c r="L963" s="21"/>
      <c r="M963" s="23"/>
    </row>
    <row r="964" spans="1:13">
      <c r="A964" s="22"/>
      <c r="E964" s="21"/>
      <c r="F964" s="21"/>
      <c r="G964" s="21"/>
      <c r="I964" s="21"/>
      <c r="L964" s="21"/>
      <c r="M964" s="23"/>
    </row>
    <row r="965" spans="1:13">
      <c r="A965" s="22"/>
      <c r="E965" s="21"/>
      <c r="F965" s="21"/>
      <c r="G965" s="21"/>
      <c r="I965" s="21"/>
      <c r="L965" s="21"/>
      <c r="M965" s="23"/>
    </row>
    <row r="966" spans="1:13">
      <c r="A966" s="22"/>
      <c r="E966" s="21"/>
      <c r="F966" s="21"/>
      <c r="G966" s="21"/>
      <c r="I966" s="21"/>
      <c r="L966" s="21"/>
      <c r="M966" s="23"/>
    </row>
    <row r="967" spans="1:13">
      <c r="A967" s="22"/>
      <c r="E967" s="21"/>
      <c r="F967" s="21"/>
      <c r="G967" s="21"/>
      <c r="I967" s="21"/>
      <c r="L967" s="21"/>
      <c r="M967" s="23"/>
    </row>
    <row r="968" spans="1:13">
      <c r="A968" s="22"/>
      <c r="E968" s="21"/>
      <c r="F968" s="21"/>
      <c r="G968" s="21"/>
      <c r="I968" s="21"/>
      <c r="L968" s="21"/>
      <c r="M968" s="23"/>
    </row>
    <row r="969" spans="1:13">
      <c r="A969" s="22"/>
      <c r="E969" s="21"/>
      <c r="F969" s="21"/>
      <c r="G969" s="21"/>
      <c r="I969" s="21"/>
      <c r="L969" s="21"/>
      <c r="M969" s="23"/>
    </row>
    <row r="970" spans="1:13">
      <c r="A970" s="22"/>
      <c r="E970" s="21"/>
      <c r="F970" s="21"/>
      <c r="G970" s="21"/>
      <c r="I970" s="21"/>
      <c r="L970" s="21"/>
      <c r="M970" s="23"/>
    </row>
    <row r="971" spans="1:13">
      <c r="A971" s="22"/>
      <c r="E971" s="21"/>
      <c r="F971" s="21"/>
      <c r="G971" s="21"/>
      <c r="I971" s="21"/>
      <c r="L971" s="21"/>
      <c r="M971" s="23"/>
    </row>
    <row r="972" spans="1:13">
      <c r="A972" s="22"/>
      <c r="E972" s="21"/>
      <c r="F972" s="21"/>
      <c r="G972" s="21"/>
      <c r="I972" s="21"/>
      <c r="L972" s="21"/>
      <c r="M972" s="23"/>
    </row>
    <row r="973" spans="1:13">
      <c r="A973" s="22"/>
      <c r="E973" s="21"/>
      <c r="F973" s="21"/>
      <c r="G973" s="21"/>
      <c r="I973" s="21"/>
      <c r="L973" s="21"/>
      <c r="M973" s="23"/>
    </row>
    <row r="974" spans="1:13">
      <c r="A974" s="22"/>
      <c r="E974" s="21"/>
      <c r="F974" s="21"/>
      <c r="G974" s="21"/>
      <c r="I974" s="21"/>
      <c r="L974" s="21"/>
      <c r="M974" s="23"/>
    </row>
    <row r="975" spans="1:13">
      <c r="A975" s="22"/>
      <c r="E975" s="21"/>
      <c r="F975" s="21"/>
      <c r="G975" s="21"/>
      <c r="I975" s="21"/>
      <c r="L975" s="21"/>
      <c r="M975" s="23"/>
    </row>
    <row r="976" spans="1:13">
      <c r="A976" s="22"/>
      <c r="E976" s="21"/>
      <c r="F976" s="21"/>
      <c r="G976" s="21"/>
      <c r="I976" s="21"/>
      <c r="L976" s="21"/>
      <c r="M976" s="23"/>
    </row>
    <row r="977" spans="1:13">
      <c r="A977" s="22"/>
      <c r="E977" s="21"/>
      <c r="F977" s="21"/>
      <c r="G977" s="21"/>
      <c r="I977" s="21"/>
      <c r="L977" s="21"/>
      <c r="M977" s="23"/>
    </row>
    <row r="978" spans="1:13">
      <c r="A978" s="22"/>
      <c r="E978" s="21"/>
      <c r="F978" s="21"/>
      <c r="G978" s="21"/>
      <c r="I978" s="21"/>
      <c r="L978" s="21"/>
      <c r="M978" s="23"/>
    </row>
    <row r="979" spans="1:13">
      <c r="A979" s="22"/>
      <c r="E979" s="21"/>
      <c r="F979" s="21"/>
      <c r="G979" s="21"/>
      <c r="I979" s="21"/>
      <c r="L979" s="21"/>
      <c r="M979" s="23"/>
    </row>
    <row r="980" spans="1:13">
      <c r="A980" s="22"/>
      <c r="E980" s="21"/>
      <c r="F980" s="21"/>
      <c r="G980" s="21"/>
      <c r="I980" s="21"/>
      <c r="L980" s="21"/>
      <c r="M980" s="23"/>
    </row>
    <row r="981" spans="1:13">
      <c r="A981" s="22"/>
      <c r="E981" s="21"/>
      <c r="F981" s="21"/>
      <c r="G981" s="21"/>
      <c r="I981" s="21"/>
      <c r="L981" s="21"/>
      <c r="M981" s="23"/>
    </row>
    <row r="982" spans="1:13">
      <c r="A982" s="22"/>
      <c r="E982" s="21"/>
      <c r="F982" s="21"/>
      <c r="G982" s="21"/>
      <c r="I982" s="21"/>
      <c r="L982" s="21"/>
      <c r="M982" s="23"/>
    </row>
    <row r="983" spans="1:13">
      <c r="A983" s="22"/>
      <c r="E983" s="21"/>
      <c r="F983" s="21"/>
      <c r="G983" s="21"/>
      <c r="I983" s="21"/>
      <c r="L983" s="21"/>
      <c r="M983" s="23"/>
    </row>
    <row r="984" spans="1:13">
      <c r="A984" s="22"/>
      <c r="E984" s="21"/>
      <c r="F984" s="21"/>
      <c r="G984" s="21"/>
      <c r="I984" s="21"/>
      <c r="L984" s="21"/>
      <c r="M984" s="23"/>
    </row>
    <row r="985" spans="1:13">
      <c r="A985" s="22"/>
      <c r="E985" s="21"/>
      <c r="F985" s="21"/>
      <c r="G985" s="21"/>
      <c r="I985" s="21"/>
      <c r="L985" s="21"/>
      <c r="M985" s="23"/>
    </row>
    <row r="986" spans="1:13">
      <c r="A986" s="22"/>
      <c r="E986" s="21"/>
      <c r="F986" s="21"/>
      <c r="G986" s="21"/>
      <c r="I986" s="21"/>
      <c r="L986" s="21"/>
      <c r="M986" s="23"/>
    </row>
    <row r="987" spans="1:13">
      <c r="A987" s="22"/>
      <c r="E987" s="21"/>
      <c r="F987" s="21"/>
      <c r="G987" s="21"/>
      <c r="I987" s="21"/>
      <c r="L987" s="21"/>
      <c r="M987" s="23"/>
    </row>
    <row r="988" spans="1:13">
      <c r="A988" s="22"/>
      <c r="E988" s="21"/>
      <c r="F988" s="21"/>
      <c r="G988" s="21"/>
      <c r="I988" s="21"/>
      <c r="L988" s="21"/>
      <c r="M988" s="23"/>
    </row>
    <row r="989" spans="1:13">
      <c r="A989" s="22"/>
      <c r="E989" s="21"/>
      <c r="F989" s="21"/>
      <c r="G989" s="21"/>
      <c r="I989" s="21"/>
      <c r="L989" s="21"/>
      <c r="M989" s="23"/>
    </row>
    <row r="990" spans="1:13">
      <c r="A990" s="22"/>
      <c r="E990" s="21"/>
      <c r="F990" s="21"/>
      <c r="G990" s="21"/>
      <c r="I990" s="21"/>
      <c r="L990" s="21"/>
      <c r="M990" s="23"/>
    </row>
    <row r="991" spans="1:13">
      <c r="A991" s="22"/>
      <c r="E991" s="21"/>
      <c r="F991" s="21"/>
      <c r="G991" s="21"/>
      <c r="I991" s="21"/>
      <c r="L991" s="21"/>
      <c r="M991" s="23"/>
    </row>
    <row r="992" spans="1:13">
      <c r="A992" s="22"/>
      <c r="E992" s="21"/>
      <c r="F992" s="21"/>
      <c r="G992" s="21"/>
      <c r="I992" s="21"/>
      <c r="L992" s="21"/>
      <c r="M992" s="23"/>
    </row>
    <row r="993" spans="1:13">
      <c r="A993" s="22"/>
      <c r="E993" s="21"/>
      <c r="F993" s="21"/>
      <c r="G993" s="21"/>
      <c r="I993" s="21"/>
      <c r="L993" s="21"/>
      <c r="M993" s="23"/>
    </row>
    <row r="994" spans="1:13">
      <c r="A994" s="22"/>
      <c r="E994" s="21"/>
      <c r="F994" s="21"/>
      <c r="G994" s="21"/>
      <c r="I994" s="21"/>
      <c r="L994" s="21"/>
      <c r="M994" s="23"/>
    </row>
    <row r="995" spans="1:13">
      <c r="A995" s="22"/>
      <c r="E995" s="21"/>
      <c r="F995" s="21"/>
      <c r="G995" s="21"/>
      <c r="I995" s="21"/>
      <c r="L995" s="21"/>
      <c r="M995" s="23"/>
    </row>
    <row r="996" spans="1:13">
      <c r="A996" s="22"/>
      <c r="E996" s="21"/>
      <c r="F996" s="21"/>
      <c r="G996" s="21"/>
      <c r="I996" s="21"/>
      <c r="L996" s="21"/>
      <c r="M996" s="23"/>
    </row>
    <row r="997" spans="1:13">
      <c r="A997" s="22"/>
      <c r="E997" s="21"/>
      <c r="F997" s="21"/>
      <c r="G997" s="21"/>
      <c r="I997" s="21"/>
      <c r="L997" s="21"/>
      <c r="M997" s="23"/>
    </row>
    <row r="998" spans="1:13">
      <c r="A998" s="22"/>
      <c r="E998" s="21"/>
      <c r="F998" s="21"/>
      <c r="G998" s="21"/>
      <c r="I998" s="21"/>
      <c r="L998" s="21"/>
      <c r="M998" s="23"/>
    </row>
    <row r="999" spans="1:13">
      <c r="A999" s="22"/>
      <c r="E999" s="21"/>
      <c r="F999" s="21"/>
      <c r="G999" s="21"/>
      <c r="I999" s="21"/>
      <c r="L999" s="21"/>
      <c r="M999" s="23"/>
    </row>
    <row r="1000" spans="1:13">
      <c r="A1000" s="22"/>
      <c r="E1000" s="21"/>
      <c r="F1000" s="21"/>
      <c r="G1000" s="21"/>
      <c r="I1000" s="21"/>
      <c r="L1000" s="21"/>
      <c r="M1000" s="23"/>
    </row>
    <row r="1001" spans="1:13">
      <c r="A1001" s="22"/>
      <c r="E1001" s="21"/>
      <c r="F1001" s="21"/>
      <c r="G1001" s="21"/>
      <c r="I1001" s="21"/>
      <c r="L1001" s="21"/>
      <c r="M1001" s="23"/>
    </row>
    <row r="1002" spans="1:13">
      <c r="A1002" s="22"/>
      <c r="E1002" s="21"/>
      <c r="F1002" s="21"/>
      <c r="G1002" s="21"/>
      <c r="I1002" s="21"/>
      <c r="L1002" s="21"/>
      <c r="M1002" s="23"/>
    </row>
    <row r="1003" spans="1:13">
      <c r="A1003" s="22"/>
      <c r="E1003" s="21"/>
      <c r="F1003" s="21"/>
      <c r="G1003" s="21"/>
      <c r="I1003" s="21"/>
      <c r="L1003" s="21"/>
      <c r="M1003" s="23"/>
    </row>
    <row r="1004" spans="1:13">
      <c r="A1004" s="22"/>
      <c r="E1004" s="21"/>
      <c r="F1004" s="21"/>
      <c r="G1004" s="21"/>
      <c r="I1004" s="21"/>
      <c r="L1004" s="21"/>
      <c r="M1004" s="23"/>
    </row>
    <row r="1005" spans="1:13">
      <c r="A1005" s="22"/>
      <c r="E1005" s="21"/>
      <c r="F1005" s="21"/>
      <c r="G1005" s="21"/>
      <c r="I1005" s="21"/>
      <c r="L1005" s="21"/>
      <c r="M1005" s="23"/>
    </row>
    <row r="1006" spans="1:13">
      <c r="A1006" s="22"/>
      <c r="E1006" s="21"/>
      <c r="F1006" s="21"/>
      <c r="G1006" s="21"/>
      <c r="I1006" s="21"/>
      <c r="L1006" s="21"/>
      <c r="M1006" s="23"/>
    </row>
    <row r="1007" spans="1:13">
      <c r="A1007" s="22"/>
      <c r="E1007" s="21"/>
      <c r="F1007" s="21"/>
      <c r="G1007" s="21"/>
      <c r="I1007" s="21"/>
      <c r="L1007" s="21"/>
      <c r="M1007" s="23"/>
    </row>
    <row r="1008" spans="1:13">
      <c r="A1008" s="22"/>
      <c r="E1008" s="21"/>
      <c r="F1008" s="21"/>
      <c r="G1008" s="21"/>
      <c r="I1008" s="21"/>
      <c r="L1008" s="21"/>
      <c r="M1008" s="23"/>
    </row>
    <row r="1009" spans="1:13">
      <c r="A1009" s="22"/>
      <c r="E1009" s="21"/>
      <c r="F1009" s="21"/>
      <c r="G1009" s="21"/>
      <c r="I1009" s="21"/>
      <c r="L1009" s="21"/>
      <c r="M1009" s="23"/>
    </row>
    <row r="1010" spans="1:13">
      <c r="A1010" s="22"/>
      <c r="E1010" s="21"/>
      <c r="F1010" s="21"/>
      <c r="G1010" s="21"/>
      <c r="I1010" s="21"/>
      <c r="L1010" s="21"/>
      <c r="M1010" s="23"/>
    </row>
    <row r="1011" spans="1:13">
      <c r="A1011" s="22"/>
      <c r="E1011" s="21"/>
      <c r="F1011" s="21"/>
      <c r="G1011" s="21"/>
      <c r="I1011" s="21"/>
      <c r="L1011" s="21"/>
      <c r="M1011" s="23"/>
    </row>
    <row r="1012" spans="1:13">
      <c r="A1012" s="22"/>
      <c r="E1012" s="21"/>
      <c r="F1012" s="21"/>
      <c r="G1012" s="21"/>
      <c r="I1012" s="21"/>
      <c r="L1012" s="21"/>
      <c r="M1012" s="23"/>
    </row>
    <row r="1013" spans="1:13">
      <c r="A1013" s="22"/>
      <c r="E1013" s="21"/>
      <c r="F1013" s="21"/>
      <c r="G1013" s="21"/>
      <c r="I1013" s="21"/>
      <c r="L1013" s="21"/>
      <c r="M1013" s="23"/>
    </row>
    <row r="1014" spans="1:13">
      <c r="A1014" s="22"/>
      <c r="E1014" s="21"/>
      <c r="F1014" s="21"/>
      <c r="G1014" s="21"/>
      <c r="I1014" s="21"/>
      <c r="L1014" s="21"/>
      <c r="M1014" s="23"/>
    </row>
    <row r="1015" spans="1:13">
      <c r="A1015" s="22"/>
      <c r="E1015" s="21"/>
      <c r="F1015" s="21"/>
      <c r="G1015" s="21"/>
      <c r="I1015" s="21"/>
      <c r="L1015" s="21"/>
      <c r="M1015" s="23"/>
    </row>
    <row r="1016" spans="1:13">
      <c r="A1016" s="22"/>
      <c r="E1016" s="21"/>
      <c r="F1016" s="21"/>
      <c r="G1016" s="21"/>
      <c r="I1016" s="21"/>
      <c r="L1016" s="21"/>
      <c r="M1016" s="23"/>
    </row>
    <row r="1017" spans="1:13">
      <c r="A1017" s="22"/>
      <c r="E1017" s="21"/>
      <c r="F1017" s="21"/>
      <c r="G1017" s="21"/>
      <c r="I1017" s="21"/>
      <c r="L1017" s="21"/>
      <c r="M1017" s="23"/>
    </row>
    <row r="1018" spans="1:13">
      <c r="A1018" s="22"/>
      <c r="E1018" s="21"/>
      <c r="F1018" s="21"/>
      <c r="G1018" s="21"/>
      <c r="I1018" s="21"/>
      <c r="L1018" s="21"/>
      <c r="M1018" s="23"/>
    </row>
    <row r="1019" spans="1:13">
      <c r="A1019" s="22"/>
      <c r="E1019" s="21"/>
      <c r="F1019" s="21"/>
      <c r="G1019" s="21"/>
      <c r="I1019" s="21"/>
      <c r="L1019" s="21"/>
      <c r="M1019" s="23"/>
    </row>
  </sheetData>
  <autoFilter ref="A1:Q71" xr:uid="{00000000-0009-0000-0000-00000A000000}"/>
  <customSheetViews>
    <customSheetView guid="{F486ED3F-27E8-41EE-BCEB-D5D4C75553F8}" filter="1" showAutoFilter="1">
      <pageMargins left="0.7" right="0.7" top="0.75" bottom="0.75" header="0.3" footer="0.3"/>
      <autoFilter ref="A1:Q71" xr:uid="{34CC91E3-234E-4532-892E-DC54A3AD0551}">
        <filterColumn colId="4">
          <customFilters>
            <customFilter operator="lessThanOrEqual" val="99"/>
          </customFilters>
        </filterColumn>
      </autoFilter>
    </customSheetView>
  </customSheetView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Q1019"/>
  <sheetViews>
    <sheetView workbookViewId="0">
      <pane xSplit="11" ySplit="1" topLeftCell="L2" activePane="bottomRight" state="frozen"/>
      <selection pane="topRight" activeCell="L1" sqref="L1"/>
      <selection pane="bottomLeft" activeCell="A2" sqref="A2"/>
      <selection pane="bottomRight" activeCell="L2" sqref="L2"/>
    </sheetView>
  </sheetViews>
  <sheetFormatPr defaultColWidth="12.5703125" defaultRowHeight="15.75" customHeight="1"/>
  <cols>
    <col min="1" max="1" width="10.140625" customWidth="1"/>
    <col min="2" max="2" width="15.42578125" customWidth="1"/>
    <col min="3" max="3" width="17.28515625" customWidth="1"/>
    <col min="4" max="4" width="13.5703125" customWidth="1"/>
    <col min="5" max="6" width="7.5703125" customWidth="1"/>
    <col min="7" max="7" width="9" customWidth="1"/>
    <col min="8" max="8" width="14.42578125" customWidth="1"/>
    <col min="9" max="9" width="9.42578125" customWidth="1"/>
    <col min="10" max="10" width="11.5703125" customWidth="1"/>
    <col min="11" max="11" width="38.5703125" customWidth="1"/>
    <col min="12" max="12" width="12.140625" customWidth="1"/>
    <col min="13" max="13" width="13.42578125" customWidth="1"/>
    <col min="14" max="14" width="27" customWidth="1"/>
    <col min="15" max="15" width="55.28515625" customWidth="1"/>
    <col min="16" max="16" width="93.7109375" customWidth="1"/>
    <col min="17" max="17" width="25.42578125" customWidth="1"/>
  </cols>
  <sheetData>
    <row r="1" spans="1:17">
      <c r="A1" s="24" t="s">
        <v>25</v>
      </c>
      <c r="B1" s="5" t="s">
        <v>1750</v>
      </c>
      <c r="C1" s="5" t="s">
        <v>1825</v>
      </c>
      <c r="D1" s="5" t="s">
        <v>1766</v>
      </c>
      <c r="E1" s="16" t="s">
        <v>1</v>
      </c>
      <c r="F1" s="16" t="s">
        <v>1767</v>
      </c>
      <c r="G1" s="16" t="s">
        <v>1768</v>
      </c>
      <c r="H1" s="5" t="s">
        <v>1769</v>
      </c>
      <c r="I1" s="16" t="s">
        <v>1770</v>
      </c>
      <c r="J1" s="5" t="s">
        <v>400</v>
      </c>
      <c r="K1" s="5" t="s">
        <v>1771</v>
      </c>
      <c r="L1" s="16" t="s">
        <v>1772</v>
      </c>
      <c r="M1" s="17" t="s">
        <v>1765</v>
      </c>
      <c r="N1" s="5" t="s">
        <v>1773</v>
      </c>
      <c r="O1" s="3" t="s">
        <v>1774</v>
      </c>
      <c r="P1" s="25" t="s">
        <v>1775</v>
      </c>
      <c r="Q1" s="5" t="s">
        <v>1776</v>
      </c>
    </row>
    <row r="2" spans="1:17">
      <c r="A2" s="24">
        <v>1</v>
      </c>
      <c r="B2" s="5" t="s">
        <v>189</v>
      </c>
      <c r="C2" s="19" t="s">
        <v>1365</v>
      </c>
      <c r="D2" s="19" t="s">
        <v>54</v>
      </c>
      <c r="E2" s="5">
        <v>152</v>
      </c>
      <c r="F2" s="16">
        <v>127</v>
      </c>
      <c r="G2" s="5">
        <v>110</v>
      </c>
      <c r="H2" s="5" t="s">
        <v>327</v>
      </c>
      <c r="I2" s="16">
        <v>249</v>
      </c>
      <c r="J2" s="20">
        <v>0.85</v>
      </c>
      <c r="K2" s="19" t="s">
        <v>346</v>
      </c>
      <c r="L2" s="16">
        <f t="shared" ref="L2:L71" si="0">G2*I2</f>
        <v>27390</v>
      </c>
      <c r="M2" s="17">
        <f t="shared" ref="M2:M71" si="1">L2/E2</f>
        <v>180.19736842105263</v>
      </c>
      <c r="N2" s="5" t="s">
        <v>1910</v>
      </c>
      <c r="O2" s="5" t="str">
        <f ca="1">IFERROR(__xludf.DUMMYFUNCTION("TEXTJOIN("", "", TRUE, FILTER(PokemonList!$C:$C, (PokemonList!$B:$B=""6★"") * (BYROW(PokemonList!$D:$D, LAMBDA(row, OR(INDEX(ISNUMBER(SEARCH(SPLIT(row, ""/""), N2)))))))))"),"#N/A")</f>
        <v>#N/A</v>
      </c>
      <c r="P2" s="1" t="str">
        <f ca="1">IFERROR(__xludf.DUMMYFUNCTION("TEXTJOIN("", "", TRUE, FILTER(PokemonList!$C:$C, (PokemonList!$B:$B=""5★"") * (BYROW(PokemonList!$D:$D, LAMBDA(row, OR(INDEX(ISNUMBER(SEARCH(SPLIT(row, ""/""), N2)))))))))"),"#N/A")</f>
        <v>#N/A</v>
      </c>
      <c r="Q2" s="5"/>
    </row>
    <row r="3" spans="1:17">
      <c r="A3" s="24">
        <v>2</v>
      </c>
      <c r="B3" s="5" t="s">
        <v>192</v>
      </c>
      <c r="C3" s="19" t="s">
        <v>1366</v>
      </c>
      <c r="D3" s="19" t="s">
        <v>154</v>
      </c>
      <c r="E3" s="5">
        <v>152</v>
      </c>
      <c r="F3" s="16">
        <v>122</v>
      </c>
      <c r="G3" s="5">
        <v>110</v>
      </c>
      <c r="H3" s="5" t="s">
        <v>404</v>
      </c>
      <c r="I3" s="16">
        <v>200</v>
      </c>
      <c r="J3" s="20">
        <v>0.85</v>
      </c>
      <c r="K3" s="19" t="s">
        <v>1838</v>
      </c>
      <c r="L3" s="16">
        <f t="shared" si="0"/>
        <v>22000</v>
      </c>
      <c r="M3" s="17">
        <f t="shared" si="1"/>
        <v>144.73684210526315</v>
      </c>
      <c r="N3" s="5" t="s">
        <v>1910</v>
      </c>
      <c r="O3" s="5" t="str">
        <f ca="1">IFERROR(__xludf.DUMMYFUNCTION("TEXTJOIN("", "", TRUE, FILTER(PokemonList!$C:$C, (PokemonList!$B:$B=""6★"") * (BYROW(PokemonList!$D:$D, LAMBDA(row, OR(INDEX(ISNUMBER(SEARCH(SPLIT(row, ""/""), N3)))))))))"),"#N/A")</f>
        <v>#N/A</v>
      </c>
      <c r="P3" s="1" t="str">
        <f ca="1">IFERROR(__xludf.DUMMYFUNCTION("TEXTJOIN("", "", TRUE, FILTER(PokemonList!$C:$C, (PokemonList!$B:$B=""5★"") * (BYROW(PokemonList!$D:$D, LAMBDA(row, OR(INDEX(ISNUMBER(SEARCH(SPLIT(row, ""/""), N3)))))))))"),"#N/A")</f>
        <v>#N/A</v>
      </c>
      <c r="Q3" s="5"/>
    </row>
    <row r="4" spans="1:17">
      <c r="A4" s="24">
        <v>3</v>
      </c>
      <c r="B4" s="5" t="s">
        <v>194</v>
      </c>
      <c r="C4" s="19" t="s">
        <v>1669</v>
      </c>
      <c r="D4" s="19" t="s">
        <v>337</v>
      </c>
      <c r="E4" s="5">
        <v>162</v>
      </c>
      <c r="F4" s="16">
        <v>207</v>
      </c>
      <c r="G4" s="5">
        <v>100</v>
      </c>
      <c r="H4" s="5" t="s">
        <v>404</v>
      </c>
      <c r="I4" s="16">
        <v>132</v>
      </c>
      <c r="J4" s="20">
        <v>1</v>
      </c>
      <c r="K4" s="19" t="s">
        <v>1839</v>
      </c>
      <c r="L4" s="16">
        <f t="shared" si="0"/>
        <v>13200</v>
      </c>
      <c r="M4" s="17">
        <f t="shared" si="1"/>
        <v>81.481481481481481</v>
      </c>
      <c r="N4" s="5" t="s">
        <v>1910</v>
      </c>
      <c r="O4" s="5" t="str">
        <f ca="1">IFERROR(__xludf.DUMMYFUNCTION("TEXTJOIN("", "", TRUE, FILTER(PokemonList!$C:$C, (PokemonList!$B:$B=""6★"") * (BYROW(PokemonList!$D:$D, LAMBDA(row, OR(INDEX(ISNUMBER(SEARCH(SPLIT(row, ""/""), N4)))))))))"),"#N/A")</f>
        <v>#N/A</v>
      </c>
      <c r="P4" s="1" t="str">
        <f ca="1">IFERROR(__xludf.DUMMYFUNCTION("TEXTJOIN("", "", TRUE, FILTER(PokemonList!$C:$C, (PokemonList!$B:$B=""5★"") * (BYROW(PokemonList!$D:$D, LAMBDA(row, OR(INDEX(ISNUMBER(SEARCH(SPLIT(row, ""/""), N4)))))))))"),"#N/A")</f>
        <v>#N/A</v>
      </c>
      <c r="Q4" s="5"/>
    </row>
    <row r="5" spans="1:17">
      <c r="A5" s="24">
        <v>4</v>
      </c>
      <c r="B5" s="5" t="s">
        <v>5</v>
      </c>
      <c r="C5" s="19" t="s">
        <v>1840</v>
      </c>
      <c r="D5" s="19" t="s">
        <v>76</v>
      </c>
      <c r="E5" s="5">
        <v>102</v>
      </c>
      <c r="F5" s="16">
        <v>120</v>
      </c>
      <c r="G5" s="5">
        <v>185</v>
      </c>
      <c r="H5" s="5" t="s">
        <v>327</v>
      </c>
      <c r="I5" s="16">
        <v>69</v>
      </c>
      <c r="J5" s="20">
        <v>1</v>
      </c>
      <c r="K5" s="19" t="s">
        <v>354</v>
      </c>
      <c r="L5" s="16">
        <f t="shared" si="0"/>
        <v>12765</v>
      </c>
      <c r="M5" s="17">
        <f t="shared" si="1"/>
        <v>125.14705882352941</v>
      </c>
      <c r="N5" s="5" t="s">
        <v>1910</v>
      </c>
      <c r="O5" s="5" t="str">
        <f ca="1">IFERROR(__xludf.DUMMYFUNCTION("TEXTJOIN("", "", TRUE, FILTER(PokemonList!$C:$C, (PokemonList!$B:$B=""6★"") * (BYROW(PokemonList!$D:$D, LAMBDA(row, OR(INDEX(ISNUMBER(SEARCH(SPLIT(row, ""/""), N5)))))))))"),"#N/A")</f>
        <v>#N/A</v>
      </c>
      <c r="P5" s="1" t="str">
        <f ca="1">IFERROR(__xludf.DUMMYFUNCTION("TEXTJOIN("", "", TRUE, FILTER(PokemonList!$C:$C, (PokemonList!$B:$B=""5★"") * (BYROW(PokemonList!$D:$D, LAMBDA(row, OR(INDEX(ISNUMBER(SEARCH(SPLIT(row, ""/""), N5)))))))))"),"#N/A")</f>
        <v>#N/A</v>
      </c>
      <c r="Q5" s="5"/>
    </row>
    <row r="6" spans="1:17">
      <c r="A6" s="24">
        <v>5</v>
      </c>
      <c r="B6" s="5" t="s">
        <v>198</v>
      </c>
      <c r="C6" s="19" t="s">
        <v>1841</v>
      </c>
      <c r="D6" s="19" t="s">
        <v>129</v>
      </c>
      <c r="E6" s="5">
        <v>144</v>
      </c>
      <c r="F6" s="16">
        <v>39</v>
      </c>
      <c r="G6" s="5">
        <v>130</v>
      </c>
      <c r="H6" s="5" t="s">
        <v>404</v>
      </c>
      <c r="I6" s="16">
        <v>80</v>
      </c>
      <c r="J6" s="20">
        <v>1</v>
      </c>
      <c r="K6" s="19" t="s">
        <v>1842</v>
      </c>
      <c r="L6" s="16">
        <f t="shared" si="0"/>
        <v>10400</v>
      </c>
      <c r="M6" s="17">
        <f t="shared" si="1"/>
        <v>72.222222222222229</v>
      </c>
      <c r="N6" s="5" t="s">
        <v>1910</v>
      </c>
      <c r="O6" s="5" t="str">
        <f ca="1">IFERROR(__xludf.DUMMYFUNCTION("TEXTJOIN("", "", TRUE, FILTER(PokemonList!$C:$C, (PokemonList!$B:$B=""6★"") * (BYROW(PokemonList!$D:$D, LAMBDA(row, OR(INDEX(ISNUMBER(SEARCH(SPLIT(row, ""/""), N6)))))))))"),"#N/A")</f>
        <v>#N/A</v>
      </c>
      <c r="P6" s="1" t="str">
        <f ca="1">IFERROR(__xludf.DUMMYFUNCTION("TEXTJOIN("", "", TRUE, FILTER(PokemonList!$C:$C, (PokemonList!$B:$B=""5★"") * (BYROW(PokemonList!$D:$D, LAMBDA(row, OR(INDEX(ISNUMBER(SEARCH(SPLIT(row, ""/""), N6)))))))))"),"#N/A")</f>
        <v>#N/A</v>
      </c>
      <c r="Q6" s="5"/>
    </row>
    <row r="7" spans="1:17">
      <c r="A7" s="24">
        <v>6</v>
      </c>
      <c r="B7" s="5" t="s">
        <v>200</v>
      </c>
      <c r="C7" s="19" t="s">
        <v>1843</v>
      </c>
      <c r="D7" s="19" t="s">
        <v>337</v>
      </c>
      <c r="E7" s="5">
        <v>158</v>
      </c>
      <c r="F7" s="16">
        <v>103</v>
      </c>
      <c r="G7" s="5">
        <v>90</v>
      </c>
      <c r="H7" s="5" t="s">
        <v>404</v>
      </c>
      <c r="I7" s="16">
        <v>121</v>
      </c>
      <c r="J7" s="20">
        <v>1</v>
      </c>
      <c r="K7" s="19" t="s">
        <v>1839</v>
      </c>
      <c r="L7" s="16">
        <f t="shared" si="0"/>
        <v>10890</v>
      </c>
      <c r="M7" s="17">
        <f t="shared" si="1"/>
        <v>68.924050632911388</v>
      </c>
      <c r="N7" s="5" t="s">
        <v>1910</v>
      </c>
      <c r="O7" s="5" t="str">
        <f ca="1">IFERROR(__xludf.DUMMYFUNCTION("TEXTJOIN("", "", TRUE, FILTER(PokemonList!$C:$C, (PokemonList!$B:$B=""6★"") * (BYROW(PokemonList!$D:$D, LAMBDA(row, OR(INDEX(ISNUMBER(SEARCH(SPLIT(row, ""/""), N7)))))))))"),"#N/A")</f>
        <v>#N/A</v>
      </c>
      <c r="P7" s="1" t="str">
        <f ca="1">IFERROR(__xludf.DUMMYFUNCTION("TEXTJOIN("", "", TRUE, FILTER(PokemonList!$C:$C, (PokemonList!$B:$B=""5★"") * (BYROW(PokemonList!$D:$D, LAMBDA(row, OR(INDEX(ISNUMBER(SEARCH(SPLIT(row, ""/""), N7)))))))))"),"#N/A")</f>
        <v>#N/A</v>
      </c>
      <c r="Q7" s="5"/>
    </row>
    <row r="8" spans="1:17">
      <c r="A8" s="24">
        <v>7</v>
      </c>
      <c r="B8" s="5" t="s">
        <v>10</v>
      </c>
      <c r="C8" s="19" t="s">
        <v>1315</v>
      </c>
      <c r="D8" s="19" t="s">
        <v>138</v>
      </c>
      <c r="E8" s="5">
        <v>124</v>
      </c>
      <c r="F8" s="16">
        <v>110</v>
      </c>
      <c r="G8" s="5">
        <v>95</v>
      </c>
      <c r="H8" s="5" t="s">
        <v>327</v>
      </c>
      <c r="I8" s="16">
        <v>170</v>
      </c>
      <c r="J8" s="20">
        <v>0.95</v>
      </c>
      <c r="K8" s="19" t="s">
        <v>1844</v>
      </c>
      <c r="L8" s="16">
        <f t="shared" si="0"/>
        <v>16150</v>
      </c>
      <c r="M8" s="17">
        <f t="shared" si="1"/>
        <v>130.24193548387098</v>
      </c>
      <c r="N8" s="5" t="s">
        <v>1910</v>
      </c>
      <c r="O8" s="5" t="str">
        <f ca="1">IFERROR(__xludf.DUMMYFUNCTION("TEXTJOIN("", "", TRUE, FILTER(PokemonList!$C:$C, (PokemonList!$B:$B=""6★"") * (BYROW(PokemonList!$D:$D, LAMBDA(row, OR(INDEX(ISNUMBER(SEARCH(SPLIT(row, ""/""), N8)))))))))"),"#N/A")</f>
        <v>#N/A</v>
      </c>
      <c r="P8" s="1" t="str">
        <f ca="1">IFERROR(__xludf.DUMMYFUNCTION("TEXTJOIN("", "", TRUE, FILTER(PokemonList!$C:$C, (PokemonList!$B:$B=""5★"") * (BYROW(PokemonList!$D:$D, LAMBDA(row, OR(INDEX(ISNUMBER(SEARCH(SPLIT(row, ""/""), N8)))))))))"),"#N/A")</f>
        <v>#N/A</v>
      </c>
      <c r="Q8" s="5"/>
    </row>
    <row r="9" spans="1:17">
      <c r="A9" s="24">
        <v>8</v>
      </c>
      <c r="B9" s="5" t="s">
        <v>205</v>
      </c>
      <c r="C9" s="19" t="s">
        <v>1265</v>
      </c>
      <c r="D9" s="19" t="s">
        <v>59</v>
      </c>
      <c r="E9" s="5">
        <v>162</v>
      </c>
      <c r="F9" s="16">
        <v>84</v>
      </c>
      <c r="G9" s="5">
        <v>100</v>
      </c>
      <c r="H9" s="5" t="s">
        <v>327</v>
      </c>
      <c r="I9" s="16">
        <v>137</v>
      </c>
      <c r="J9" s="20">
        <v>1</v>
      </c>
      <c r="K9" s="19" t="s">
        <v>1832</v>
      </c>
      <c r="L9" s="16">
        <f t="shared" si="0"/>
        <v>13700</v>
      </c>
      <c r="M9" s="17">
        <f t="shared" si="1"/>
        <v>84.567901234567898</v>
      </c>
      <c r="N9" s="5" t="s">
        <v>1910</v>
      </c>
      <c r="O9" s="5" t="str">
        <f ca="1">IFERROR(__xludf.DUMMYFUNCTION("TEXTJOIN("", "", TRUE, FILTER(PokemonList!$C:$C, (PokemonList!$B:$B=""6★"") * (BYROW(PokemonList!$D:$D, LAMBDA(row, OR(INDEX(ISNUMBER(SEARCH(SPLIT(row, ""/""), N9)))))))))"),"#N/A")</f>
        <v>#N/A</v>
      </c>
      <c r="P9" s="1" t="str">
        <f ca="1">IFERROR(__xludf.DUMMYFUNCTION("TEXTJOIN("", "", TRUE, FILTER(PokemonList!$C:$C, (PokemonList!$B:$B=""5★"") * (BYROW(PokemonList!$D:$D, LAMBDA(row, OR(INDEX(ISNUMBER(SEARCH(SPLIT(row, ""/""), N9)))))))))"),"#N/A")</f>
        <v>#N/A</v>
      </c>
      <c r="Q9" s="5"/>
    </row>
    <row r="10" spans="1:17">
      <c r="A10" s="24">
        <v>9</v>
      </c>
      <c r="B10" s="5" t="s">
        <v>208</v>
      </c>
      <c r="C10" s="19" t="s">
        <v>1267</v>
      </c>
      <c r="D10" s="19" t="s">
        <v>76</v>
      </c>
      <c r="E10" s="5">
        <v>162</v>
      </c>
      <c r="F10" s="16">
        <v>132</v>
      </c>
      <c r="G10" s="5">
        <v>100</v>
      </c>
      <c r="H10" s="5" t="s">
        <v>404</v>
      </c>
      <c r="I10" s="16">
        <v>175</v>
      </c>
      <c r="J10" s="20">
        <v>1</v>
      </c>
      <c r="K10" s="19" t="s">
        <v>354</v>
      </c>
      <c r="L10" s="16">
        <f t="shared" si="0"/>
        <v>17500</v>
      </c>
      <c r="M10" s="17">
        <f t="shared" si="1"/>
        <v>108.0246913580247</v>
      </c>
      <c r="N10" s="5" t="s">
        <v>1910</v>
      </c>
      <c r="O10" s="5" t="str">
        <f ca="1">IFERROR(__xludf.DUMMYFUNCTION("TEXTJOIN("", "", TRUE, FILTER(PokemonList!$C:$C, (PokemonList!$B:$B=""6★"") * (BYROW(PokemonList!$D:$D, LAMBDA(row, OR(INDEX(ISNUMBER(SEARCH(SPLIT(row, ""/""), N10)))))))))"),"#N/A")</f>
        <v>#N/A</v>
      </c>
      <c r="P10" s="1" t="str">
        <f ca="1">IFERROR(__xludf.DUMMYFUNCTION("TEXTJOIN("", "", TRUE, FILTER(PokemonList!$C:$C, (PokemonList!$B:$B=""5★"") * (BYROW(PokemonList!$D:$D, LAMBDA(row, OR(INDEX(ISNUMBER(SEARCH(SPLIT(row, ""/""), N10)))))))))"),"#N/A")</f>
        <v>#N/A</v>
      </c>
      <c r="Q10" s="5"/>
    </row>
    <row r="11" spans="1:17">
      <c r="A11" s="24">
        <v>10</v>
      </c>
      <c r="B11" s="5" t="s">
        <v>211</v>
      </c>
      <c r="C11" s="19" t="s">
        <v>496</v>
      </c>
      <c r="D11" s="19" t="s">
        <v>64</v>
      </c>
      <c r="E11" s="5">
        <v>156</v>
      </c>
      <c r="F11" s="16">
        <v>113</v>
      </c>
      <c r="G11" s="5">
        <v>110</v>
      </c>
      <c r="H11" s="5" t="s">
        <v>327</v>
      </c>
      <c r="I11" s="16">
        <v>198</v>
      </c>
      <c r="J11" s="20">
        <v>0.7</v>
      </c>
      <c r="K11" s="19" t="s">
        <v>64</v>
      </c>
      <c r="L11" s="16">
        <f t="shared" si="0"/>
        <v>21780</v>
      </c>
      <c r="M11" s="17">
        <f t="shared" si="1"/>
        <v>139.61538461538461</v>
      </c>
      <c r="N11" s="5" t="s">
        <v>1910</v>
      </c>
      <c r="O11" s="5" t="str">
        <f ca="1">IFERROR(__xludf.DUMMYFUNCTION("TEXTJOIN("", "", TRUE, FILTER(PokemonList!$C:$C, (PokemonList!$B:$B=""6★"") * (BYROW(PokemonList!$D:$D, LAMBDA(row, OR(INDEX(ISNUMBER(SEARCH(SPLIT(row, ""/""), N11)))))))))"),"#N/A")</f>
        <v>#N/A</v>
      </c>
      <c r="P11" s="1" t="str">
        <f ca="1">IFERROR(__xludf.DUMMYFUNCTION("TEXTJOIN("", "", TRUE, FILTER(PokemonList!$C:$C, (PokemonList!$B:$B=""5★"") * (BYROW(PokemonList!$D:$D, LAMBDA(row, OR(INDEX(ISNUMBER(SEARCH(SPLIT(row, ""/""), N11)))))))))"),"#N/A")</f>
        <v>#N/A</v>
      </c>
      <c r="Q11" s="5"/>
    </row>
    <row r="12" spans="1:17">
      <c r="A12" s="24">
        <v>11</v>
      </c>
      <c r="B12" s="5" t="s">
        <v>131</v>
      </c>
      <c r="C12" s="19" t="s">
        <v>538</v>
      </c>
      <c r="D12" s="19" t="s">
        <v>76</v>
      </c>
      <c r="E12" s="5">
        <v>108</v>
      </c>
      <c r="F12" s="16">
        <v>119</v>
      </c>
      <c r="G12" s="5">
        <v>110</v>
      </c>
      <c r="H12" s="5" t="s">
        <v>327</v>
      </c>
      <c r="I12" s="16">
        <v>101</v>
      </c>
      <c r="J12" s="20">
        <v>0.7</v>
      </c>
      <c r="K12" s="19" t="s">
        <v>354</v>
      </c>
      <c r="L12" s="16">
        <f t="shared" si="0"/>
        <v>11110</v>
      </c>
      <c r="M12" s="17">
        <f t="shared" si="1"/>
        <v>102.87037037037037</v>
      </c>
      <c r="N12" s="5" t="s">
        <v>1910</v>
      </c>
      <c r="O12" s="5" t="str">
        <f ca="1">IFERROR(__xludf.DUMMYFUNCTION("TEXTJOIN("", "", TRUE, FILTER(PokemonList!$C:$C, (PokemonList!$B:$B=""6★"") * (BYROW(PokemonList!$D:$D, LAMBDA(row, OR(INDEX(ISNUMBER(SEARCH(SPLIT(row, ""/""), N12)))))))))"),"#N/A")</f>
        <v>#N/A</v>
      </c>
      <c r="P12" s="1" t="str">
        <f ca="1">IFERROR(__xludf.DUMMYFUNCTION("TEXTJOIN("", "", TRUE, FILTER(PokemonList!$C:$C, (PokemonList!$B:$B=""5★"") * (BYROW(PokemonList!$D:$D, LAMBDA(row, OR(INDEX(ISNUMBER(SEARCH(SPLIT(row, ""/""), N12)))))))))"),"#N/A")</f>
        <v>#N/A</v>
      </c>
      <c r="Q12" s="5"/>
    </row>
    <row r="13" spans="1:17">
      <c r="A13" s="24">
        <v>12</v>
      </c>
      <c r="B13" s="5" t="s">
        <v>133</v>
      </c>
      <c r="C13" s="19" t="s">
        <v>32</v>
      </c>
      <c r="D13" s="19" t="s">
        <v>32</v>
      </c>
      <c r="E13" s="5">
        <v>112</v>
      </c>
      <c r="F13" s="16">
        <v>106</v>
      </c>
      <c r="G13" s="5">
        <v>90</v>
      </c>
      <c r="H13" s="5" t="s">
        <v>327</v>
      </c>
      <c r="I13" s="16">
        <v>124</v>
      </c>
      <c r="J13" s="20">
        <v>1</v>
      </c>
      <c r="K13" s="19" t="s">
        <v>333</v>
      </c>
      <c r="L13" s="16">
        <f t="shared" si="0"/>
        <v>11160</v>
      </c>
      <c r="M13" s="17">
        <f t="shared" si="1"/>
        <v>99.642857142857139</v>
      </c>
      <c r="N13" s="5" t="s">
        <v>1910</v>
      </c>
      <c r="O13" s="5" t="str">
        <f ca="1">IFERROR(__xludf.DUMMYFUNCTION("TEXTJOIN("", "", TRUE, FILTER(PokemonList!$C:$C, (PokemonList!$B:$B=""6★"") * (BYROW(PokemonList!$D:$D, LAMBDA(row, OR(INDEX(ISNUMBER(SEARCH(SPLIT(row, ""/""), N13)))))))))"),"#N/A")</f>
        <v>#N/A</v>
      </c>
      <c r="P13" s="1" t="str">
        <f ca="1">IFERROR(__xludf.DUMMYFUNCTION("TEXTJOIN("", "", TRUE, FILTER(PokemonList!$C:$C, (PokemonList!$B:$B=""5★"") * (BYROW(PokemonList!$D:$D, LAMBDA(row, OR(INDEX(ISNUMBER(SEARCH(SPLIT(row, ""/""), N13)))))))))"),"#N/A")</f>
        <v>#N/A</v>
      </c>
      <c r="Q13" s="5"/>
    </row>
    <row r="14" spans="1:17">
      <c r="A14" s="24">
        <v>13</v>
      </c>
      <c r="B14" s="5" t="s">
        <v>135</v>
      </c>
      <c r="C14" s="19" t="s">
        <v>947</v>
      </c>
      <c r="D14" s="19" t="s">
        <v>82</v>
      </c>
      <c r="E14" s="5">
        <v>114</v>
      </c>
      <c r="F14" s="16">
        <v>94</v>
      </c>
      <c r="G14" s="5">
        <v>90</v>
      </c>
      <c r="H14" s="5" t="s">
        <v>404</v>
      </c>
      <c r="I14" s="16">
        <v>61</v>
      </c>
      <c r="J14" s="20">
        <v>1</v>
      </c>
      <c r="K14" s="19" t="s">
        <v>356</v>
      </c>
      <c r="L14" s="16">
        <f t="shared" si="0"/>
        <v>5490</v>
      </c>
      <c r="M14" s="17">
        <f t="shared" si="1"/>
        <v>48.157894736842103</v>
      </c>
      <c r="N14" s="5" t="s">
        <v>1910</v>
      </c>
      <c r="O14" s="5" t="str">
        <f ca="1">IFERROR(__xludf.DUMMYFUNCTION("TEXTJOIN("", "", TRUE, FILTER(PokemonList!$C:$C, (PokemonList!$B:$B=""6★"") * (BYROW(PokemonList!$D:$D, LAMBDA(row, OR(INDEX(ISNUMBER(SEARCH(SPLIT(row, ""/""), N14)))))))))"),"#N/A")</f>
        <v>#N/A</v>
      </c>
      <c r="P14" s="1" t="str">
        <f ca="1">IFERROR(__xludf.DUMMYFUNCTION("TEXTJOIN("", "", TRUE, FILTER(PokemonList!$C:$C, (PokemonList!$B:$B=""5★"") * (BYROW(PokemonList!$D:$D, LAMBDA(row, OR(INDEX(ISNUMBER(SEARCH(SPLIT(row, ""/""), N14)))))))))"),"#N/A")</f>
        <v>#N/A</v>
      </c>
      <c r="Q14" s="5"/>
    </row>
    <row r="15" spans="1:17">
      <c r="A15" s="24">
        <v>14</v>
      </c>
      <c r="B15" s="5" t="s">
        <v>137</v>
      </c>
      <c r="C15" s="19" t="s">
        <v>1315</v>
      </c>
      <c r="D15" s="19" t="s">
        <v>138</v>
      </c>
      <c r="E15" s="5">
        <v>116</v>
      </c>
      <c r="F15" s="16">
        <v>62</v>
      </c>
      <c r="G15" s="5">
        <v>95</v>
      </c>
      <c r="H15" s="5" t="s">
        <v>327</v>
      </c>
      <c r="I15" s="16">
        <v>110</v>
      </c>
      <c r="J15" s="20">
        <v>0.95</v>
      </c>
      <c r="K15" s="19" t="s">
        <v>1845</v>
      </c>
      <c r="L15" s="16">
        <f t="shared" si="0"/>
        <v>10450</v>
      </c>
      <c r="M15" s="17">
        <f t="shared" si="1"/>
        <v>90.08620689655173</v>
      </c>
      <c r="N15" s="5" t="s">
        <v>1910</v>
      </c>
      <c r="O15" s="5" t="str">
        <f ca="1">IFERROR(__xludf.DUMMYFUNCTION("TEXTJOIN("", "", TRUE, FILTER(PokemonList!$C:$C, (PokemonList!$B:$B=""6★"") * (BYROW(PokemonList!$D:$D, LAMBDA(row, OR(INDEX(ISNUMBER(SEARCH(SPLIT(row, ""/""), N15)))))))))"),"#N/A")</f>
        <v>#N/A</v>
      </c>
      <c r="P15" s="1" t="str">
        <f ca="1">IFERROR(__xludf.DUMMYFUNCTION("TEXTJOIN("", "", TRUE, FILTER(PokemonList!$C:$C, (PokemonList!$B:$B=""5★"") * (BYROW(PokemonList!$D:$D, LAMBDA(row, OR(INDEX(ISNUMBER(SEARCH(SPLIT(row, ""/""), N15)))))))))"),"#N/A")</f>
        <v>#N/A</v>
      </c>
      <c r="Q15" s="5"/>
    </row>
    <row r="16" spans="1:17">
      <c r="A16" s="24">
        <v>15</v>
      </c>
      <c r="B16" s="5" t="s">
        <v>2</v>
      </c>
      <c r="C16" s="19" t="s">
        <v>1034</v>
      </c>
      <c r="D16" s="19" t="s">
        <v>337</v>
      </c>
      <c r="E16" s="5">
        <v>118</v>
      </c>
      <c r="F16" s="16">
        <v>91</v>
      </c>
      <c r="G16" s="5">
        <v>80</v>
      </c>
      <c r="H16" s="5" t="s">
        <v>404</v>
      </c>
      <c r="I16" s="16">
        <v>115</v>
      </c>
      <c r="J16" s="20">
        <v>1</v>
      </c>
      <c r="K16" s="19" t="s">
        <v>1846</v>
      </c>
      <c r="L16" s="16">
        <f t="shared" si="0"/>
        <v>9200</v>
      </c>
      <c r="M16" s="17">
        <f t="shared" si="1"/>
        <v>77.966101694915253</v>
      </c>
      <c r="N16" s="5" t="s">
        <v>1910</v>
      </c>
      <c r="O16" s="5" t="str">
        <f ca="1">IFERROR(__xludf.DUMMYFUNCTION("TEXTJOIN("", "", TRUE, FILTER(PokemonList!$C:$C, (PokemonList!$B:$B=""6★"") * (BYROW(PokemonList!$D:$D, LAMBDA(row, OR(INDEX(ISNUMBER(SEARCH(SPLIT(row, ""/""), N16)))))))))"),"#N/A")</f>
        <v>#N/A</v>
      </c>
      <c r="P16" s="1" t="str">
        <f ca="1">IFERROR(__xludf.DUMMYFUNCTION("TEXTJOIN("", "", TRUE, FILTER(PokemonList!$C:$C, (PokemonList!$B:$B=""5★"") * (BYROW(PokemonList!$D:$D, LAMBDA(row, OR(INDEX(ISNUMBER(SEARCH(SPLIT(row, ""/""), N16)))))))))"),"#N/A")</f>
        <v>#N/A</v>
      </c>
      <c r="Q16" s="5"/>
    </row>
    <row r="17" spans="1:17">
      <c r="A17" s="24">
        <v>16</v>
      </c>
      <c r="B17" s="5" t="s">
        <v>220</v>
      </c>
      <c r="C17" s="19" t="s">
        <v>1847</v>
      </c>
      <c r="D17" s="19" t="s">
        <v>154</v>
      </c>
      <c r="E17" s="5">
        <v>112</v>
      </c>
      <c r="F17" s="16">
        <v>55</v>
      </c>
      <c r="G17" s="5">
        <v>185</v>
      </c>
      <c r="H17" s="5" t="s">
        <v>404</v>
      </c>
      <c r="I17" s="16">
        <v>72</v>
      </c>
      <c r="J17" s="20">
        <v>1</v>
      </c>
      <c r="K17" s="19" t="s">
        <v>1838</v>
      </c>
      <c r="L17" s="16">
        <f t="shared" si="0"/>
        <v>13320</v>
      </c>
      <c r="M17" s="17">
        <f t="shared" si="1"/>
        <v>118.92857142857143</v>
      </c>
      <c r="N17" s="5" t="s">
        <v>1910</v>
      </c>
      <c r="O17" s="5" t="str">
        <f ca="1">IFERROR(__xludf.DUMMYFUNCTION("TEXTJOIN("", "", TRUE, FILTER(PokemonList!$C:$C, (PokemonList!$B:$B=""6★"") * (BYROW(PokemonList!$D:$D, LAMBDA(row, OR(INDEX(ISNUMBER(SEARCH(SPLIT(row, ""/""), N17)))))))))"),"#N/A")</f>
        <v>#N/A</v>
      </c>
      <c r="P17" s="1" t="str">
        <f ca="1">IFERROR(__xludf.DUMMYFUNCTION("TEXTJOIN("", "", TRUE, FILTER(PokemonList!$C:$C, (PokemonList!$B:$B=""5★"") * (BYROW(PokemonList!$D:$D, LAMBDA(row, OR(INDEX(ISNUMBER(SEARCH(SPLIT(row, ""/""), N17)))))))))"),"#N/A")</f>
        <v>#N/A</v>
      </c>
      <c r="Q17" s="5"/>
    </row>
    <row r="18" spans="1:17">
      <c r="A18" s="24">
        <v>17</v>
      </c>
      <c r="B18" s="5" t="s">
        <v>20</v>
      </c>
      <c r="C18" s="19" t="s">
        <v>1848</v>
      </c>
      <c r="D18" s="19" t="s">
        <v>337</v>
      </c>
      <c r="E18" s="5">
        <v>114</v>
      </c>
      <c r="F18" s="16">
        <v>138</v>
      </c>
      <c r="G18" s="5">
        <v>185</v>
      </c>
      <c r="H18" s="5" t="s">
        <v>404</v>
      </c>
      <c r="I18" s="16">
        <v>133</v>
      </c>
      <c r="J18" s="20">
        <v>1</v>
      </c>
      <c r="K18" s="19" t="s">
        <v>1849</v>
      </c>
      <c r="L18" s="16">
        <f t="shared" si="0"/>
        <v>24605</v>
      </c>
      <c r="M18" s="17">
        <f t="shared" si="1"/>
        <v>215.83333333333334</v>
      </c>
      <c r="N18" s="5" t="s">
        <v>1910</v>
      </c>
      <c r="O18" s="5" t="str">
        <f ca="1">IFERROR(__xludf.DUMMYFUNCTION("TEXTJOIN("", "", TRUE, FILTER(PokemonList!$C:$C, (PokemonList!$B:$B=""6★"") * (BYROW(PokemonList!$D:$D, LAMBDA(row, OR(INDEX(ISNUMBER(SEARCH(SPLIT(row, ""/""), N18)))))))))"),"#N/A")</f>
        <v>#N/A</v>
      </c>
      <c r="P18" s="1" t="str">
        <f ca="1">IFERROR(__xludf.DUMMYFUNCTION("TEXTJOIN("", "", TRUE, FILTER(PokemonList!$C:$C, (PokemonList!$B:$B=""5★"") * (BYROW(PokemonList!$D:$D, LAMBDA(row, OR(INDEX(ISNUMBER(SEARCH(SPLIT(row, ""/""), N18)))))))))"),"#N/A")</f>
        <v>#N/A</v>
      </c>
      <c r="Q18" s="5"/>
    </row>
    <row r="19" spans="1:17">
      <c r="A19" s="24">
        <v>18</v>
      </c>
      <c r="B19" s="5" t="s">
        <v>11</v>
      </c>
      <c r="C19" s="19" t="s">
        <v>1850</v>
      </c>
      <c r="D19" s="19" t="s">
        <v>726</v>
      </c>
      <c r="E19" s="5">
        <v>114</v>
      </c>
      <c r="F19" s="16">
        <v>49</v>
      </c>
      <c r="G19" s="5">
        <v>185</v>
      </c>
      <c r="H19" s="5" t="s">
        <v>327</v>
      </c>
      <c r="I19" s="16">
        <v>87</v>
      </c>
      <c r="J19" s="20">
        <v>1</v>
      </c>
      <c r="K19" s="19" t="s">
        <v>1851</v>
      </c>
      <c r="L19" s="16">
        <f t="shared" si="0"/>
        <v>16095</v>
      </c>
      <c r="M19" s="17">
        <f t="shared" si="1"/>
        <v>141.18421052631578</v>
      </c>
      <c r="N19" s="5" t="s">
        <v>1910</v>
      </c>
      <c r="O19" s="5" t="str">
        <f ca="1">IFERROR(__xludf.DUMMYFUNCTION("TEXTJOIN("", "", TRUE, FILTER(PokemonList!$C:$C, (PokemonList!$B:$B=""6★"") * (BYROW(PokemonList!$D:$D, LAMBDA(row, OR(INDEX(ISNUMBER(SEARCH(SPLIT(row, ""/""), N19)))))))))"),"#N/A")</f>
        <v>#N/A</v>
      </c>
      <c r="P19" s="1" t="str">
        <f ca="1">IFERROR(__xludf.DUMMYFUNCTION("TEXTJOIN("", "", TRUE, FILTER(PokemonList!$C:$C, (PokemonList!$B:$B=""5★"") * (BYROW(PokemonList!$D:$D, LAMBDA(row, OR(INDEX(ISNUMBER(SEARCH(SPLIT(row, ""/""), N19)))))))))"),"#N/A")</f>
        <v>#N/A</v>
      </c>
      <c r="Q19" s="5"/>
    </row>
    <row r="20" spans="1:17">
      <c r="A20" s="24">
        <v>19</v>
      </c>
      <c r="B20" s="5" t="s">
        <v>227</v>
      </c>
      <c r="C20" s="19" t="s">
        <v>496</v>
      </c>
      <c r="D20" s="19" t="s">
        <v>64</v>
      </c>
      <c r="E20" s="5">
        <v>122</v>
      </c>
      <c r="F20" s="16">
        <v>114</v>
      </c>
      <c r="G20" s="16">
        <v>110</v>
      </c>
      <c r="H20" s="5" t="s">
        <v>327</v>
      </c>
      <c r="I20" s="16">
        <v>86</v>
      </c>
      <c r="J20" s="20">
        <v>0.7</v>
      </c>
      <c r="K20" s="19" t="s">
        <v>64</v>
      </c>
      <c r="L20" s="16">
        <f t="shared" si="0"/>
        <v>9460</v>
      </c>
      <c r="M20" s="17">
        <f t="shared" si="1"/>
        <v>77.540983606557376</v>
      </c>
      <c r="N20" s="5" t="s">
        <v>1910</v>
      </c>
      <c r="O20" s="5" t="str">
        <f ca="1">IFERROR(__xludf.DUMMYFUNCTION("TEXTJOIN("", "", TRUE, FILTER(PokemonList!$C:$C, (PokemonList!$B:$B=""6★"") * (BYROW(PokemonList!$D:$D, LAMBDA(row, OR(INDEX(ISNUMBER(SEARCH(SPLIT(row, ""/""), N20)))))))))"),"#N/A")</f>
        <v>#N/A</v>
      </c>
      <c r="P20" s="1" t="str">
        <f ca="1">IFERROR(__xludf.DUMMYFUNCTION("TEXTJOIN("", "", TRUE, FILTER(PokemonList!$C:$C, (PokemonList!$B:$B=""5★"") * (BYROW(PokemonList!$D:$D, LAMBDA(row, OR(INDEX(ISNUMBER(SEARCH(SPLIT(row, ""/""), N20)))))))))"),"#N/A")</f>
        <v>#N/A</v>
      </c>
      <c r="Q20" s="5"/>
    </row>
    <row r="21" spans="1:17">
      <c r="A21" s="24">
        <v>20</v>
      </c>
      <c r="B21" s="18" t="s">
        <v>19</v>
      </c>
      <c r="C21" s="19" t="s">
        <v>1852</v>
      </c>
      <c r="D21" s="19" t="s">
        <v>540</v>
      </c>
      <c r="E21" s="5">
        <v>132</v>
      </c>
      <c r="F21" s="16">
        <v>63</v>
      </c>
      <c r="G21" s="29">
        <v>140</v>
      </c>
      <c r="H21" s="5" t="s">
        <v>404</v>
      </c>
      <c r="I21" s="16">
        <v>96</v>
      </c>
      <c r="J21" s="20">
        <v>1</v>
      </c>
      <c r="K21" s="19" t="s">
        <v>1853</v>
      </c>
      <c r="L21" s="16">
        <f t="shared" si="0"/>
        <v>13440</v>
      </c>
      <c r="M21" s="17">
        <f t="shared" si="1"/>
        <v>101.81818181818181</v>
      </c>
      <c r="N21" s="5" t="s">
        <v>1910</v>
      </c>
      <c r="O21" s="5" t="str">
        <f ca="1">IFERROR(__xludf.DUMMYFUNCTION("TEXTJOIN("", "", TRUE, FILTER(PokemonList!$C:$C, (PokemonList!$B:$B=""6★"") * (BYROW(PokemonList!$D:$D, LAMBDA(row, OR(INDEX(ISNUMBER(SEARCH(SPLIT(row, ""/""), N21)))))))))"),"#N/A")</f>
        <v>#N/A</v>
      </c>
      <c r="P21" s="1" t="str">
        <f ca="1">IFERROR(__xludf.DUMMYFUNCTION("TEXTJOIN("", "", TRUE, FILTER(PokemonList!$C:$C, (PokemonList!$B:$B=""5★"") * (BYROW(PokemonList!$D:$D, LAMBDA(row, OR(INDEX(ISNUMBER(SEARCH(SPLIT(row, ""/""), N21)))))))))"),"#N/A")</f>
        <v>#N/A</v>
      </c>
      <c r="Q21" s="5"/>
    </row>
    <row r="22" spans="1:17">
      <c r="A22" s="24">
        <v>21</v>
      </c>
      <c r="B22" s="18" t="s">
        <v>3</v>
      </c>
      <c r="C22" s="19" t="s">
        <v>1854</v>
      </c>
      <c r="D22" s="19" t="s">
        <v>726</v>
      </c>
      <c r="E22" s="5">
        <v>132</v>
      </c>
      <c r="F22" s="16">
        <v>72</v>
      </c>
      <c r="G22" s="29">
        <v>130</v>
      </c>
      <c r="H22" s="5" t="s">
        <v>404</v>
      </c>
      <c r="I22" s="16">
        <v>96</v>
      </c>
      <c r="J22" s="20">
        <v>1</v>
      </c>
      <c r="K22" s="19" t="s">
        <v>1855</v>
      </c>
      <c r="L22" s="16">
        <f t="shared" si="0"/>
        <v>12480</v>
      </c>
      <c r="M22" s="17">
        <f t="shared" si="1"/>
        <v>94.545454545454547</v>
      </c>
      <c r="N22" s="5" t="s">
        <v>1910</v>
      </c>
      <c r="O22" s="5" t="str">
        <f ca="1">IFERROR(__xludf.DUMMYFUNCTION("TEXTJOIN("", "", TRUE, FILTER(PokemonList!$C:$C, (PokemonList!$B:$B=""6★"") * (BYROW(PokemonList!$D:$D, LAMBDA(row, OR(INDEX(ISNUMBER(SEARCH(SPLIT(row, ""/""), N22)))))))))"),"#N/A")</f>
        <v>#N/A</v>
      </c>
      <c r="P22" s="1" t="str">
        <f ca="1">IFERROR(__xludf.DUMMYFUNCTION("TEXTJOIN("", "", TRUE, FILTER(PokemonList!$C:$C, (PokemonList!$B:$B=""5★"") * (BYROW(PokemonList!$D:$D, LAMBDA(row, OR(INDEX(ISNUMBER(SEARCH(SPLIT(row, ""/""), N22)))))))))"),"#N/A")</f>
        <v>#N/A</v>
      </c>
      <c r="Q22" s="5"/>
    </row>
    <row r="23" spans="1:17">
      <c r="A23" s="24">
        <v>22</v>
      </c>
      <c r="B23" s="18" t="s">
        <v>232</v>
      </c>
      <c r="C23" s="19" t="s">
        <v>1578</v>
      </c>
      <c r="D23" s="19" t="s">
        <v>82</v>
      </c>
      <c r="E23" s="5">
        <v>110</v>
      </c>
      <c r="F23" s="16">
        <v>72</v>
      </c>
      <c r="G23" s="29">
        <v>80</v>
      </c>
      <c r="H23" s="5" t="s">
        <v>404</v>
      </c>
      <c r="I23" s="16">
        <v>96</v>
      </c>
      <c r="J23" s="20">
        <v>1</v>
      </c>
      <c r="K23" s="19" t="s">
        <v>356</v>
      </c>
      <c r="L23" s="16">
        <f t="shared" si="0"/>
        <v>7680</v>
      </c>
      <c r="M23" s="17">
        <f t="shared" si="1"/>
        <v>69.818181818181813</v>
      </c>
      <c r="N23" s="5" t="s">
        <v>1910</v>
      </c>
      <c r="O23" s="5" t="str">
        <f ca="1">IFERROR(__xludf.DUMMYFUNCTION("TEXTJOIN("", "", TRUE, FILTER(PokemonList!$C:$C, (PokemonList!$B:$B=""6★"") * (BYROW(PokemonList!$D:$D, LAMBDA(row, OR(INDEX(ISNUMBER(SEARCH(SPLIT(row, ""/""), N23)))))))))"),"#N/A")</f>
        <v>#N/A</v>
      </c>
      <c r="P23" s="1" t="str">
        <f ca="1">IFERROR(__xludf.DUMMYFUNCTION("TEXTJOIN("", "", TRUE, FILTER(PokemonList!$C:$C, (PokemonList!$B:$B=""5★"") * (BYROW(PokemonList!$D:$D, LAMBDA(row, OR(INDEX(ISNUMBER(SEARCH(SPLIT(row, ""/""), N23)))))))))"),"#N/A")</f>
        <v>#N/A</v>
      </c>
      <c r="Q23" s="5"/>
    </row>
    <row r="24" spans="1:17">
      <c r="A24" s="24">
        <v>23</v>
      </c>
      <c r="B24" s="18" t="s">
        <v>235</v>
      </c>
      <c r="C24" s="19" t="s">
        <v>1577</v>
      </c>
      <c r="D24" s="19" t="s">
        <v>82</v>
      </c>
      <c r="E24" s="5">
        <v>110</v>
      </c>
      <c r="F24" s="16">
        <v>33</v>
      </c>
      <c r="G24" s="29">
        <v>80</v>
      </c>
      <c r="H24" s="5" t="s">
        <v>327</v>
      </c>
      <c r="I24" s="16">
        <v>101</v>
      </c>
      <c r="J24" s="20">
        <v>1</v>
      </c>
      <c r="K24" s="19" t="s">
        <v>356</v>
      </c>
      <c r="L24" s="16">
        <f t="shared" si="0"/>
        <v>8080</v>
      </c>
      <c r="M24" s="17">
        <f t="shared" si="1"/>
        <v>73.454545454545453</v>
      </c>
      <c r="N24" s="5" t="s">
        <v>1910</v>
      </c>
      <c r="O24" s="5" t="str">
        <f ca="1">IFERROR(__xludf.DUMMYFUNCTION("TEXTJOIN("", "", TRUE, FILTER(PokemonList!$C:$C, (PokemonList!$B:$B=""6★"") * (BYROW(PokemonList!$D:$D, LAMBDA(row, OR(INDEX(ISNUMBER(SEARCH(SPLIT(row, ""/""), N24)))))))))"),"#N/A")</f>
        <v>#N/A</v>
      </c>
      <c r="P24" s="1" t="str">
        <f ca="1">IFERROR(__xludf.DUMMYFUNCTION("TEXTJOIN("", "", TRUE, FILTER(PokemonList!$C:$C, (PokemonList!$B:$B=""5★"") * (BYROW(PokemonList!$D:$D, LAMBDA(row, OR(INDEX(ISNUMBER(SEARCH(SPLIT(row, ""/""), N24)))))))))"),"#N/A")</f>
        <v>#N/A</v>
      </c>
      <c r="Q24" s="5"/>
    </row>
    <row r="25" spans="1:17">
      <c r="A25" s="24">
        <v>24</v>
      </c>
      <c r="B25" s="18" t="s">
        <v>237</v>
      </c>
      <c r="C25" s="19" t="s">
        <v>1350</v>
      </c>
      <c r="D25" s="19" t="s">
        <v>138</v>
      </c>
      <c r="E25" s="5">
        <v>112</v>
      </c>
      <c r="F25" s="16">
        <v>66</v>
      </c>
      <c r="G25" s="29">
        <v>80</v>
      </c>
      <c r="H25" s="5" t="s">
        <v>327</v>
      </c>
      <c r="I25" s="16">
        <v>110</v>
      </c>
      <c r="J25" s="20">
        <v>1</v>
      </c>
      <c r="K25" s="19" t="s">
        <v>1845</v>
      </c>
      <c r="L25" s="16">
        <f t="shared" si="0"/>
        <v>8800</v>
      </c>
      <c r="M25" s="17">
        <f t="shared" si="1"/>
        <v>78.571428571428569</v>
      </c>
      <c r="N25" s="5" t="s">
        <v>1910</v>
      </c>
      <c r="O25" s="5" t="str">
        <f ca="1">IFERROR(__xludf.DUMMYFUNCTION("TEXTJOIN("", "", TRUE, FILTER(PokemonList!$C:$C, (PokemonList!$B:$B=""6★"") * (BYROW(PokemonList!$D:$D, LAMBDA(row, OR(INDEX(ISNUMBER(SEARCH(SPLIT(row, ""/""), N25)))))))))"),"#N/A")</f>
        <v>#N/A</v>
      </c>
      <c r="P25" s="1" t="str">
        <f ca="1">IFERROR(__xludf.DUMMYFUNCTION("TEXTJOIN("", "", TRUE, FILTER(PokemonList!$C:$C, (PokemonList!$B:$B=""5★"") * (BYROW(PokemonList!$D:$D, LAMBDA(row, OR(INDEX(ISNUMBER(SEARCH(SPLIT(row, ""/""), N25)))))))))"),"#N/A")</f>
        <v>#N/A</v>
      </c>
      <c r="Q25" s="5"/>
    </row>
    <row r="26" spans="1:17">
      <c r="A26" s="24">
        <v>25</v>
      </c>
      <c r="B26" s="18" t="s">
        <v>239</v>
      </c>
      <c r="C26" s="19" t="s">
        <v>1487</v>
      </c>
      <c r="D26" s="19" t="s">
        <v>54</v>
      </c>
      <c r="E26" s="5">
        <v>104</v>
      </c>
      <c r="F26" s="16">
        <v>73</v>
      </c>
      <c r="G26" s="29">
        <v>85</v>
      </c>
      <c r="H26" s="5" t="s">
        <v>404</v>
      </c>
      <c r="I26" s="16">
        <v>48</v>
      </c>
      <c r="J26" s="20">
        <v>1</v>
      </c>
      <c r="K26" s="19" t="s">
        <v>346</v>
      </c>
      <c r="L26" s="16">
        <f t="shared" si="0"/>
        <v>4080</v>
      </c>
      <c r="M26" s="17">
        <f t="shared" si="1"/>
        <v>39.230769230769234</v>
      </c>
      <c r="N26" s="5" t="s">
        <v>1910</v>
      </c>
      <c r="O26" s="5" t="str">
        <f ca="1">IFERROR(__xludf.DUMMYFUNCTION("TEXTJOIN("", "", TRUE, FILTER(PokemonList!$C:$C, (PokemonList!$B:$B=""6★"") * (BYROW(PokemonList!$D:$D, LAMBDA(row, OR(INDEX(ISNUMBER(SEARCH(SPLIT(row, ""/""), N26)))))))))"),"#N/A")</f>
        <v>#N/A</v>
      </c>
      <c r="P26" s="1" t="str">
        <f ca="1">IFERROR(__xludf.DUMMYFUNCTION("TEXTJOIN("", "", TRUE, FILTER(PokemonList!$C:$C, (PokemonList!$B:$B=""5★"") * (BYROW(PokemonList!$D:$D, LAMBDA(row, OR(INDEX(ISNUMBER(SEARCH(SPLIT(row, ""/""), N26)))))))))"),"#N/A")</f>
        <v>#N/A</v>
      </c>
      <c r="Q26" s="5"/>
    </row>
    <row r="27" spans="1:17">
      <c r="A27" s="24">
        <v>26</v>
      </c>
      <c r="B27" s="18" t="s">
        <v>242</v>
      </c>
      <c r="C27" s="19" t="s">
        <v>1038</v>
      </c>
      <c r="D27" s="5" t="s">
        <v>62</v>
      </c>
      <c r="E27" s="5">
        <v>92</v>
      </c>
      <c r="F27" s="5">
        <v>96</v>
      </c>
      <c r="G27" s="5">
        <v>70</v>
      </c>
      <c r="H27" s="5" t="s">
        <v>404</v>
      </c>
      <c r="I27" s="5">
        <v>86</v>
      </c>
      <c r="J27" s="15">
        <v>1</v>
      </c>
      <c r="K27" s="5" t="s">
        <v>1802</v>
      </c>
      <c r="L27" s="16">
        <f t="shared" si="0"/>
        <v>6020</v>
      </c>
      <c r="M27" s="17">
        <f t="shared" si="1"/>
        <v>65.434782608695656</v>
      </c>
      <c r="N27" s="5" t="s">
        <v>1910</v>
      </c>
      <c r="O27" s="5" t="str">
        <f ca="1">IFERROR(__xludf.DUMMYFUNCTION("TEXTJOIN("", "", TRUE, FILTER(PokemonList!$C:$C, (PokemonList!$B:$B=""6★"") * (BYROW(PokemonList!$D:$D, LAMBDA(row, OR(INDEX(ISNUMBER(SEARCH(SPLIT(row, ""/""), N27)))))))))"),"#N/A")</f>
        <v>#N/A</v>
      </c>
      <c r="P27" s="1" t="str">
        <f ca="1">IFERROR(__xludf.DUMMYFUNCTION("TEXTJOIN("", "", TRUE, FILTER(PokemonList!$C:$C, (PokemonList!$B:$B=""5★"") * (BYROW(PokemonList!$D:$D, LAMBDA(row, OR(INDEX(ISNUMBER(SEARCH(SPLIT(row, ""/""), N27)))))))))"),"#N/A")</f>
        <v>#N/A</v>
      </c>
      <c r="Q27" s="5"/>
    </row>
    <row r="28" spans="1:17">
      <c r="A28" s="24">
        <v>27</v>
      </c>
      <c r="B28" s="18" t="s">
        <v>245</v>
      </c>
      <c r="C28" s="19" t="s">
        <v>1193</v>
      </c>
      <c r="D28" s="5" t="s">
        <v>363</v>
      </c>
      <c r="E28" s="5">
        <v>92</v>
      </c>
      <c r="F28" s="5">
        <v>53</v>
      </c>
      <c r="G28" s="5">
        <v>65</v>
      </c>
      <c r="H28" s="5" t="s">
        <v>327</v>
      </c>
      <c r="I28" s="5">
        <v>86</v>
      </c>
      <c r="J28" s="15">
        <v>1</v>
      </c>
      <c r="K28" s="5" t="s">
        <v>1804</v>
      </c>
      <c r="L28" s="16">
        <f t="shared" si="0"/>
        <v>5590</v>
      </c>
      <c r="M28" s="17">
        <f t="shared" si="1"/>
        <v>60.760869565217391</v>
      </c>
      <c r="N28" s="5" t="s">
        <v>1910</v>
      </c>
      <c r="O28" s="5" t="str">
        <f ca="1">IFERROR(__xludf.DUMMYFUNCTION("TEXTJOIN("", "", TRUE, FILTER(PokemonList!$C:$C, (PokemonList!$B:$B=""6★"") * (BYROW(PokemonList!$D:$D, LAMBDA(row, OR(INDEX(ISNUMBER(SEARCH(SPLIT(row, ""/""), N28)))))))))"),"#N/A")</f>
        <v>#N/A</v>
      </c>
      <c r="P28" s="1" t="str">
        <f ca="1">IFERROR(__xludf.DUMMYFUNCTION("TEXTJOIN("", "", TRUE, FILTER(PokemonList!$C:$C, (PokemonList!$B:$B=""5★"") * (BYROW(PokemonList!$D:$D, LAMBDA(row, OR(INDEX(ISNUMBER(SEARCH(SPLIT(row, ""/""), N28)))))))))"),"#N/A")</f>
        <v>#N/A</v>
      </c>
      <c r="Q28" s="5"/>
    </row>
    <row r="29" spans="1:17">
      <c r="A29" s="24">
        <v>28</v>
      </c>
      <c r="B29" s="5" t="s">
        <v>248</v>
      </c>
      <c r="C29" s="19" t="s">
        <v>1163</v>
      </c>
      <c r="D29" s="5" t="s">
        <v>337</v>
      </c>
      <c r="E29" s="5">
        <v>92</v>
      </c>
      <c r="F29" s="5">
        <v>67</v>
      </c>
      <c r="G29" s="5">
        <v>65</v>
      </c>
      <c r="H29" s="5" t="s">
        <v>404</v>
      </c>
      <c r="I29" s="5">
        <v>93</v>
      </c>
      <c r="J29" s="15">
        <v>1</v>
      </c>
      <c r="K29" s="30" t="s">
        <v>1806</v>
      </c>
      <c r="L29" s="16">
        <f t="shared" si="0"/>
        <v>6045</v>
      </c>
      <c r="M29" s="17">
        <f t="shared" si="1"/>
        <v>65.706521739130437</v>
      </c>
      <c r="N29" s="5" t="s">
        <v>1910</v>
      </c>
      <c r="O29" s="5" t="str">
        <f ca="1">IFERROR(__xludf.DUMMYFUNCTION("TEXTJOIN("", "", TRUE, FILTER(PokemonList!$C:$C, (PokemonList!$B:$B=""6★"") * (BYROW(PokemonList!$D:$D, LAMBDA(row, OR(INDEX(ISNUMBER(SEARCH(SPLIT(row, ""/""), N29)))))))))"),"#N/A")</f>
        <v>#N/A</v>
      </c>
      <c r="P29" s="1" t="str">
        <f ca="1">IFERROR(__xludf.DUMMYFUNCTION("TEXTJOIN("", "", TRUE, FILTER(PokemonList!$C:$C, (PokemonList!$B:$B=""5★"") * (BYROW(PokemonList!$D:$D, LAMBDA(row, OR(INDEX(ISNUMBER(SEARCH(SPLIT(row, ""/""), N29)))))))))"),"#N/A")</f>
        <v>#N/A</v>
      </c>
      <c r="Q29" s="5"/>
    </row>
    <row r="30" spans="1:17">
      <c r="A30" s="24">
        <v>29</v>
      </c>
      <c r="B30" s="5" t="s">
        <v>250</v>
      </c>
      <c r="C30" s="19" t="s">
        <v>487</v>
      </c>
      <c r="D30" s="5" t="s">
        <v>59</v>
      </c>
      <c r="E30" s="5">
        <v>40</v>
      </c>
      <c r="F30" s="5">
        <v>24</v>
      </c>
      <c r="G30" s="5">
        <v>40</v>
      </c>
      <c r="H30" s="5" t="s">
        <v>327</v>
      </c>
      <c r="I30" s="5">
        <v>33</v>
      </c>
      <c r="J30" s="15">
        <v>1</v>
      </c>
      <c r="K30" s="5" t="s">
        <v>1781</v>
      </c>
      <c r="L30" s="16">
        <f t="shared" si="0"/>
        <v>1320</v>
      </c>
      <c r="M30" s="17">
        <f t="shared" si="1"/>
        <v>33</v>
      </c>
      <c r="N30" s="5" t="s">
        <v>1910</v>
      </c>
      <c r="O30" s="5" t="str">
        <f ca="1">IFERROR(__xludf.DUMMYFUNCTION("TEXTJOIN("", "", TRUE, FILTER(PokemonList!$C:$C, (PokemonList!$B:$B=""6★"") * (BYROW(PokemonList!$D:$D, LAMBDA(row, OR(INDEX(ISNUMBER(SEARCH(SPLIT(row, ""/""), N30)))))))))"),"#N/A")</f>
        <v>#N/A</v>
      </c>
      <c r="P30" s="1" t="str">
        <f ca="1">IFERROR(__xludf.DUMMYFUNCTION("TEXTJOIN("", "", TRUE, FILTER(PokemonList!$C:$C, (PokemonList!$B:$B=""5★"") * (BYROW(PokemonList!$D:$D, LAMBDA(row, OR(INDEX(ISNUMBER(SEARCH(SPLIT(row, ""/""), N30)))))))))"),"#N/A")</f>
        <v>#N/A</v>
      </c>
      <c r="Q30" s="5"/>
    </row>
    <row r="31" spans="1:17">
      <c r="A31" s="24">
        <v>30</v>
      </c>
      <c r="B31" s="5" t="s">
        <v>252</v>
      </c>
      <c r="C31" s="19" t="s">
        <v>456</v>
      </c>
      <c r="D31" s="5" t="s">
        <v>129</v>
      </c>
      <c r="E31" s="5">
        <v>48</v>
      </c>
      <c r="F31" s="5">
        <v>35</v>
      </c>
      <c r="G31" s="5">
        <v>50</v>
      </c>
      <c r="H31" s="5" t="s">
        <v>404</v>
      </c>
      <c r="I31" s="5">
        <v>47</v>
      </c>
      <c r="J31" s="15">
        <v>1</v>
      </c>
      <c r="K31" s="5" t="s">
        <v>385</v>
      </c>
      <c r="L31" s="16">
        <f t="shared" si="0"/>
        <v>2350</v>
      </c>
      <c r="M31" s="17">
        <f t="shared" si="1"/>
        <v>48.958333333333336</v>
      </c>
      <c r="N31" s="5" t="s">
        <v>1910</v>
      </c>
      <c r="O31" s="5" t="str">
        <f ca="1">IFERROR(__xludf.DUMMYFUNCTION("TEXTJOIN("", "", TRUE, FILTER(PokemonList!$C:$C, (PokemonList!$B:$B=""6★"") * (BYROW(PokemonList!$D:$D, LAMBDA(row, OR(INDEX(ISNUMBER(SEARCH(SPLIT(row, ""/""), N31)))))))))"),"#N/A")</f>
        <v>#N/A</v>
      </c>
      <c r="P31" s="1" t="str">
        <f ca="1">IFERROR(__xludf.DUMMYFUNCTION("TEXTJOIN("", "", TRUE, FILTER(PokemonList!$C:$C, (PokemonList!$B:$B=""5★"") * (BYROW(PokemonList!$D:$D, LAMBDA(row, OR(INDEX(ISNUMBER(SEARCH(SPLIT(row, ""/""), N31)))))))))"),"#N/A")</f>
        <v>#N/A</v>
      </c>
      <c r="Q31" s="5"/>
    </row>
    <row r="32" spans="1:17">
      <c r="A32" s="24">
        <v>31</v>
      </c>
      <c r="B32" s="5" t="s">
        <v>254</v>
      </c>
      <c r="C32" s="19" t="s">
        <v>420</v>
      </c>
      <c r="D32" s="5" t="s">
        <v>129</v>
      </c>
      <c r="E32" s="5">
        <v>40</v>
      </c>
      <c r="F32" s="5">
        <v>38</v>
      </c>
      <c r="G32" s="5">
        <v>40</v>
      </c>
      <c r="H32" s="5" t="s">
        <v>404</v>
      </c>
      <c r="I32" s="5">
        <v>33</v>
      </c>
      <c r="J32" s="15">
        <v>1</v>
      </c>
      <c r="K32" s="5" t="s">
        <v>1779</v>
      </c>
      <c r="L32" s="16">
        <f t="shared" si="0"/>
        <v>1320</v>
      </c>
      <c r="M32" s="17">
        <f t="shared" si="1"/>
        <v>33</v>
      </c>
      <c r="N32" s="5" t="s">
        <v>1910</v>
      </c>
      <c r="O32" s="5" t="str">
        <f ca="1">IFERROR(__xludf.DUMMYFUNCTION("TEXTJOIN("", "", TRUE, FILTER(PokemonList!$C:$C, (PokemonList!$B:$B=""6★"") * (BYROW(PokemonList!$D:$D, LAMBDA(row, OR(INDEX(ISNUMBER(SEARCH(SPLIT(row, ""/""), N32)))))))))"),"#N/A")</f>
        <v>#N/A</v>
      </c>
      <c r="P32" s="1" t="str">
        <f ca="1">IFERROR(__xludf.DUMMYFUNCTION("TEXTJOIN("", "", TRUE, FILTER(PokemonList!$C:$C, (PokemonList!$B:$B=""5★"") * (BYROW(PokemonList!$D:$D, LAMBDA(row, OR(INDEX(ISNUMBER(SEARCH(SPLIT(row, ""/""), N32)))))))))"),"#N/A")</f>
        <v>#N/A</v>
      </c>
      <c r="Q32" s="5"/>
    </row>
    <row r="33" spans="1:17">
      <c r="A33" s="24">
        <v>32</v>
      </c>
      <c r="B33" s="5" t="s">
        <v>256</v>
      </c>
      <c r="C33" s="19" t="s">
        <v>1424</v>
      </c>
      <c r="D33" s="5" t="s">
        <v>82</v>
      </c>
      <c r="E33" s="5">
        <v>44</v>
      </c>
      <c r="F33" s="5">
        <v>20</v>
      </c>
      <c r="G33" s="5">
        <v>20</v>
      </c>
      <c r="H33" s="5" t="s">
        <v>327</v>
      </c>
      <c r="I33" s="5">
        <v>27</v>
      </c>
      <c r="J33" s="15">
        <v>1</v>
      </c>
      <c r="K33" s="5" t="s">
        <v>1782</v>
      </c>
      <c r="L33" s="16">
        <f t="shared" si="0"/>
        <v>540</v>
      </c>
      <c r="M33" s="17">
        <f t="shared" si="1"/>
        <v>12.272727272727273</v>
      </c>
      <c r="N33" s="5" t="s">
        <v>1910</v>
      </c>
      <c r="O33" s="5" t="str">
        <f ca="1">IFERROR(__xludf.DUMMYFUNCTION("TEXTJOIN("", "", TRUE, FILTER(PokemonList!$C:$C, (PokemonList!$B:$B=""6★"") * (BYROW(PokemonList!$D:$D, LAMBDA(row, OR(INDEX(ISNUMBER(SEARCH(SPLIT(row, ""/""), N33)))))))))"),"#N/A")</f>
        <v>#N/A</v>
      </c>
      <c r="P33" s="1" t="str">
        <f ca="1">IFERROR(__xludf.DUMMYFUNCTION("TEXTJOIN("", "", TRUE, FILTER(PokemonList!$C:$C, (PokemonList!$B:$B=""5★"") * (BYROW(PokemonList!$D:$D, LAMBDA(row, OR(INDEX(ISNUMBER(SEARCH(SPLIT(row, ""/""), N33)))))))))"),"#N/A")</f>
        <v>#N/A</v>
      </c>
      <c r="Q33" s="5"/>
    </row>
    <row r="34" spans="1:17">
      <c r="A34" s="24">
        <v>33</v>
      </c>
      <c r="B34" s="5" t="s">
        <v>258</v>
      </c>
      <c r="C34" s="19" t="s">
        <v>522</v>
      </c>
      <c r="D34" s="5" t="s">
        <v>82</v>
      </c>
      <c r="E34" s="5">
        <v>64</v>
      </c>
      <c r="F34" s="5">
        <v>26</v>
      </c>
      <c r="G34" s="5">
        <v>40</v>
      </c>
      <c r="H34" s="5" t="s">
        <v>327</v>
      </c>
      <c r="I34" s="5">
        <v>39</v>
      </c>
      <c r="J34" s="15">
        <v>1</v>
      </c>
      <c r="K34" s="5" t="s">
        <v>1782</v>
      </c>
      <c r="L34" s="16">
        <f t="shared" si="0"/>
        <v>1560</v>
      </c>
      <c r="M34" s="17">
        <f t="shared" si="1"/>
        <v>24.375</v>
      </c>
      <c r="N34" s="5" t="s">
        <v>1910</v>
      </c>
      <c r="O34" s="5" t="str">
        <f ca="1">IFERROR(__xludf.DUMMYFUNCTION("TEXTJOIN("", "", TRUE, FILTER(PokemonList!$C:$C, (PokemonList!$B:$B=""6★"") * (BYROW(PokemonList!$D:$D, LAMBDA(row, OR(INDEX(ISNUMBER(SEARCH(SPLIT(row, ""/""), N34)))))))))"),"#N/A")</f>
        <v>#N/A</v>
      </c>
      <c r="P34" s="1" t="str">
        <f ca="1">IFERROR(__xludf.DUMMYFUNCTION("TEXTJOIN("", "", TRUE, FILTER(PokemonList!$C:$C, (PokemonList!$B:$B=""5★"") * (BYROW(PokemonList!$D:$D, LAMBDA(row, OR(INDEX(ISNUMBER(SEARCH(SPLIT(row, ""/""), N34)))))))))"),"#N/A")</f>
        <v>#N/A</v>
      </c>
      <c r="Q34" s="5"/>
    </row>
    <row r="35" spans="1:17">
      <c r="A35" s="24">
        <v>34</v>
      </c>
      <c r="B35" s="5" t="s">
        <v>220</v>
      </c>
      <c r="C35" s="19" t="s">
        <v>541</v>
      </c>
      <c r="D35" s="5" t="s">
        <v>154</v>
      </c>
      <c r="E35" s="5">
        <v>92</v>
      </c>
      <c r="F35" s="5">
        <v>46</v>
      </c>
      <c r="G35" s="5">
        <v>75</v>
      </c>
      <c r="H35" s="5" t="s">
        <v>404</v>
      </c>
      <c r="I35" s="5">
        <v>85</v>
      </c>
      <c r="J35" s="15">
        <v>1</v>
      </c>
      <c r="K35" s="5" t="s">
        <v>1782</v>
      </c>
      <c r="L35" s="16">
        <f t="shared" si="0"/>
        <v>6375</v>
      </c>
      <c r="M35" s="17">
        <f t="shared" si="1"/>
        <v>69.293478260869563</v>
      </c>
      <c r="N35" s="5" t="s">
        <v>1910</v>
      </c>
      <c r="O35" s="5" t="str">
        <f ca="1">IFERROR(__xludf.DUMMYFUNCTION("TEXTJOIN("", "", TRUE, FILTER(PokemonList!$C:$C, (PokemonList!$B:$B=""6★"") * (BYROW(PokemonList!$D:$D, LAMBDA(row, OR(INDEX(ISNUMBER(SEARCH(SPLIT(row, ""/""), N35)))))))))"),"#N/A")</f>
        <v>#N/A</v>
      </c>
      <c r="P35" s="1" t="str">
        <f ca="1">IFERROR(__xludf.DUMMYFUNCTION("TEXTJOIN("", "", TRUE, FILTER(PokemonList!$C:$C, (PokemonList!$B:$B=""5★"") * (BYROW(PokemonList!$D:$D, LAMBDA(row, OR(INDEX(ISNUMBER(SEARCH(SPLIT(row, ""/""), N35)))))))))"),"#N/A")</f>
        <v>#N/A</v>
      </c>
      <c r="Q35" s="5"/>
    </row>
    <row r="36" spans="1:17">
      <c r="A36" s="24">
        <v>35</v>
      </c>
      <c r="B36" s="5" t="s">
        <v>261</v>
      </c>
      <c r="C36" s="19" t="s">
        <v>487</v>
      </c>
      <c r="D36" s="5" t="s">
        <v>59</v>
      </c>
      <c r="E36" s="5">
        <v>42</v>
      </c>
      <c r="F36" s="5">
        <v>35</v>
      </c>
      <c r="G36" s="5">
        <v>40</v>
      </c>
      <c r="H36" s="5" t="s">
        <v>327</v>
      </c>
      <c r="I36" s="5">
        <v>34</v>
      </c>
      <c r="J36" s="15">
        <v>1</v>
      </c>
      <c r="K36" s="30" t="s">
        <v>1781</v>
      </c>
      <c r="L36" s="16">
        <f t="shared" si="0"/>
        <v>1360</v>
      </c>
      <c r="M36" s="17">
        <f t="shared" si="1"/>
        <v>32.38095238095238</v>
      </c>
      <c r="N36" s="5" t="s">
        <v>1910</v>
      </c>
      <c r="O36" s="5" t="str">
        <f ca="1">IFERROR(__xludf.DUMMYFUNCTION("TEXTJOIN("", "", TRUE, FILTER(PokemonList!$C:$C, (PokemonList!$B:$B=""6★"") * (BYROW(PokemonList!$D:$D, LAMBDA(row, OR(INDEX(ISNUMBER(SEARCH(SPLIT(row, ""/""), N36)))))))))"),"#N/A")</f>
        <v>#N/A</v>
      </c>
      <c r="P36" s="1" t="str">
        <f ca="1">IFERROR(__xludf.DUMMYFUNCTION("TEXTJOIN("", "", TRUE, FILTER(PokemonList!$C:$C, (PokemonList!$B:$B=""5★"") * (BYROW(PokemonList!$D:$D, LAMBDA(row, OR(INDEX(ISNUMBER(SEARCH(SPLIT(row, ""/""), N36)))))))))"),"#N/A")</f>
        <v>#N/A</v>
      </c>
      <c r="Q36" s="5"/>
    </row>
    <row r="37" spans="1:17">
      <c r="A37" s="24">
        <v>36</v>
      </c>
      <c r="B37" s="5" t="s">
        <v>263</v>
      </c>
      <c r="C37" s="19" t="s">
        <v>1748</v>
      </c>
      <c r="D37" s="5" t="s">
        <v>337</v>
      </c>
      <c r="E37" s="5">
        <v>64</v>
      </c>
      <c r="F37" s="5">
        <v>55</v>
      </c>
      <c r="G37" s="5">
        <v>40</v>
      </c>
      <c r="H37" s="5" t="s">
        <v>404</v>
      </c>
      <c r="I37" s="5">
        <v>53</v>
      </c>
      <c r="J37" s="15">
        <v>1</v>
      </c>
      <c r="K37" s="30" t="s">
        <v>1809</v>
      </c>
      <c r="L37" s="16">
        <f t="shared" si="0"/>
        <v>2120</v>
      </c>
      <c r="M37" s="17">
        <f t="shared" si="1"/>
        <v>33.125</v>
      </c>
      <c r="N37" s="5" t="s">
        <v>1910</v>
      </c>
      <c r="O37" s="5" t="str">
        <f ca="1">IFERROR(__xludf.DUMMYFUNCTION("TEXTJOIN("", "", TRUE, FILTER(PokemonList!$C:$C, (PokemonList!$B:$B=""6★"") * (BYROW(PokemonList!$D:$D, LAMBDA(row, OR(INDEX(ISNUMBER(SEARCH(SPLIT(row, ""/""), N37)))))))))"),"#N/A")</f>
        <v>#N/A</v>
      </c>
      <c r="P37" s="1" t="str">
        <f ca="1">IFERROR(__xludf.DUMMYFUNCTION("TEXTJOIN("", "", TRUE, FILTER(PokemonList!$C:$C, (PokemonList!$B:$B=""5★"") * (BYROW(PokemonList!$D:$D, LAMBDA(row, OR(INDEX(ISNUMBER(SEARCH(SPLIT(row, ""/""), N37)))))))))"),"#N/A")</f>
        <v>#N/A</v>
      </c>
      <c r="Q37" s="5"/>
    </row>
    <row r="38" spans="1:17">
      <c r="A38" s="24">
        <v>37</v>
      </c>
      <c r="B38" s="5" t="s">
        <v>20</v>
      </c>
      <c r="C38" s="19" t="s">
        <v>984</v>
      </c>
      <c r="D38" s="5" t="s">
        <v>337</v>
      </c>
      <c r="E38" s="5">
        <v>92</v>
      </c>
      <c r="F38" s="5">
        <v>84</v>
      </c>
      <c r="G38" s="5">
        <v>75</v>
      </c>
      <c r="H38" s="5" t="s">
        <v>404</v>
      </c>
      <c r="I38" s="5">
        <v>81</v>
      </c>
      <c r="J38" s="15">
        <v>1</v>
      </c>
      <c r="K38" s="30" t="s">
        <v>1809</v>
      </c>
      <c r="L38" s="16">
        <f t="shared" si="0"/>
        <v>6075</v>
      </c>
      <c r="M38" s="17">
        <f t="shared" si="1"/>
        <v>66.032608695652172</v>
      </c>
      <c r="N38" s="5" t="s">
        <v>1910</v>
      </c>
      <c r="O38" s="5" t="str">
        <f ca="1">IFERROR(__xludf.DUMMYFUNCTION("TEXTJOIN("", "", TRUE, FILTER(PokemonList!$C:$C, (PokemonList!$B:$B=""6★"") * (BYROW(PokemonList!$D:$D, LAMBDA(row, OR(INDEX(ISNUMBER(SEARCH(SPLIT(row, ""/""), N38)))))))))"),"#N/A")</f>
        <v>#N/A</v>
      </c>
      <c r="P38" s="1" t="str">
        <f ca="1">IFERROR(__xludf.DUMMYFUNCTION("TEXTJOIN("", "", TRUE, FILTER(PokemonList!$C:$C, (PokemonList!$B:$B=""5★"") * (BYROW(PokemonList!$D:$D, LAMBDA(row, OR(INDEX(ISNUMBER(SEARCH(SPLIT(row, ""/""), N38)))))))))"),"#N/A")</f>
        <v>#N/A</v>
      </c>
      <c r="Q38" s="5"/>
    </row>
    <row r="39" spans="1:17">
      <c r="A39" s="24">
        <v>38</v>
      </c>
      <c r="B39" s="5" t="s">
        <v>13</v>
      </c>
      <c r="C39" s="19" t="s">
        <v>491</v>
      </c>
      <c r="D39" s="5" t="s">
        <v>54</v>
      </c>
      <c r="E39" s="5">
        <v>44</v>
      </c>
      <c r="F39" s="5">
        <v>25</v>
      </c>
      <c r="G39" s="5">
        <v>40</v>
      </c>
      <c r="H39" s="5" t="s">
        <v>327</v>
      </c>
      <c r="I39" s="5">
        <v>35</v>
      </c>
      <c r="J39" s="15">
        <v>1</v>
      </c>
      <c r="K39" s="5" t="s">
        <v>1790</v>
      </c>
      <c r="L39" s="16">
        <f t="shared" si="0"/>
        <v>1400</v>
      </c>
      <c r="M39" s="17">
        <f t="shared" si="1"/>
        <v>31.818181818181817</v>
      </c>
      <c r="N39" s="5" t="s">
        <v>1910</v>
      </c>
      <c r="O39" s="5" t="str">
        <f ca="1">IFERROR(__xludf.DUMMYFUNCTION("TEXTJOIN("", "", TRUE, FILTER(PokemonList!$C:$C, (PokemonList!$B:$B=""6★"") * (BYROW(PokemonList!$D:$D, LAMBDA(row, OR(INDEX(ISNUMBER(SEARCH(SPLIT(row, ""/""), N39)))))))))"),"#N/A")</f>
        <v>#N/A</v>
      </c>
      <c r="P39" s="1" t="str">
        <f ca="1">IFERROR(__xludf.DUMMYFUNCTION("TEXTJOIN("", "", TRUE, FILTER(PokemonList!$C:$C, (PokemonList!$B:$B=""5★"") * (BYROW(PokemonList!$D:$D, LAMBDA(row, OR(INDEX(ISNUMBER(SEARCH(SPLIT(row, ""/""), N39)))))))))"),"#N/A")</f>
        <v>#N/A</v>
      </c>
      <c r="Q39" s="5"/>
    </row>
    <row r="40" spans="1:17">
      <c r="A40" s="24">
        <v>39</v>
      </c>
      <c r="B40" s="5" t="s">
        <v>267</v>
      </c>
      <c r="C40" s="19" t="s">
        <v>499</v>
      </c>
      <c r="D40" s="5" t="s">
        <v>54</v>
      </c>
      <c r="E40" s="5">
        <v>64</v>
      </c>
      <c r="F40" s="5">
        <v>36</v>
      </c>
      <c r="G40" s="5">
        <v>65</v>
      </c>
      <c r="H40" s="5" t="s">
        <v>327</v>
      </c>
      <c r="I40" s="5">
        <v>55</v>
      </c>
      <c r="J40" s="15">
        <v>1</v>
      </c>
      <c r="K40" s="5" t="s">
        <v>1790</v>
      </c>
      <c r="L40" s="16">
        <f t="shared" si="0"/>
        <v>3575</v>
      </c>
      <c r="M40" s="17">
        <f t="shared" si="1"/>
        <v>55.859375</v>
      </c>
      <c r="N40" s="5" t="s">
        <v>1910</v>
      </c>
      <c r="O40" s="5" t="str">
        <f ca="1">IFERROR(__xludf.DUMMYFUNCTION("TEXTJOIN("", "", TRUE, FILTER(PokemonList!$C:$C, (PokemonList!$B:$B=""6★"") * (BYROW(PokemonList!$D:$D, LAMBDA(row, OR(INDEX(ISNUMBER(SEARCH(SPLIT(row, ""/""), N40)))))))))"),"#N/A")</f>
        <v>#N/A</v>
      </c>
      <c r="P40" s="1" t="str">
        <f ca="1">IFERROR(__xludf.DUMMYFUNCTION("TEXTJOIN("", "", TRUE, FILTER(PokemonList!$C:$C, (PokemonList!$B:$B=""5★"") * (BYROW(PokemonList!$D:$D, LAMBDA(row, OR(INDEX(ISNUMBER(SEARCH(SPLIT(row, ""/""), N40)))))))))"),"#N/A")</f>
        <v>#N/A</v>
      </c>
      <c r="Q40" s="5"/>
    </row>
    <row r="41" spans="1:17">
      <c r="A41" s="24">
        <v>40</v>
      </c>
      <c r="B41" s="5" t="s">
        <v>11</v>
      </c>
      <c r="C41" s="19" t="s">
        <v>1072</v>
      </c>
      <c r="D41" s="5" t="s">
        <v>726</v>
      </c>
      <c r="E41" s="5">
        <v>92</v>
      </c>
      <c r="F41" s="5">
        <v>49</v>
      </c>
      <c r="G41" s="5">
        <v>70</v>
      </c>
      <c r="H41" s="5" t="s">
        <v>404</v>
      </c>
      <c r="I41" s="5">
        <v>68</v>
      </c>
      <c r="J41" s="15">
        <v>0.9</v>
      </c>
      <c r="K41" s="5" t="s">
        <v>1810</v>
      </c>
      <c r="L41" s="16">
        <f t="shared" si="0"/>
        <v>4760</v>
      </c>
      <c r="M41" s="17">
        <f t="shared" si="1"/>
        <v>51.739130434782609</v>
      </c>
      <c r="N41" s="5" t="s">
        <v>1910</v>
      </c>
      <c r="O41" s="5" t="str">
        <f ca="1">IFERROR(__xludf.DUMMYFUNCTION("TEXTJOIN("", "", TRUE, FILTER(PokemonList!$C:$C, (PokemonList!$B:$B=""6★"") * (BYROW(PokemonList!$D:$D, LAMBDA(row, OR(INDEX(ISNUMBER(SEARCH(SPLIT(row, ""/""), N41)))))))))"),"#N/A")</f>
        <v>#N/A</v>
      </c>
      <c r="P41" s="1" t="str">
        <f ca="1">IFERROR(__xludf.DUMMYFUNCTION("TEXTJOIN("", "", TRUE, FILTER(PokemonList!$C:$C, (PokemonList!$B:$B=""5★"") * (BYROW(PokemonList!$D:$D, LAMBDA(row, OR(INDEX(ISNUMBER(SEARCH(SPLIT(row, ""/""), N41)))))))))"),"#N/A")</f>
        <v>#N/A</v>
      </c>
      <c r="Q41" s="5"/>
    </row>
    <row r="42" spans="1:17">
      <c r="A42" s="24">
        <v>41</v>
      </c>
      <c r="B42" s="5" t="s">
        <v>9</v>
      </c>
      <c r="C42" s="19" t="s">
        <v>952</v>
      </c>
      <c r="D42" s="5" t="s">
        <v>54</v>
      </c>
      <c r="E42" s="5">
        <v>90</v>
      </c>
      <c r="F42" s="5">
        <v>51</v>
      </c>
      <c r="G42" s="5">
        <v>90</v>
      </c>
      <c r="H42" s="5" t="s">
        <v>327</v>
      </c>
      <c r="I42" s="5">
        <v>84</v>
      </c>
      <c r="J42" s="15">
        <v>0.85</v>
      </c>
      <c r="K42" s="5" t="s">
        <v>1790</v>
      </c>
      <c r="L42" s="16">
        <f t="shared" si="0"/>
        <v>7560</v>
      </c>
      <c r="M42" s="17">
        <f t="shared" si="1"/>
        <v>84</v>
      </c>
      <c r="N42" s="5" t="s">
        <v>1910</v>
      </c>
      <c r="O42" s="5" t="str">
        <f ca="1">IFERROR(__xludf.DUMMYFUNCTION("TEXTJOIN("", "", TRUE, FILTER(PokemonList!$C:$C, (PokemonList!$B:$B=""6★"") * (BYROW(PokemonList!$D:$D, LAMBDA(row, OR(INDEX(ISNUMBER(SEARCH(SPLIT(row, ""/""), N42)))))))))"),"#N/A")</f>
        <v>#N/A</v>
      </c>
      <c r="P42" s="1" t="str">
        <f ca="1">IFERROR(__xludf.DUMMYFUNCTION("TEXTJOIN("", "", TRUE, FILTER(PokemonList!$C:$C, (PokemonList!$B:$B=""5★"") * (BYROW(PokemonList!$D:$D, LAMBDA(row, OR(INDEX(ISNUMBER(SEARCH(SPLIT(row, ""/""), N42)))))))))"),"#N/A")</f>
        <v>#N/A</v>
      </c>
      <c r="Q42" s="5"/>
    </row>
    <row r="43" spans="1:17">
      <c r="A43" s="24">
        <v>42</v>
      </c>
      <c r="B43" s="5" t="s">
        <v>58</v>
      </c>
      <c r="C43" s="19" t="s">
        <v>534</v>
      </c>
      <c r="D43" s="5" t="s">
        <v>59</v>
      </c>
      <c r="E43" s="5">
        <v>90</v>
      </c>
      <c r="F43" s="5">
        <v>51</v>
      </c>
      <c r="G43" s="5">
        <v>80</v>
      </c>
      <c r="H43" s="5" t="s">
        <v>327</v>
      </c>
      <c r="I43" s="5">
        <v>73</v>
      </c>
      <c r="J43" s="15">
        <v>1</v>
      </c>
      <c r="K43" s="5" t="s">
        <v>1781</v>
      </c>
      <c r="L43" s="16">
        <f t="shared" si="0"/>
        <v>5840</v>
      </c>
      <c r="M43" s="17">
        <f t="shared" si="1"/>
        <v>64.888888888888886</v>
      </c>
      <c r="N43" s="5" t="s">
        <v>1910</v>
      </c>
      <c r="O43" s="5" t="str">
        <f ca="1">IFERROR(__xludf.DUMMYFUNCTION("TEXTJOIN("", "", TRUE, FILTER(PokemonList!$C:$C, (PokemonList!$B:$B=""6★"") * (BYROW(PokemonList!$D:$D, LAMBDA(row, OR(INDEX(ISNUMBER(SEARCH(SPLIT(row, ""/""), N43)))))))))"),"#N/A")</f>
        <v>#N/A</v>
      </c>
      <c r="P43" s="1" t="str">
        <f ca="1">IFERROR(__xludf.DUMMYFUNCTION("TEXTJOIN("", "", TRUE, FILTER(PokemonList!$C:$C, (PokemonList!$B:$B=""5★"") * (BYROW(PokemonList!$D:$D, LAMBDA(row, OR(INDEX(ISNUMBER(SEARCH(SPLIT(row, ""/""), N43)))))))))"),"#N/A")</f>
        <v>#N/A</v>
      </c>
      <c r="Q43" s="5"/>
    </row>
    <row r="44" spans="1:17">
      <c r="A44" s="24">
        <v>43</v>
      </c>
      <c r="B44" s="5" t="s">
        <v>61</v>
      </c>
      <c r="C44" s="19" t="s">
        <v>1261</v>
      </c>
      <c r="D44" s="5" t="s">
        <v>62</v>
      </c>
      <c r="E44" s="5">
        <v>92</v>
      </c>
      <c r="F44" s="5">
        <v>53</v>
      </c>
      <c r="G44" s="5">
        <v>60</v>
      </c>
      <c r="H44" s="5" t="s">
        <v>404</v>
      </c>
      <c r="I44" s="5">
        <v>53</v>
      </c>
      <c r="J44" s="15">
        <v>1</v>
      </c>
      <c r="K44" s="5" t="s">
        <v>1795</v>
      </c>
      <c r="L44" s="16">
        <f t="shared" si="0"/>
        <v>3180</v>
      </c>
      <c r="M44" s="17">
        <f t="shared" si="1"/>
        <v>34.565217391304351</v>
      </c>
      <c r="N44" s="5" t="s">
        <v>1910</v>
      </c>
      <c r="O44" s="5" t="str">
        <f ca="1">IFERROR(__xludf.DUMMYFUNCTION("TEXTJOIN("", "", TRUE, FILTER(PokemonList!$C:$C, (PokemonList!$B:$B=""6★"") * (BYROW(PokemonList!$D:$D, LAMBDA(row, OR(INDEX(ISNUMBER(SEARCH(SPLIT(row, ""/""), N44)))))))))"),"#N/A")</f>
        <v>#N/A</v>
      </c>
      <c r="P44" s="1" t="str">
        <f ca="1">IFERROR(__xludf.DUMMYFUNCTION("TEXTJOIN("", "", TRUE, FILTER(PokemonList!$C:$C, (PokemonList!$B:$B=""5★"") * (BYROW(PokemonList!$D:$D, LAMBDA(row, OR(INDEX(ISNUMBER(SEARCH(SPLIT(row, ""/""), N44)))))))))"),"#N/A")</f>
        <v>#N/A</v>
      </c>
      <c r="Q44" s="5"/>
    </row>
    <row r="45" spans="1:17">
      <c r="A45" s="24">
        <v>44</v>
      </c>
      <c r="B45" s="5" t="s">
        <v>17</v>
      </c>
      <c r="C45" s="19" t="s">
        <v>703</v>
      </c>
      <c r="D45" s="5" t="s">
        <v>64</v>
      </c>
      <c r="E45" s="5">
        <v>94</v>
      </c>
      <c r="F45" s="5">
        <v>54</v>
      </c>
      <c r="G45" s="5">
        <v>70</v>
      </c>
      <c r="H45" s="5" t="s">
        <v>327</v>
      </c>
      <c r="I45" s="5">
        <v>103</v>
      </c>
      <c r="J45" s="15">
        <v>1</v>
      </c>
      <c r="K45" s="5" t="s">
        <v>64</v>
      </c>
      <c r="L45" s="16">
        <f t="shared" si="0"/>
        <v>7210</v>
      </c>
      <c r="M45" s="17">
        <f t="shared" si="1"/>
        <v>76.702127659574472</v>
      </c>
      <c r="N45" s="5" t="s">
        <v>1910</v>
      </c>
      <c r="O45" s="5" t="str">
        <f ca="1">IFERROR(__xludf.DUMMYFUNCTION("TEXTJOIN("", "", TRUE, FILTER(PokemonList!$C:$C, (PokemonList!$B:$B=""6★"") * (BYROW(PokemonList!$D:$D, LAMBDA(row, OR(INDEX(ISNUMBER(SEARCH(SPLIT(row, ""/""), N45)))))))))"),"#N/A")</f>
        <v>#N/A</v>
      </c>
      <c r="P45" s="1" t="str">
        <f ca="1">IFERROR(__xludf.DUMMYFUNCTION("TEXTJOIN("", "", TRUE, FILTER(PokemonList!$C:$C, (PokemonList!$B:$B=""5★"") * (BYROW(PokemonList!$D:$D, LAMBDA(row, OR(INDEX(ISNUMBER(SEARCH(SPLIT(row, ""/""), N45)))))))))"),"#N/A")</f>
        <v>#N/A</v>
      </c>
      <c r="Q45" s="5"/>
    </row>
    <row r="46" spans="1:17">
      <c r="A46" s="24">
        <v>45</v>
      </c>
      <c r="B46" s="5" t="s">
        <v>274</v>
      </c>
      <c r="C46" s="19" t="s">
        <v>1354</v>
      </c>
      <c r="D46" s="5" t="s">
        <v>76</v>
      </c>
      <c r="E46" s="5">
        <v>38</v>
      </c>
      <c r="F46" s="5">
        <v>16</v>
      </c>
      <c r="G46" s="5">
        <v>20</v>
      </c>
      <c r="H46" s="5" t="s">
        <v>404</v>
      </c>
      <c r="I46" s="5">
        <v>26</v>
      </c>
      <c r="J46" s="15">
        <v>1</v>
      </c>
      <c r="K46" s="5" t="s">
        <v>1779</v>
      </c>
      <c r="L46" s="16">
        <f t="shared" si="0"/>
        <v>520</v>
      </c>
      <c r="M46" s="17">
        <f t="shared" si="1"/>
        <v>13.684210526315789</v>
      </c>
      <c r="N46" s="5" t="s">
        <v>1910</v>
      </c>
      <c r="O46" s="5" t="str">
        <f ca="1">IFERROR(__xludf.DUMMYFUNCTION("TEXTJOIN("", "", TRUE, FILTER(PokemonList!$C:$C, (PokemonList!$B:$B=""6★"") * (BYROW(PokemonList!$D:$D, LAMBDA(row, OR(INDEX(ISNUMBER(SEARCH(SPLIT(row, ""/""), N46)))))))))"),"#N/A")</f>
        <v>#N/A</v>
      </c>
      <c r="P46" s="1" t="str">
        <f ca="1">IFERROR(__xludf.DUMMYFUNCTION("TEXTJOIN("", "", TRUE, FILTER(PokemonList!$C:$C, (PokemonList!$B:$B=""5★"") * (BYROW(PokemonList!$D:$D, LAMBDA(row, OR(INDEX(ISNUMBER(SEARCH(SPLIT(row, ""/""), N46)))))))))"),"#N/A")</f>
        <v>#N/A</v>
      </c>
      <c r="Q46" s="5"/>
    </row>
    <row r="47" spans="1:17">
      <c r="A47" s="24">
        <v>46</v>
      </c>
      <c r="B47" s="5" t="s">
        <v>276</v>
      </c>
      <c r="C47" s="19" t="s">
        <v>722</v>
      </c>
      <c r="D47" s="5" t="s">
        <v>76</v>
      </c>
      <c r="E47" s="5">
        <v>84</v>
      </c>
      <c r="F47" s="5">
        <v>93</v>
      </c>
      <c r="G47" s="5">
        <v>65</v>
      </c>
      <c r="H47" s="5" t="s">
        <v>404</v>
      </c>
      <c r="I47" s="5">
        <v>69</v>
      </c>
      <c r="J47" s="15">
        <v>1</v>
      </c>
      <c r="K47" s="5" t="s">
        <v>1779</v>
      </c>
      <c r="L47" s="16">
        <f t="shared" si="0"/>
        <v>4485</v>
      </c>
      <c r="M47" s="17">
        <f t="shared" si="1"/>
        <v>53.392857142857146</v>
      </c>
      <c r="N47" s="5" t="s">
        <v>1910</v>
      </c>
      <c r="O47" s="5" t="str">
        <f ca="1">IFERROR(__xludf.DUMMYFUNCTION("TEXTJOIN("", "", TRUE, FILTER(PokemonList!$C:$C, (PokemonList!$B:$B=""6★"") * (BYROW(PokemonList!$D:$D, LAMBDA(row, OR(INDEX(ISNUMBER(SEARCH(SPLIT(row, ""/""), N47)))))))))"),"#N/A")</f>
        <v>#N/A</v>
      </c>
      <c r="P47" s="1" t="str">
        <f ca="1">IFERROR(__xludf.DUMMYFUNCTION("TEXTJOIN("", "", TRUE, FILTER(PokemonList!$C:$C, (PokemonList!$B:$B=""5★"") * (BYROW(PokemonList!$D:$D, LAMBDA(row, OR(INDEX(ISNUMBER(SEARCH(SPLIT(row, ""/""), N47)))))))))"),"#N/A")</f>
        <v>#N/A</v>
      </c>
      <c r="Q47" s="5"/>
    </row>
    <row r="48" spans="1:17">
      <c r="A48" s="24">
        <v>47</v>
      </c>
      <c r="B48" s="5" t="s">
        <v>278</v>
      </c>
      <c r="C48" s="19" t="s">
        <v>430</v>
      </c>
      <c r="D48" s="5" t="s">
        <v>431</v>
      </c>
      <c r="E48" s="5">
        <v>36</v>
      </c>
      <c r="F48" s="5">
        <v>31</v>
      </c>
      <c r="G48" s="5">
        <v>40</v>
      </c>
      <c r="H48" s="5" t="s">
        <v>327</v>
      </c>
      <c r="I48" s="5">
        <v>21</v>
      </c>
      <c r="J48" s="15">
        <v>1</v>
      </c>
      <c r="K48" s="5" t="s">
        <v>1789</v>
      </c>
      <c r="L48" s="16">
        <f t="shared" si="0"/>
        <v>840</v>
      </c>
      <c r="M48" s="17">
        <f t="shared" si="1"/>
        <v>23.333333333333332</v>
      </c>
      <c r="N48" s="5" t="s">
        <v>1910</v>
      </c>
      <c r="O48" s="5" t="str">
        <f ca="1">IFERROR(__xludf.DUMMYFUNCTION("TEXTJOIN("", "", TRUE, FILTER(PokemonList!$C:$C, (PokemonList!$B:$B=""6★"") * (BYROW(PokemonList!$D:$D, LAMBDA(row, OR(INDEX(ISNUMBER(SEARCH(SPLIT(row, ""/""), N48)))))))))"),"#N/A")</f>
        <v>#N/A</v>
      </c>
      <c r="P48" s="1" t="str">
        <f ca="1">IFERROR(__xludf.DUMMYFUNCTION("TEXTJOIN("", "", TRUE, FILTER(PokemonList!$C:$C, (PokemonList!$B:$B=""5★"") * (BYROW(PokemonList!$D:$D, LAMBDA(row, OR(INDEX(ISNUMBER(SEARCH(SPLIT(row, ""/""), N48)))))))))"),"#N/A")</f>
        <v>#N/A</v>
      </c>
      <c r="Q48" s="5"/>
    </row>
    <row r="49" spans="1:17">
      <c r="A49" s="24">
        <v>48</v>
      </c>
      <c r="B49" s="5" t="s">
        <v>280</v>
      </c>
      <c r="C49" s="19" t="s">
        <v>433</v>
      </c>
      <c r="D49" s="5" t="s">
        <v>431</v>
      </c>
      <c r="E49" s="5">
        <v>54</v>
      </c>
      <c r="F49" s="5">
        <v>47</v>
      </c>
      <c r="G49" s="5">
        <v>60</v>
      </c>
      <c r="H49" s="5" t="s">
        <v>404</v>
      </c>
      <c r="I49" s="5">
        <v>41</v>
      </c>
      <c r="J49" s="15">
        <v>1</v>
      </c>
      <c r="K49" s="5" t="s">
        <v>1789</v>
      </c>
      <c r="L49" s="16">
        <f t="shared" si="0"/>
        <v>2460</v>
      </c>
      <c r="M49" s="17">
        <f t="shared" si="1"/>
        <v>45.555555555555557</v>
      </c>
      <c r="N49" s="5" t="s">
        <v>1910</v>
      </c>
      <c r="O49" s="5" t="str">
        <f ca="1">IFERROR(__xludf.DUMMYFUNCTION("TEXTJOIN("", "", TRUE, FILTER(PokemonList!$C:$C, (PokemonList!$B:$B=""6★"") * (BYROW(PokemonList!$D:$D, LAMBDA(row, OR(INDEX(ISNUMBER(SEARCH(SPLIT(row, ""/""), N49)))))))))"),"#N/A")</f>
        <v>#N/A</v>
      </c>
      <c r="P49" s="1" t="str">
        <f ca="1">IFERROR(__xludf.DUMMYFUNCTION("TEXTJOIN("", "", TRUE, FILTER(PokemonList!$C:$C, (PokemonList!$B:$B=""5★"") * (BYROW(PokemonList!$D:$D, LAMBDA(row, OR(INDEX(ISNUMBER(SEARCH(SPLIT(row, ""/""), N49)))))))))"),"#N/A")</f>
        <v>#N/A</v>
      </c>
      <c r="Q49" s="5"/>
    </row>
    <row r="50" spans="1:17">
      <c r="A50" s="24">
        <v>49</v>
      </c>
      <c r="B50" s="5" t="s">
        <v>66</v>
      </c>
      <c r="C50" s="19" t="s">
        <v>1245</v>
      </c>
      <c r="D50" s="5" t="s">
        <v>431</v>
      </c>
      <c r="E50" s="5">
        <v>82</v>
      </c>
      <c r="F50" s="5">
        <v>77</v>
      </c>
      <c r="G50" s="5">
        <v>75</v>
      </c>
      <c r="H50" s="5" t="s">
        <v>327</v>
      </c>
      <c r="I50" s="5">
        <v>55</v>
      </c>
      <c r="J50" s="15">
        <v>0.95</v>
      </c>
      <c r="K50" s="5" t="s">
        <v>1789</v>
      </c>
      <c r="L50" s="16">
        <f t="shared" si="0"/>
        <v>4125</v>
      </c>
      <c r="M50" s="17">
        <f t="shared" si="1"/>
        <v>50.304878048780488</v>
      </c>
      <c r="N50" s="5" t="s">
        <v>1910</v>
      </c>
      <c r="O50" s="5" t="str">
        <f ca="1">IFERROR(__xludf.DUMMYFUNCTION("TEXTJOIN("", "", TRUE, FILTER(PokemonList!$C:$C, (PokemonList!$B:$B=""6★"") * (BYROW(PokemonList!$D:$D, LAMBDA(row, OR(INDEX(ISNUMBER(SEARCH(SPLIT(row, ""/""), N50)))))))))"),"#N/A")</f>
        <v>#N/A</v>
      </c>
      <c r="P50" s="1" t="str">
        <f ca="1">IFERROR(__xludf.DUMMYFUNCTION("TEXTJOIN("", "", TRUE, FILTER(PokemonList!$C:$C, (PokemonList!$B:$B=""5★"") * (BYROW(PokemonList!$D:$D, LAMBDA(row, OR(INDEX(ISNUMBER(SEARCH(SPLIT(row, ""/""), N50)))))))))"),"#N/A")</f>
        <v>#N/A</v>
      </c>
      <c r="Q50" s="5" t="s">
        <v>1794</v>
      </c>
    </row>
    <row r="51" spans="1:17">
      <c r="A51" s="24">
        <v>50</v>
      </c>
      <c r="B51" s="5" t="s">
        <v>283</v>
      </c>
      <c r="C51" s="19" t="s">
        <v>1059</v>
      </c>
      <c r="D51" s="5" t="s">
        <v>64</v>
      </c>
      <c r="E51" s="5">
        <v>40</v>
      </c>
      <c r="F51" s="5">
        <v>24</v>
      </c>
      <c r="G51" s="5">
        <v>77.5</v>
      </c>
      <c r="H51" s="5" t="s">
        <v>404</v>
      </c>
      <c r="I51" s="5">
        <v>41</v>
      </c>
      <c r="J51" s="15">
        <v>1</v>
      </c>
      <c r="K51" s="5" t="s">
        <v>1812</v>
      </c>
      <c r="L51" s="16">
        <f t="shared" si="0"/>
        <v>3177.5</v>
      </c>
      <c r="M51" s="17">
        <f t="shared" si="1"/>
        <v>79.4375</v>
      </c>
      <c r="N51" s="5" t="s">
        <v>1910</v>
      </c>
      <c r="O51" s="5" t="str">
        <f ca="1">IFERROR(__xludf.DUMMYFUNCTION("TEXTJOIN("", "", TRUE, FILTER(PokemonList!$C:$C, (PokemonList!$B:$B=""6★"") * (BYROW(PokemonList!$D:$D, LAMBDA(row, OR(INDEX(ISNUMBER(SEARCH(SPLIT(row, ""/""), N51)))))))))"),"#N/A")</f>
        <v>#N/A</v>
      </c>
      <c r="P51" s="1" t="str">
        <f ca="1">IFERROR(__xludf.DUMMYFUNCTION("TEXTJOIN("", "", TRUE, FILTER(PokemonList!$C:$C, (PokemonList!$B:$B=""5★"") * (BYROW(PokemonList!$D:$D, LAMBDA(row, OR(INDEX(ISNUMBER(SEARCH(SPLIT(row, ""/""), N51)))))))))"),"#N/A")</f>
        <v>#N/A</v>
      </c>
      <c r="Q51" s="5" t="s">
        <v>1785</v>
      </c>
    </row>
    <row r="52" spans="1:17">
      <c r="A52" s="24">
        <v>51</v>
      </c>
      <c r="B52" s="5" t="s">
        <v>6</v>
      </c>
      <c r="C52" s="19" t="s">
        <v>1262</v>
      </c>
      <c r="D52" s="5" t="s">
        <v>64</v>
      </c>
      <c r="E52" s="5">
        <v>78</v>
      </c>
      <c r="F52" s="5">
        <v>78</v>
      </c>
      <c r="G52" s="5">
        <v>85</v>
      </c>
      <c r="H52" s="5" t="s">
        <v>404</v>
      </c>
      <c r="I52" s="5">
        <v>77</v>
      </c>
      <c r="J52" s="15">
        <v>0.9</v>
      </c>
      <c r="K52" s="30" t="s">
        <v>1812</v>
      </c>
      <c r="L52" s="16">
        <f t="shared" si="0"/>
        <v>6545</v>
      </c>
      <c r="M52" s="17">
        <f t="shared" si="1"/>
        <v>83.910256410256409</v>
      </c>
      <c r="N52" s="5" t="s">
        <v>1910</v>
      </c>
      <c r="O52" s="5" t="str">
        <f ca="1">IFERROR(__xludf.DUMMYFUNCTION("TEXTJOIN("", "", TRUE, FILTER(PokemonList!$C:$C, (PokemonList!$B:$B=""6★"") * (BYROW(PokemonList!$D:$D, LAMBDA(row, OR(INDEX(ISNUMBER(SEARCH(SPLIT(row, ""/""), N52)))))))))"),"#N/A")</f>
        <v>#N/A</v>
      </c>
      <c r="P52" s="1" t="str">
        <f ca="1">IFERROR(__xludf.DUMMYFUNCTION("TEXTJOIN("", "", TRUE, FILTER(PokemonList!$C:$C, (PokemonList!$B:$B=""5★"") * (BYROW(PokemonList!$D:$D, LAMBDA(row, OR(INDEX(ISNUMBER(SEARCH(SPLIT(row, ""/""), N52)))))))))"),"#N/A")</f>
        <v>#N/A</v>
      </c>
      <c r="Q52" s="5"/>
    </row>
    <row r="53" spans="1:17">
      <c r="A53" s="24">
        <v>52</v>
      </c>
      <c r="B53" s="5" t="s">
        <v>287</v>
      </c>
      <c r="C53" s="19" t="s">
        <v>548</v>
      </c>
      <c r="D53" s="5" t="s">
        <v>32</v>
      </c>
      <c r="E53" s="5">
        <v>42</v>
      </c>
      <c r="F53" s="5">
        <v>16</v>
      </c>
      <c r="G53" s="5">
        <v>50</v>
      </c>
      <c r="H53" s="5" t="s">
        <v>327</v>
      </c>
      <c r="I53" s="5">
        <v>17</v>
      </c>
      <c r="J53" s="15">
        <v>1</v>
      </c>
      <c r="K53" s="30" t="s">
        <v>1813</v>
      </c>
      <c r="L53" s="16">
        <f t="shared" si="0"/>
        <v>850</v>
      </c>
      <c r="M53" s="17">
        <f t="shared" si="1"/>
        <v>20.238095238095237</v>
      </c>
      <c r="N53" s="5" t="s">
        <v>1910</v>
      </c>
      <c r="O53" s="5" t="str">
        <f ca="1">IFERROR(__xludf.DUMMYFUNCTION("TEXTJOIN("", "", TRUE, FILTER(PokemonList!$C:$C, (PokemonList!$B:$B=""6★"") * (BYROW(PokemonList!$D:$D, LAMBDA(row, OR(INDEX(ISNUMBER(SEARCH(SPLIT(row, ""/""), N53)))))))))"),"#N/A")</f>
        <v>#N/A</v>
      </c>
      <c r="P53" s="1" t="str">
        <f ca="1">IFERROR(__xludf.DUMMYFUNCTION("TEXTJOIN("", "", TRUE, FILTER(PokemonList!$C:$C, (PokemonList!$B:$B=""5★"") * (BYROW(PokemonList!$D:$D, LAMBDA(row, OR(INDEX(ISNUMBER(SEARCH(SPLIT(row, ""/""), N53)))))))))"),"#N/A")</f>
        <v>#N/A</v>
      </c>
      <c r="Q53" s="5" t="s">
        <v>1787</v>
      </c>
    </row>
    <row r="54" spans="1:17">
      <c r="A54" s="24">
        <v>53</v>
      </c>
      <c r="B54" s="5" t="s">
        <v>289</v>
      </c>
      <c r="C54" s="19" t="s">
        <v>964</v>
      </c>
      <c r="D54" s="5" t="s">
        <v>726</v>
      </c>
      <c r="E54" s="5">
        <v>74</v>
      </c>
      <c r="F54" s="5">
        <v>24</v>
      </c>
      <c r="G54" s="5">
        <v>80</v>
      </c>
      <c r="H54" s="5" t="s">
        <v>404</v>
      </c>
      <c r="I54" s="5">
        <v>60</v>
      </c>
      <c r="J54" s="15">
        <v>1</v>
      </c>
      <c r="K54" s="30" t="s">
        <v>1813</v>
      </c>
      <c r="L54" s="16">
        <f t="shared" si="0"/>
        <v>4800</v>
      </c>
      <c r="M54" s="17">
        <f t="shared" si="1"/>
        <v>64.86486486486487</v>
      </c>
      <c r="N54" s="5" t="s">
        <v>1910</v>
      </c>
      <c r="O54" s="5" t="str">
        <f ca="1">IFERROR(__xludf.DUMMYFUNCTION("TEXTJOIN("", "", TRUE, FILTER(PokemonList!$C:$C, (PokemonList!$B:$B=""6★"") * (BYROW(PokemonList!$D:$D, LAMBDA(row, OR(INDEX(ISNUMBER(SEARCH(SPLIT(row, ""/""), N54)))))))))"),"#N/A")</f>
        <v>#N/A</v>
      </c>
      <c r="P54" s="1" t="str">
        <f ca="1">IFERROR(__xludf.DUMMYFUNCTION("TEXTJOIN("", "", TRUE, FILTER(PokemonList!$C:$C, (PokemonList!$B:$B=""5★"") * (BYROW(PokemonList!$D:$D, LAMBDA(row, OR(INDEX(ISNUMBER(SEARCH(SPLIT(row, ""/""), N54)))))))))"),"#N/A")</f>
        <v>#N/A</v>
      </c>
      <c r="Q54" s="5"/>
    </row>
    <row r="55" spans="1:17">
      <c r="A55" s="24">
        <v>54</v>
      </c>
      <c r="B55" s="5" t="s">
        <v>291</v>
      </c>
      <c r="C55" s="19" t="s">
        <v>1749</v>
      </c>
      <c r="D55" s="5" t="s">
        <v>154</v>
      </c>
      <c r="E55" s="5">
        <v>40</v>
      </c>
      <c r="F55" s="5">
        <v>6</v>
      </c>
      <c r="G55" s="5">
        <v>35</v>
      </c>
      <c r="H55" s="5" t="s">
        <v>404</v>
      </c>
      <c r="I55" s="5">
        <v>55</v>
      </c>
      <c r="J55" s="15">
        <v>0.85</v>
      </c>
      <c r="K55" s="30" t="s">
        <v>1780</v>
      </c>
      <c r="L55" s="16">
        <f t="shared" si="0"/>
        <v>1925</v>
      </c>
      <c r="M55" s="17">
        <f t="shared" si="1"/>
        <v>48.125</v>
      </c>
      <c r="N55" s="5" t="s">
        <v>1910</v>
      </c>
      <c r="O55" s="5" t="str">
        <f ca="1">IFERROR(__xludf.DUMMYFUNCTION("TEXTJOIN("", "", TRUE, FILTER(PokemonList!$C:$C, (PokemonList!$B:$B=""6★"") * (BYROW(PokemonList!$D:$D, LAMBDA(row, OR(INDEX(ISNUMBER(SEARCH(SPLIT(row, ""/""), N55)))))))))"),"#N/A")</f>
        <v>#N/A</v>
      </c>
      <c r="P55" s="1" t="str">
        <f ca="1">IFERROR(__xludf.DUMMYFUNCTION("TEXTJOIN("", "", TRUE, FILTER(PokemonList!$C:$C, (PokemonList!$B:$B=""5★"") * (BYROW(PokemonList!$D:$D, LAMBDA(row, OR(INDEX(ISNUMBER(SEARCH(SPLIT(row, ""/""), N55)))))))))"),"#N/A")</f>
        <v>#N/A</v>
      </c>
      <c r="Q55" s="5"/>
    </row>
    <row r="56" spans="1:17">
      <c r="A56" s="24">
        <v>55</v>
      </c>
      <c r="B56" s="5" t="s">
        <v>293</v>
      </c>
      <c r="C56" s="19" t="s">
        <v>750</v>
      </c>
      <c r="D56" s="5" t="s">
        <v>336</v>
      </c>
      <c r="E56" s="5">
        <v>58</v>
      </c>
      <c r="F56" s="5">
        <v>51</v>
      </c>
      <c r="G56" s="5">
        <v>60</v>
      </c>
      <c r="H56" s="5" t="s">
        <v>404</v>
      </c>
      <c r="I56" s="5">
        <v>51</v>
      </c>
      <c r="J56" s="15">
        <v>0.9</v>
      </c>
      <c r="K56" s="5" t="s">
        <v>1815</v>
      </c>
      <c r="L56" s="16">
        <f t="shared" si="0"/>
        <v>3060</v>
      </c>
      <c r="M56" s="17">
        <f t="shared" si="1"/>
        <v>52.758620689655174</v>
      </c>
      <c r="N56" s="5" t="s">
        <v>1910</v>
      </c>
      <c r="O56" s="5" t="str">
        <f ca="1">IFERROR(__xludf.DUMMYFUNCTION("TEXTJOIN("", "", TRUE, FILTER(PokemonList!$C:$C, (PokemonList!$B:$B=""6★"") * (BYROW(PokemonList!$D:$D, LAMBDA(row, OR(INDEX(ISNUMBER(SEARCH(SPLIT(row, ""/""), N56)))))))))"),"#N/A")</f>
        <v>#N/A</v>
      </c>
      <c r="P56" s="1" t="str">
        <f ca="1">IFERROR(__xludf.DUMMYFUNCTION("TEXTJOIN("", "", TRUE, FILTER(PokemonList!$C:$C, (PokemonList!$B:$B=""5★"") * (BYROW(PokemonList!$D:$D, LAMBDA(row, OR(INDEX(ISNUMBER(SEARCH(SPLIT(row, ""/""), N56)))))))))"),"#N/A")</f>
        <v>#N/A</v>
      </c>
      <c r="Q56" s="5"/>
    </row>
    <row r="57" spans="1:17">
      <c r="A57" s="24">
        <v>56</v>
      </c>
      <c r="B57" s="5" t="s">
        <v>78</v>
      </c>
      <c r="C57" s="19" t="s">
        <v>1044</v>
      </c>
      <c r="D57" s="5" t="s">
        <v>336</v>
      </c>
      <c r="E57" s="5">
        <v>96</v>
      </c>
      <c r="F57" s="5">
        <v>83</v>
      </c>
      <c r="G57" s="5">
        <v>80</v>
      </c>
      <c r="H57" s="5" t="s">
        <v>404</v>
      </c>
      <c r="I57" s="5">
        <v>83</v>
      </c>
      <c r="J57" s="15">
        <v>1</v>
      </c>
      <c r="K57" s="5" t="s">
        <v>1815</v>
      </c>
      <c r="L57" s="16">
        <f t="shared" si="0"/>
        <v>6640</v>
      </c>
      <c r="M57" s="17">
        <f t="shared" si="1"/>
        <v>69.166666666666671</v>
      </c>
      <c r="N57" s="5" t="s">
        <v>1910</v>
      </c>
      <c r="O57" s="5" t="str">
        <f ca="1">IFERROR(__xludf.DUMMYFUNCTION("TEXTJOIN("", "", TRUE, FILTER(PokemonList!$C:$C, (PokemonList!$B:$B=""6★"") * (BYROW(PokemonList!$D:$D, LAMBDA(row, OR(INDEX(ISNUMBER(SEARCH(SPLIT(row, ""/""), N57)))))))))"),"#N/A")</f>
        <v>#N/A</v>
      </c>
      <c r="P57" s="1" t="str">
        <f ca="1">IFERROR(__xludf.DUMMYFUNCTION("TEXTJOIN("", "", TRUE, FILTER(PokemonList!$C:$C, (PokemonList!$B:$B=""5★"") * (BYROW(PokemonList!$D:$D, LAMBDA(row, OR(INDEX(ISNUMBER(SEARCH(SPLIT(row, ""/""), N57)))))))))"),"#N/A")</f>
        <v>#N/A</v>
      </c>
      <c r="Q57" s="5"/>
    </row>
    <row r="58" spans="1:17">
      <c r="A58" s="24">
        <v>57</v>
      </c>
      <c r="B58" s="5" t="s">
        <v>296</v>
      </c>
      <c r="C58" s="19" t="s">
        <v>491</v>
      </c>
      <c r="D58" s="5" t="s">
        <v>431</v>
      </c>
      <c r="E58" s="5">
        <v>38</v>
      </c>
      <c r="F58" s="5">
        <v>50</v>
      </c>
      <c r="G58" s="5">
        <v>40</v>
      </c>
      <c r="H58" s="5" t="s">
        <v>327</v>
      </c>
      <c r="I58" s="5">
        <v>34</v>
      </c>
      <c r="J58" s="15">
        <v>1</v>
      </c>
      <c r="K58" s="5" t="s">
        <v>1788</v>
      </c>
      <c r="L58" s="16">
        <f t="shared" si="0"/>
        <v>1360</v>
      </c>
      <c r="M58" s="17">
        <f t="shared" si="1"/>
        <v>35.789473684210527</v>
      </c>
      <c r="N58" s="5" t="s">
        <v>1910</v>
      </c>
      <c r="O58" s="5" t="str">
        <f ca="1">IFERROR(__xludf.DUMMYFUNCTION("TEXTJOIN("", "", TRUE, FILTER(PokemonList!$C:$C, (PokemonList!$B:$B=""6★"") * (BYROW(PokemonList!$D:$D, LAMBDA(row, OR(INDEX(ISNUMBER(SEARCH(SPLIT(row, ""/""), N58)))))))))"),"#N/A")</f>
        <v>#N/A</v>
      </c>
      <c r="P58" s="1" t="str">
        <f ca="1">IFERROR(__xludf.DUMMYFUNCTION("TEXTJOIN("", "", TRUE, FILTER(PokemonList!$C:$C, (PokemonList!$B:$B=""5★"") * (BYROW(PokemonList!$D:$D, LAMBDA(row, OR(INDEX(ISNUMBER(SEARCH(SPLIT(row, ""/""), N58)))))))))"),"#N/A")</f>
        <v>#N/A</v>
      </c>
      <c r="Q58" s="5" t="s">
        <v>1794</v>
      </c>
    </row>
    <row r="59" spans="1:17">
      <c r="A59" s="24">
        <v>58</v>
      </c>
      <c r="B59" s="5" t="s">
        <v>298</v>
      </c>
      <c r="C59" s="19" t="s">
        <v>1188</v>
      </c>
      <c r="D59" s="5" t="s">
        <v>431</v>
      </c>
      <c r="E59" s="5">
        <v>70</v>
      </c>
      <c r="F59" s="5">
        <v>46</v>
      </c>
      <c r="G59" s="5">
        <v>75</v>
      </c>
      <c r="H59" s="5" t="s">
        <v>327</v>
      </c>
      <c r="I59" s="5">
        <v>65</v>
      </c>
      <c r="J59" s="15">
        <v>0.95</v>
      </c>
      <c r="K59" s="5" t="s">
        <v>1788</v>
      </c>
      <c r="L59" s="16">
        <f t="shared" si="0"/>
        <v>4875</v>
      </c>
      <c r="M59" s="17">
        <f t="shared" si="1"/>
        <v>69.642857142857139</v>
      </c>
      <c r="N59" s="5" t="s">
        <v>1910</v>
      </c>
      <c r="O59" s="5" t="str">
        <f ca="1">IFERROR(__xludf.DUMMYFUNCTION("TEXTJOIN("", "", TRUE, FILTER(PokemonList!$C:$C, (PokemonList!$B:$B=""6★"") * (BYROW(PokemonList!$D:$D, LAMBDA(row, OR(INDEX(ISNUMBER(SEARCH(SPLIT(row, ""/""), N59)))))))))"),"#N/A")</f>
        <v>#N/A</v>
      </c>
      <c r="P59" s="1" t="str">
        <f ca="1">IFERROR(__xludf.DUMMYFUNCTION("TEXTJOIN("", "", TRUE, FILTER(PokemonList!$C:$C, (PokemonList!$B:$B=""5★"") * (BYROW(PokemonList!$D:$D, LAMBDA(row, OR(INDEX(ISNUMBER(SEARCH(SPLIT(row, ""/""), N59)))))))))"),"#N/A")</f>
        <v>#N/A</v>
      </c>
      <c r="Q59" s="5"/>
    </row>
    <row r="60" spans="1:17">
      <c r="A60" s="24">
        <v>59</v>
      </c>
      <c r="B60" s="5" t="s">
        <v>300</v>
      </c>
      <c r="C60" s="19" t="s">
        <v>416</v>
      </c>
      <c r="D60" s="5" t="s">
        <v>64</v>
      </c>
      <c r="E60" s="5">
        <v>68</v>
      </c>
      <c r="F60" s="5">
        <v>62</v>
      </c>
      <c r="G60" s="5">
        <v>60</v>
      </c>
      <c r="H60" s="5" t="s">
        <v>404</v>
      </c>
      <c r="I60" s="5">
        <v>35</v>
      </c>
      <c r="J60" s="15">
        <v>1</v>
      </c>
      <c r="K60" s="5" t="s">
        <v>389</v>
      </c>
      <c r="L60" s="16">
        <f t="shared" si="0"/>
        <v>2100</v>
      </c>
      <c r="M60" s="17">
        <f t="shared" si="1"/>
        <v>30.882352941176471</v>
      </c>
      <c r="N60" s="5" t="s">
        <v>1910</v>
      </c>
      <c r="O60" s="5" t="str">
        <f ca="1">IFERROR(__xludf.DUMMYFUNCTION("TEXTJOIN("", "", TRUE, FILTER(PokemonList!$C:$C, (PokemonList!$B:$B=""6★"") * (BYROW(PokemonList!$D:$D, LAMBDA(row, OR(INDEX(ISNUMBER(SEARCH(SPLIT(row, ""/""), N60)))))))))"),"#N/A")</f>
        <v>#N/A</v>
      </c>
      <c r="P60" s="1" t="str">
        <f ca="1">IFERROR(__xludf.DUMMYFUNCTION("TEXTJOIN("", "", TRUE, FILTER(PokemonList!$C:$C, (PokemonList!$B:$B=""5★"") * (BYROW(PokemonList!$D:$D, LAMBDA(row, OR(INDEX(ISNUMBER(SEARCH(SPLIT(row, ""/""), N60)))))))))"),"#N/A")</f>
        <v>#N/A</v>
      </c>
      <c r="Q60" s="5"/>
    </row>
    <row r="61" spans="1:17">
      <c r="A61" s="24">
        <v>60</v>
      </c>
      <c r="B61" s="5" t="s">
        <v>303</v>
      </c>
      <c r="C61" s="19" t="s">
        <v>557</v>
      </c>
      <c r="D61" s="5" t="s">
        <v>32</v>
      </c>
      <c r="E61" s="5">
        <v>42</v>
      </c>
      <c r="F61" s="5">
        <v>50</v>
      </c>
      <c r="G61" s="5">
        <v>60</v>
      </c>
      <c r="H61" s="5" t="s">
        <v>327</v>
      </c>
      <c r="I61" s="5">
        <v>57</v>
      </c>
      <c r="J61" s="15">
        <v>1</v>
      </c>
      <c r="K61" s="5" t="s">
        <v>333</v>
      </c>
      <c r="L61" s="16">
        <f t="shared" si="0"/>
        <v>3420</v>
      </c>
      <c r="M61" s="17">
        <f t="shared" si="1"/>
        <v>81.428571428571431</v>
      </c>
      <c r="N61" s="5" t="s">
        <v>1910</v>
      </c>
      <c r="O61" s="5" t="str">
        <f ca="1">IFERROR(__xludf.DUMMYFUNCTION("TEXTJOIN("", "", TRUE, FILTER(PokemonList!$C:$C, (PokemonList!$B:$B=""6★"") * (BYROW(PokemonList!$D:$D, LAMBDA(row, OR(INDEX(ISNUMBER(SEARCH(SPLIT(row, ""/""), N61)))))))))"),"#N/A")</f>
        <v>#N/A</v>
      </c>
      <c r="P61" s="1" t="str">
        <f ca="1">IFERROR(__xludf.DUMMYFUNCTION("TEXTJOIN("", "", TRUE, FILTER(PokemonList!$C:$C, (PokemonList!$B:$B=""5★"") * (BYROW(PokemonList!$D:$D, LAMBDA(row, OR(INDEX(ISNUMBER(SEARCH(SPLIT(row, ""/""), N61)))))))))"),"#N/A")</f>
        <v>#N/A</v>
      </c>
      <c r="Q61" s="5"/>
    </row>
    <row r="62" spans="1:17">
      <c r="A62" s="24">
        <v>61</v>
      </c>
      <c r="B62" s="5" t="s">
        <v>305</v>
      </c>
      <c r="C62" s="19" t="s">
        <v>497</v>
      </c>
      <c r="D62" s="5" t="s">
        <v>32</v>
      </c>
      <c r="E62" s="5">
        <v>62</v>
      </c>
      <c r="F62" s="5">
        <v>70</v>
      </c>
      <c r="G62" s="5">
        <v>65</v>
      </c>
      <c r="H62" s="5" t="s">
        <v>327</v>
      </c>
      <c r="I62" s="5">
        <v>79</v>
      </c>
      <c r="J62" s="15">
        <v>1</v>
      </c>
      <c r="K62" s="5" t="s">
        <v>333</v>
      </c>
      <c r="L62" s="16">
        <f t="shared" si="0"/>
        <v>5135</v>
      </c>
      <c r="M62" s="17">
        <f t="shared" si="1"/>
        <v>82.822580645161295</v>
      </c>
      <c r="N62" s="5" t="s">
        <v>1910</v>
      </c>
      <c r="O62" s="5" t="str">
        <f ca="1">IFERROR(__xludf.DUMMYFUNCTION("TEXTJOIN("", "", TRUE, FILTER(PokemonList!$C:$C, (PokemonList!$B:$B=""6★"") * (BYROW(PokemonList!$D:$D, LAMBDA(row, OR(INDEX(ISNUMBER(SEARCH(SPLIT(row, ""/""), N62)))))))))"),"#N/A")</f>
        <v>#N/A</v>
      </c>
      <c r="P62" s="1" t="str">
        <f ca="1">IFERROR(__xludf.DUMMYFUNCTION("TEXTJOIN("", "", TRUE, FILTER(PokemonList!$C:$C, (PokemonList!$B:$B=""5★"") * (BYROW(PokemonList!$D:$D, LAMBDA(row, OR(INDEX(ISNUMBER(SEARCH(SPLIT(row, ""/""), N62)))))))))"),"#N/A")</f>
        <v>#N/A</v>
      </c>
      <c r="Q62" s="5"/>
    </row>
    <row r="63" spans="1:17">
      <c r="A63" s="24">
        <v>62</v>
      </c>
      <c r="B63" s="5" t="s">
        <v>14</v>
      </c>
      <c r="C63" s="19" t="s">
        <v>32</v>
      </c>
      <c r="D63" s="5" t="s">
        <v>32</v>
      </c>
      <c r="E63" s="5">
        <v>88</v>
      </c>
      <c r="F63" s="5">
        <v>93</v>
      </c>
      <c r="G63" s="5">
        <v>90</v>
      </c>
      <c r="H63" s="5" t="s">
        <v>327</v>
      </c>
      <c r="I63" s="5">
        <v>109</v>
      </c>
      <c r="J63" s="15">
        <v>1</v>
      </c>
      <c r="K63" s="5" t="s">
        <v>333</v>
      </c>
      <c r="L63" s="16">
        <f t="shared" si="0"/>
        <v>9810</v>
      </c>
      <c r="M63" s="17">
        <f t="shared" si="1"/>
        <v>111.47727272727273</v>
      </c>
      <c r="N63" s="5" t="s">
        <v>1910</v>
      </c>
      <c r="O63" s="5" t="str">
        <f ca="1">IFERROR(__xludf.DUMMYFUNCTION("TEXTJOIN("", "", TRUE, FILTER(PokemonList!$C:$C, (PokemonList!$B:$B=""6★"") * (BYROW(PokemonList!$D:$D, LAMBDA(row, OR(INDEX(ISNUMBER(SEARCH(SPLIT(row, ""/""), N63)))))))))"),"#N/A")</f>
        <v>#N/A</v>
      </c>
      <c r="P63" s="1" t="str">
        <f ca="1">IFERROR(__xludf.DUMMYFUNCTION("TEXTJOIN("", "", TRUE, FILTER(PokemonList!$C:$C, (PokemonList!$B:$B=""5★"") * (BYROW(PokemonList!$D:$D, LAMBDA(row, OR(INDEX(ISNUMBER(SEARCH(SPLIT(row, ""/""), N63)))))))))"),"#N/A")</f>
        <v>#N/A</v>
      </c>
      <c r="Q63" s="5" t="s">
        <v>1778</v>
      </c>
    </row>
    <row r="64" spans="1:17">
      <c r="A64" s="24">
        <v>63</v>
      </c>
      <c r="B64" s="5" t="s">
        <v>308</v>
      </c>
      <c r="C64" s="19" t="s">
        <v>897</v>
      </c>
      <c r="D64" s="5" t="s">
        <v>363</v>
      </c>
      <c r="E64" s="5">
        <v>56</v>
      </c>
      <c r="F64" s="5">
        <v>48</v>
      </c>
      <c r="G64" s="5">
        <v>30</v>
      </c>
      <c r="H64" s="5" t="s">
        <v>404</v>
      </c>
      <c r="I64" s="5">
        <v>36</v>
      </c>
      <c r="J64" s="15">
        <v>1</v>
      </c>
      <c r="K64" s="5" t="s">
        <v>1816</v>
      </c>
      <c r="L64" s="16">
        <f t="shared" si="0"/>
        <v>1080</v>
      </c>
      <c r="M64" s="17">
        <f t="shared" si="1"/>
        <v>19.285714285714285</v>
      </c>
      <c r="N64" s="5" t="s">
        <v>1910</v>
      </c>
      <c r="O64" s="5" t="str">
        <f ca="1">IFERROR(__xludf.DUMMYFUNCTION("TEXTJOIN("", "", TRUE, FILTER(PokemonList!$C:$C, (PokemonList!$B:$B=""6★"") * (BYROW(PokemonList!$D:$D, LAMBDA(row, OR(INDEX(ISNUMBER(SEARCH(SPLIT(row, ""/""), N64)))))))))"),"#N/A")</f>
        <v>#N/A</v>
      </c>
      <c r="P64" s="1" t="str">
        <f ca="1">IFERROR(__xludf.DUMMYFUNCTION("TEXTJOIN("", "", TRUE, FILTER(PokemonList!$C:$C, (PokemonList!$B:$B=""5★"") * (BYROW(PokemonList!$D:$D, LAMBDA(row, OR(INDEX(ISNUMBER(SEARCH(SPLIT(row, ""/""), N64)))))))))"),"#N/A")</f>
        <v>#N/A</v>
      </c>
      <c r="Q64" s="5"/>
    </row>
    <row r="65" spans="1:17">
      <c r="A65" s="24">
        <v>64</v>
      </c>
      <c r="B65" s="5" t="s">
        <v>311</v>
      </c>
      <c r="C65" s="19" t="s">
        <v>786</v>
      </c>
      <c r="D65" s="5" t="s">
        <v>363</v>
      </c>
      <c r="E65" s="5">
        <v>88</v>
      </c>
      <c r="F65" s="5">
        <v>64</v>
      </c>
      <c r="G65" s="5">
        <v>65</v>
      </c>
      <c r="H65" s="5" t="s">
        <v>327</v>
      </c>
      <c r="I65" s="5">
        <v>71</v>
      </c>
      <c r="J65" s="15">
        <v>1</v>
      </c>
      <c r="K65" s="5" t="s">
        <v>1816</v>
      </c>
      <c r="L65" s="16">
        <f t="shared" si="0"/>
        <v>4615</v>
      </c>
      <c r="M65" s="17">
        <f t="shared" si="1"/>
        <v>52.44318181818182</v>
      </c>
      <c r="N65" s="5" t="s">
        <v>1910</v>
      </c>
      <c r="O65" s="5" t="str">
        <f ca="1">IFERROR(__xludf.DUMMYFUNCTION("TEXTJOIN("", "", TRUE, FILTER(PokemonList!$C:$C, (PokemonList!$B:$B=""6★"") * (BYROW(PokemonList!$D:$D, LAMBDA(row, OR(INDEX(ISNUMBER(SEARCH(SPLIT(row, ""/""), N65)))))))))"),"#N/A")</f>
        <v>#N/A</v>
      </c>
      <c r="P65" s="1" t="str">
        <f ca="1">IFERROR(__xludf.DUMMYFUNCTION("TEXTJOIN("", "", TRUE, FILTER(PokemonList!$C:$C, (PokemonList!$B:$B=""5★"") * (BYROW(PokemonList!$D:$D, LAMBDA(row, OR(INDEX(ISNUMBER(SEARCH(SPLIT(row, ""/""), N65)))))))))"),"#N/A")</f>
        <v>#N/A</v>
      </c>
      <c r="Q65" s="5"/>
    </row>
    <row r="66" spans="1:17">
      <c r="A66" s="24">
        <v>65</v>
      </c>
      <c r="B66" s="5" t="s">
        <v>313</v>
      </c>
      <c r="C66" s="19" t="s">
        <v>467</v>
      </c>
      <c r="D66" s="5" t="s">
        <v>341</v>
      </c>
      <c r="E66" s="5">
        <v>54</v>
      </c>
      <c r="F66" s="5">
        <v>34</v>
      </c>
      <c r="G66" s="5">
        <v>65</v>
      </c>
      <c r="H66" s="5" t="s">
        <v>327</v>
      </c>
      <c r="I66" s="5">
        <v>33</v>
      </c>
      <c r="J66" s="15">
        <v>1</v>
      </c>
      <c r="K66" s="5" t="s">
        <v>1817</v>
      </c>
      <c r="L66" s="16">
        <f t="shared" si="0"/>
        <v>2145</v>
      </c>
      <c r="M66" s="17">
        <f t="shared" si="1"/>
        <v>39.722222222222221</v>
      </c>
      <c r="N66" s="5" t="s">
        <v>1910</v>
      </c>
      <c r="O66" s="5" t="str">
        <f ca="1">IFERROR(__xludf.DUMMYFUNCTION("TEXTJOIN("", "", TRUE, FILTER(PokemonList!$C:$C, (PokemonList!$B:$B=""6★"") * (BYROW(PokemonList!$D:$D, LAMBDA(row, OR(INDEX(ISNUMBER(SEARCH(SPLIT(row, ""/""), N66)))))))))"),"#N/A")</f>
        <v>#N/A</v>
      </c>
      <c r="P66" s="1" t="str">
        <f ca="1">IFERROR(__xludf.DUMMYFUNCTION("TEXTJOIN("", "", TRUE, FILTER(PokemonList!$C:$C, (PokemonList!$B:$B=""5★"") * (BYROW(PokemonList!$D:$D, LAMBDA(row, OR(INDEX(ISNUMBER(SEARCH(SPLIT(row, ""/""), N66)))))))))"),"#N/A")</f>
        <v>#N/A</v>
      </c>
      <c r="Q66" s="5"/>
    </row>
    <row r="67" spans="1:17">
      <c r="A67" s="24">
        <v>66</v>
      </c>
      <c r="B67" s="5" t="s">
        <v>316</v>
      </c>
      <c r="C67" s="19" t="s">
        <v>1495</v>
      </c>
      <c r="D67" s="5" t="s">
        <v>76</v>
      </c>
      <c r="E67" s="5">
        <v>68</v>
      </c>
      <c r="F67" s="5">
        <v>66</v>
      </c>
      <c r="G67" s="5">
        <v>65</v>
      </c>
      <c r="H67" s="5" t="s">
        <v>404</v>
      </c>
      <c r="I67" s="5">
        <v>67</v>
      </c>
      <c r="J67" s="15">
        <v>1</v>
      </c>
      <c r="K67" s="5" t="s">
        <v>1819</v>
      </c>
      <c r="L67" s="16">
        <f t="shared" si="0"/>
        <v>4355</v>
      </c>
      <c r="M67" s="17">
        <f t="shared" si="1"/>
        <v>64.044117647058826</v>
      </c>
      <c r="N67" s="5" t="s">
        <v>1910</v>
      </c>
      <c r="O67" s="5" t="str">
        <f ca="1">IFERROR(__xludf.DUMMYFUNCTION("TEXTJOIN("", "", TRUE, FILTER(PokemonList!$C:$C, (PokemonList!$B:$B=""6★"") * (BYROW(PokemonList!$D:$D, LAMBDA(row, OR(INDEX(ISNUMBER(SEARCH(SPLIT(row, ""/""), N67)))))))))"),"#N/A")</f>
        <v>#N/A</v>
      </c>
      <c r="P67" s="1" t="str">
        <f ca="1">IFERROR(__xludf.DUMMYFUNCTION("TEXTJOIN("", "", TRUE, FILTER(PokemonList!$C:$C, (PokemonList!$B:$B=""5★"") * (BYROW(PokemonList!$D:$D, LAMBDA(row, OR(INDEX(ISNUMBER(SEARCH(SPLIT(row, ""/""), N67)))))))))"),"#N/A")</f>
        <v>#N/A</v>
      </c>
      <c r="Q67" s="5"/>
    </row>
    <row r="68" spans="1:17">
      <c r="A68" s="24">
        <v>67</v>
      </c>
      <c r="B68" s="5" t="s">
        <v>319</v>
      </c>
      <c r="C68" s="19" t="s">
        <v>1296</v>
      </c>
      <c r="D68" s="5" t="s">
        <v>138</v>
      </c>
      <c r="E68" s="5">
        <v>32</v>
      </c>
      <c r="F68" s="5">
        <v>25</v>
      </c>
      <c r="G68" s="5">
        <v>40</v>
      </c>
      <c r="H68" s="5" t="s">
        <v>327</v>
      </c>
      <c r="I68" s="5">
        <v>29</v>
      </c>
      <c r="J68" s="15">
        <v>1</v>
      </c>
      <c r="K68" s="5" t="s">
        <v>1822</v>
      </c>
      <c r="L68" s="16">
        <f t="shared" si="0"/>
        <v>1160</v>
      </c>
      <c r="M68" s="17">
        <f t="shared" si="1"/>
        <v>36.25</v>
      </c>
      <c r="N68" s="5" t="s">
        <v>1910</v>
      </c>
      <c r="O68" s="5" t="str">
        <f ca="1">IFERROR(__xludf.DUMMYFUNCTION("TEXTJOIN("", "", TRUE, FILTER(PokemonList!$C:$C, (PokemonList!$B:$B=""6★"") * (BYROW(PokemonList!$D:$D, LAMBDA(row, OR(INDEX(ISNUMBER(SEARCH(SPLIT(row, ""/""), N68)))))))))"),"#N/A")</f>
        <v>#N/A</v>
      </c>
      <c r="P68" s="1" t="str">
        <f ca="1">IFERROR(__xludf.DUMMYFUNCTION("TEXTJOIN("", "", TRUE, FILTER(PokemonList!$C:$C, (PokemonList!$B:$B=""5★"") * (BYROW(PokemonList!$D:$D, LAMBDA(row, OR(INDEX(ISNUMBER(SEARCH(SPLIT(row, ""/""), N68)))))))))"),"#N/A")</f>
        <v>#N/A</v>
      </c>
      <c r="Q68" s="5"/>
    </row>
    <row r="69" spans="1:17">
      <c r="A69" s="24">
        <v>68</v>
      </c>
      <c r="B69" s="5" t="s">
        <v>321</v>
      </c>
      <c r="C69" s="19" t="s">
        <v>1301</v>
      </c>
      <c r="D69" s="5" t="s">
        <v>138</v>
      </c>
      <c r="E69" s="5">
        <v>50</v>
      </c>
      <c r="F69" s="5">
        <v>38</v>
      </c>
      <c r="G69" s="5">
        <v>50</v>
      </c>
      <c r="H69" s="5" t="s">
        <v>327</v>
      </c>
      <c r="I69" s="5">
        <v>47</v>
      </c>
      <c r="J69" s="15">
        <v>1</v>
      </c>
      <c r="K69" s="5" t="s">
        <v>1822</v>
      </c>
      <c r="L69" s="16">
        <f t="shared" si="0"/>
        <v>2350</v>
      </c>
      <c r="M69" s="17">
        <f t="shared" si="1"/>
        <v>47</v>
      </c>
      <c r="N69" s="5" t="s">
        <v>1910</v>
      </c>
      <c r="O69" s="5" t="str">
        <f ca="1">IFERROR(__xludf.DUMMYFUNCTION("TEXTJOIN("", "", TRUE, FILTER(PokemonList!$C:$C, (PokemonList!$B:$B=""6★"") * (BYROW(PokemonList!$D:$D, LAMBDA(row, OR(INDEX(ISNUMBER(SEARCH(SPLIT(row, ""/""), N69)))))))))"),"#N/A")</f>
        <v>#N/A</v>
      </c>
      <c r="P69" s="1" t="str">
        <f ca="1">IFERROR(__xludf.DUMMYFUNCTION("TEXTJOIN("", "", TRUE, FILTER(PokemonList!$C:$C, (PokemonList!$B:$B=""5★"") * (BYROW(PokemonList!$D:$D, LAMBDA(row, OR(INDEX(ISNUMBER(SEARCH(SPLIT(row, ""/""), N69)))))))))"),"#N/A")</f>
        <v>#N/A</v>
      </c>
      <c r="Q69" s="5"/>
    </row>
    <row r="70" spans="1:17">
      <c r="A70" s="24">
        <v>69</v>
      </c>
      <c r="B70" s="5" t="s">
        <v>10</v>
      </c>
      <c r="C70" s="19" t="s">
        <v>32</v>
      </c>
      <c r="D70" s="5" t="s">
        <v>32</v>
      </c>
      <c r="E70" s="5">
        <v>96</v>
      </c>
      <c r="F70" s="5">
        <v>67</v>
      </c>
      <c r="G70" s="5">
        <v>80</v>
      </c>
      <c r="H70" s="5" t="s">
        <v>327</v>
      </c>
      <c r="I70" s="5">
        <v>102</v>
      </c>
      <c r="J70" s="15">
        <v>1</v>
      </c>
      <c r="K70" s="5" t="s">
        <v>1822</v>
      </c>
      <c r="L70" s="16">
        <f t="shared" si="0"/>
        <v>8160</v>
      </c>
      <c r="M70" s="17">
        <f t="shared" si="1"/>
        <v>85</v>
      </c>
      <c r="N70" s="5" t="s">
        <v>1910</v>
      </c>
      <c r="O70" s="5" t="str">
        <f ca="1">IFERROR(__xludf.DUMMYFUNCTION("TEXTJOIN("", "", TRUE, FILTER(PokemonList!$C:$C, (PokemonList!$B:$B=""6★"") * (BYROW(PokemonList!$D:$D, LAMBDA(row, OR(INDEX(ISNUMBER(SEARCH(SPLIT(row, ""/""), N70)))))))))"),"#N/A")</f>
        <v>#N/A</v>
      </c>
      <c r="P70" s="1" t="str">
        <f ca="1">IFERROR(__xludf.DUMMYFUNCTION("TEXTJOIN("", "", TRUE, FILTER(PokemonList!$C:$C, (PokemonList!$B:$B=""5★"") * (BYROW(PokemonList!$D:$D, LAMBDA(row, OR(INDEX(ISNUMBER(SEARCH(SPLIT(row, ""/""), N70)))))))))"),"#N/A")</f>
        <v>#N/A</v>
      </c>
      <c r="Q70" s="5" t="s">
        <v>1796</v>
      </c>
    </row>
    <row r="71" spans="1:17">
      <c r="A71" s="24">
        <v>70</v>
      </c>
      <c r="B71" s="5" t="s">
        <v>324</v>
      </c>
      <c r="C71" s="19" t="s">
        <v>907</v>
      </c>
      <c r="D71" s="5" t="s">
        <v>154</v>
      </c>
      <c r="E71" s="5">
        <v>64</v>
      </c>
      <c r="F71" s="5">
        <v>51</v>
      </c>
      <c r="G71" s="5">
        <v>60</v>
      </c>
      <c r="H71" s="5" t="s">
        <v>404</v>
      </c>
      <c r="I71" s="5">
        <v>34</v>
      </c>
      <c r="J71" s="15">
        <v>1</v>
      </c>
      <c r="K71" s="5" t="s">
        <v>1823</v>
      </c>
      <c r="L71" s="16">
        <f t="shared" si="0"/>
        <v>2040</v>
      </c>
      <c r="M71" s="17">
        <f t="shared" si="1"/>
        <v>31.875</v>
      </c>
      <c r="N71" s="5" t="s">
        <v>1910</v>
      </c>
      <c r="O71" s="5" t="str">
        <f ca="1">IFERROR(__xludf.DUMMYFUNCTION("TEXTJOIN("", "", TRUE, FILTER(PokemonList!$C:$C, (PokemonList!$B:$B=""6★"") * (BYROW(PokemonList!$D:$D, LAMBDA(row, OR(INDEX(ISNUMBER(SEARCH(SPLIT(row, ""/""), N71)))))))))"),"#N/A")</f>
        <v>#N/A</v>
      </c>
      <c r="P71" s="1" t="str">
        <f ca="1">IFERROR(__xludf.DUMMYFUNCTION("TEXTJOIN("", "", TRUE, FILTER(PokemonList!$C:$C, (PokemonList!$B:$B=""5★"") * (BYROW(PokemonList!$D:$D, LAMBDA(row, OR(INDEX(ISNUMBER(SEARCH(SPLIT(row, ""/""), N71)))))))))"),"#N/A")</f>
        <v>#N/A</v>
      </c>
      <c r="Q71" s="5"/>
    </row>
    <row r="72" spans="1:17">
      <c r="A72" s="22"/>
      <c r="E72" s="21"/>
      <c r="F72" s="21"/>
      <c r="G72" s="21"/>
      <c r="I72" s="21"/>
      <c r="L72" s="21"/>
      <c r="M72" s="23"/>
    </row>
    <row r="73" spans="1:17">
      <c r="A73" s="22"/>
      <c r="E73" s="21"/>
      <c r="F73" s="21"/>
      <c r="G73" s="21"/>
      <c r="I73" s="21"/>
      <c r="L73" s="21"/>
      <c r="M73" s="23"/>
    </row>
    <row r="74" spans="1:17">
      <c r="A74" s="22"/>
      <c r="E74" s="21"/>
      <c r="F74" s="21"/>
      <c r="G74" s="21"/>
      <c r="I74" s="21"/>
      <c r="L74" s="21"/>
      <c r="M74" s="23"/>
    </row>
    <row r="75" spans="1:17">
      <c r="A75" s="22"/>
      <c r="E75" s="21"/>
      <c r="F75" s="21"/>
      <c r="G75" s="21"/>
      <c r="I75" s="21"/>
      <c r="L75" s="21"/>
      <c r="M75" s="23"/>
    </row>
    <row r="76" spans="1:17">
      <c r="A76" s="22"/>
      <c r="E76" s="21"/>
      <c r="F76" s="21"/>
      <c r="G76" s="21"/>
      <c r="I76" s="21"/>
      <c r="L76" s="21"/>
      <c r="M76" s="23"/>
    </row>
    <row r="77" spans="1:17">
      <c r="A77" s="22"/>
      <c r="E77" s="21"/>
      <c r="F77" s="21"/>
      <c r="G77" s="21"/>
      <c r="I77" s="21"/>
      <c r="L77" s="21"/>
      <c r="M77" s="23"/>
    </row>
    <row r="78" spans="1:17">
      <c r="A78" s="22"/>
      <c r="E78" s="21"/>
      <c r="F78" s="21"/>
      <c r="G78" s="21"/>
      <c r="I78" s="21"/>
      <c r="L78" s="21"/>
      <c r="M78" s="23"/>
    </row>
    <row r="79" spans="1:17">
      <c r="A79" s="22"/>
      <c r="E79" s="21"/>
      <c r="F79" s="21"/>
      <c r="G79" s="21"/>
      <c r="I79" s="21"/>
      <c r="L79" s="21"/>
      <c r="M79" s="23"/>
    </row>
    <row r="80" spans="1:17">
      <c r="A80" s="22"/>
      <c r="E80" s="21"/>
      <c r="F80" s="21"/>
      <c r="G80" s="21"/>
      <c r="I80" s="21"/>
      <c r="L80" s="21"/>
      <c r="M80" s="23"/>
    </row>
    <row r="81" spans="1:13">
      <c r="A81" s="22"/>
      <c r="E81" s="21"/>
      <c r="F81" s="21"/>
      <c r="G81" s="21"/>
      <c r="I81" s="21"/>
      <c r="L81" s="21"/>
      <c r="M81" s="23"/>
    </row>
    <row r="82" spans="1:13">
      <c r="A82" s="22"/>
      <c r="E82" s="21"/>
      <c r="F82" s="21"/>
      <c r="G82" s="21"/>
      <c r="I82" s="21"/>
      <c r="L82" s="21"/>
      <c r="M82" s="23"/>
    </row>
    <row r="83" spans="1:13">
      <c r="A83" s="22"/>
      <c r="E83" s="21"/>
      <c r="F83" s="21"/>
      <c r="G83" s="21"/>
      <c r="I83" s="21"/>
      <c r="L83" s="21"/>
      <c r="M83" s="23"/>
    </row>
    <row r="84" spans="1:13">
      <c r="A84" s="22"/>
      <c r="E84" s="21"/>
      <c r="F84" s="21"/>
      <c r="G84" s="21"/>
      <c r="I84" s="21"/>
      <c r="L84" s="21"/>
      <c r="M84" s="23"/>
    </row>
    <row r="85" spans="1:13">
      <c r="A85" s="22"/>
      <c r="E85" s="21"/>
      <c r="F85" s="21"/>
      <c r="G85" s="21"/>
      <c r="I85" s="21"/>
      <c r="L85" s="21"/>
      <c r="M85" s="23"/>
    </row>
    <row r="86" spans="1:13">
      <c r="A86" s="22"/>
      <c r="E86" s="21"/>
      <c r="F86" s="21"/>
      <c r="G86" s="21"/>
      <c r="I86" s="21"/>
      <c r="L86" s="21"/>
      <c r="M86" s="23"/>
    </row>
    <row r="87" spans="1:13">
      <c r="A87" s="22"/>
      <c r="E87" s="21"/>
      <c r="F87" s="21"/>
      <c r="G87" s="21"/>
      <c r="I87" s="21"/>
      <c r="L87" s="21"/>
      <c r="M87" s="23"/>
    </row>
    <row r="88" spans="1:13">
      <c r="A88" s="22"/>
      <c r="E88" s="21"/>
      <c r="F88" s="21"/>
      <c r="G88" s="21"/>
      <c r="I88" s="21"/>
      <c r="L88" s="21"/>
      <c r="M88" s="23"/>
    </row>
    <row r="89" spans="1:13">
      <c r="A89" s="22"/>
      <c r="E89" s="21"/>
      <c r="F89" s="21"/>
      <c r="G89" s="21"/>
      <c r="I89" s="21"/>
      <c r="L89" s="21"/>
      <c r="M89" s="23"/>
    </row>
    <row r="90" spans="1:13">
      <c r="A90" s="22"/>
      <c r="E90" s="21"/>
      <c r="F90" s="21"/>
      <c r="G90" s="21"/>
      <c r="I90" s="21"/>
      <c r="L90" s="21"/>
      <c r="M90" s="23"/>
    </row>
    <row r="91" spans="1:13">
      <c r="A91" s="22"/>
      <c r="E91" s="21"/>
      <c r="F91" s="21"/>
      <c r="G91" s="21"/>
      <c r="I91" s="21"/>
      <c r="L91" s="21"/>
      <c r="M91" s="23"/>
    </row>
    <row r="92" spans="1:13">
      <c r="A92" s="22"/>
      <c r="E92" s="21"/>
      <c r="F92" s="21"/>
      <c r="G92" s="21"/>
      <c r="I92" s="21"/>
      <c r="L92" s="21"/>
      <c r="M92" s="23"/>
    </row>
    <row r="93" spans="1:13">
      <c r="A93" s="22"/>
      <c r="E93" s="21"/>
      <c r="F93" s="21"/>
      <c r="G93" s="21"/>
      <c r="I93" s="21"/>
      <c r="L93" s="21"/>
      <c r="M93" s="23"/>
    </row>
    <row r="94" spans="1:13">
      <c r="A94" s="22"/>
      <c r="E94" s="21"/>
      <c r="F94" s="21"/>
      <c r="G94" s="21"/>
      <c r="I94" s="21"/>
      <c r="L94" s="21"/>
      <c r="M94" s="23"/>
    </row>
    <row r="95" spans="1:13">
      <c r="A95" s="22"/>
      <c r="E95" s="21"/>
      <c r="F95" s="21"/>
      <c r="G95" s="21"/>
      <c r="I95" s="21"/>
      <c r="L95" s="21"/>
      <c r="M95" s="23"/>
    </row>
    <row r="96" spans="1:13">
      <c r="A96" s="22"/>
      <c r="E96" s="21"/>
      <c r="F96" s="21"/>
      <c r="G96" s="21"/>
      <c r="I96" s="21"/>
      <c r="L96" s="21"/>
      <c r="M96" s="23"/>
    </row>
    <row r="97" spans="1:13">
      <c r="A97" s="22"/>
      <c r="E97" s="21"/>
      <c r="F97" s="21"/>
      <c r="G97" s="21"/>
      <c r="I97" s="21"/>
      <c r="L97" s="21"/>
      <c r="M97" s="23"/>
    </row>
    <row r="98" spans="1:13">
      <c r="A98" s="22"/>
      <c r="E98" s="21"/>
      <c r="F98" s="21"/>
      <c r="G98" s="21"/>
      <c r="I98" s="21"/>
      <c r="L98" s="21"/>
      <c r="M98" s="23"/>
    </row>
    <row r="99" spans="1:13">
      <c r="A99" s="22"/>
      <c r="E99" s="21"/>
      <c r="F99" s="21"/>
      <c r="G99" s="21"/>
      <c r="I99" s="21"/>
      <c r="L99" s="21"/>
      <c r="M99" s="23"/>
    </row>
    <row r="100" spans="1:13">
      <c r="A100" s="22"/>
      <c r="E100" s="21"/>
      <c r="F100" s="21"/>
      <c r="G100" s="21"/>
      <c r="I100" s="21"/>
      <c r="L100" s="21"/>
      <c r="M100" s="23"/>
    </row>
    <row r="101" spans="1:13">
      <c r="A101" s="22"/>
      <c r="E101" s="21"/>
      <c r="F101" s="21"/>
      <c r="G101" s="21"/>
      <c r="I101" s="21"/>
      <c r="L101" s="21"/>
      <c r="M101" s="23"/>
    </row>
    <row r="102" spans="1:13">
      <c r="A102" s="22"/>
      <c r="E102" s="21"/>
      <c r="F102" s="21"/>
      <c r="G102" s="21"/>
      <c r="I102" s="21"/>
      <c r="L102" s="21"/>
      <c r="M102" s="23"/>
    </row>
    <row r="103" spans="1:13">
      <c r="A103" s="22"/>
      <c r="E103" s="21"/>
      <c r="F103" s="21"/>
      <c r="G103" s="21"/>
      <c r="I103" s="21"/>
      <c r="L103" s="21"/>
      <c r="M103" s="23"/>
    </row>
    <row r="104" spans="1:13">
      <c r="A104" s="22"/>
      <c r="E104" s="21"/>
      <c r="F104" s="21"/>
      <c r="G104" s="21"/>
      <c r="I104" s="21"/>
      <c r="L104" s="21"/>
      <c r="M104" s="23"/>
    </row>
    <row r="105" spans="1:13">
      <c r="A105" s="22"/>
      <c r="E105" s="21"/>
      <c r="F105" s="21"/>
      <c r="G105" s="21"/>
      <c r="I105" s="21"/>
      <c r="L105" s="21"/>
      <c r="M105" s="23"/>
    </row>
    <row r="106" spans="1:13">
      <c r="A106" s="22"/>
      <c r="E106" s="21"/>
      <c r="F106" s="21"/>
      <c r="G106" s="21"/>
      <c r="I106" s="21"/>
      <c r="L106" s="21"/>
      <c r="M106" s="23"/>
    </row>
    <row r="107" spans="1:13">
      <c r="A107" s="22"/>
      <c r="E107" s="21"/>
      <c r="F107" s="21"/>
      <c r="G107" s="21"/>
      <c r="I107" s="21"/>
      <c r="L107" s="21"/>
      <c r="M107" s="23"/>
    </row>
    <row r="108" spans="1:13">
      <c r="A108" s="22"/>
      <c r="E108" s="21"/>
      <c r="F108" s="21"/>
      <c r="G108" s="21"/>
      <c r="I108" s="21"/>
      <c r="L108" s="21"/>
      <c r="M108" s="23"/>
    </row>
    <row r="109" spans="1:13">
      <c r="A109" s="22"/>
      <c r="E109" s="21"/>
      <c r="F109" s="21"/>
      <c r="G109" s="21"/>
      <c r="I109" s="21"/>
      <c r="L109" s="21"/>
      <c r="M109" s="23"/>
    </row>
    <row r="110" spans="1:13">
      <c r="A110" s="22"/>
      <c r="E110" s="21"/>
      <c r="F110" s="21"/>
      <c r="G110" s="21"/>
      <c r="I110" s="21"/>
      <c r="L110" s="21"/>
      <c r="M110" s="23"/>
    </row>
    <row r="111" spans="1:13">
      <c r="A111" s="22"/>
      <c r="E111" s="21"/>
      <c r="F111" s="21"/>
      <c r="G111" s="21"/>
      <c r="I111" s="21"/>
      <c r="L111" s="21"/>
      <c r="M111" s="23"/>
    </row>
    <row r="112" spans="1:13">
      <c r="A112" s="22"/>
      <c r="E112" s="21"/>
      <c r="F112" s="21"/>
      <c r="G112" s="21"/>
      <c r="I112" s="21"/>
      <c r="L112" s="21"/>
      <c r="M112" s="23"/>
    </row>
    <row r="113" spans="1:13">
      <c r="A113" s="22"/>
      <c r="E113" s="21"/>
      <c r="F113" s="21"/>
      <c r="G113" s="21"/>
      <c r="I113" s="21"/>
      <c r="L113" s="21"/>
      <c r="M113" s="23"/>
    </row>
    <row r="114" spans="1:13">
      <c r="A114" s="22"/>
      <c r="E114" s="21"/>
      <c r="F114" s="21"/>
      <c r="G114" s="21"/>
      <c r="I114" s="21"/>
      <c r="L114" s="21"/>
      <c r="M114" s="23"/>
    </row>
    <row r="115" spans="1:13">
      <c r="A115" s="22"/>
      <c r="E115" s="21"/>
      <c r="F115" s="21"/>
      <c r="G115" s="21"/>
      <c r="I115" s="21"/>
      <c r="L115" s="21"/>
      <c r="M115" s="23"/>
    </row>
    <row r="116" spans="1:13">
      <c r="A116" s="22"/>
      <c r="E116" s="21"/>
      <c r="F116" s="21"/>
      <c r="G116" s="21"/>
      <c r="I116" s="21"/>
      <c r="L116" s="21"/>
      <c r="M116" s="23"/>
    </row>
    <row r="117" spans="1:13">
      <c r="A117" s="22"/>
      <c r="E117" s="21"/>
      <c r="F117" s="21"/>
      <c r="G117" s="21"/>
      <c r="I117" s="21"/>
      <c r="L117" s="21"/>
      <c r="M117" s="23"/>
    </row>
    <row r="118" spans="1:13">
      <c r="A118" s="22"/>
      <c r="E118" s="21"/>
      <c r="F118" s="21"/>
      <c r="G118" s="21"/>
      <c r="I118" s="21"/>
      <c r="L118" s="21"/>
      <c r="M118" s="23"/>
    </row>
    <row r="119" spans="1:13">
      <c r="A119" s="22"/>
      <c r="E119" s="21"/>
      <c r="F119" s="21"/>
      <c r="G119" s="21"/>
      <c r="I119" s="21"/>
      <c r="L119" s="21"/>
      <c r="M119" s="23"/>
    </row>
    <row r="120" spans="1:13">
      <c r="A120" s="22"/>
      <c r="E120" s="21"/>
      <c r="F120" s="21"/>
      <c r="G120" s="21"/>
      <c r="I120" s="21"/>
      <c r="L120" s="21"/>
      <c r="M120" s="23"/>
    </row>
    <row r="121" spans="1:13">
      <c r="A121" s="22"/>
      <c r="E121" s="21"/>
      <c r="F121" s="21"/>
      <c r="G121" s="21"/>
      <c r="I121" s="21"/>
      <c r="L121" s="21"/>
      <c r="M121" s="23"/>
    </row>
    <row r="122" spans="1:13">
      <c r="A122" s="22"/>
      <c r="E122" s="21"/>
      <c r="F122" s="21"/>
      <c r="G122" s="21"/>
      <c r="I122" s="21"/>
      <c r="L122" s="21"/>
      <c r="M122" s="23"/>
    </row>
    <row r="123" spans="1:13">
      <c r="A123" s="22"/>
      <c r="E123" s="21"/>
      <c r="F123" s="21"/>
      <c r="G123" s="21"/>
      <c r="I123" s="21"/>
      <c r="L123" s="21"/>
      <c r="M123" s="23"/>
    </row>
    <row r="124" spans="1:13">
      <c r="A124" s="22"/>
      <c r="E124" s="21"/>
      <c r="F124" s="21"/>
      <c r="G124" s="21"/>
      <c r="I124" s="21"/>
      <c r="L124" s="21"/>
      <c r="M124" s="23"/>
    </row>
    <row r="125" spans="1:13">
      <c r="A125" s="22"/>
      <c r="E125" s="21"/>
      <c r="F125" s="21"/>
      <c r="G125" s="21"/>
      <c r="I125" s="21"/>
      <c r="L125" s="21"/>
      <c r="M125" s="23"/>
    </row>
    <row r="126" spans="1:13">
      <c r="A126" s="22"/>
      <c r="E126" s="21"/>
      <c r="F126" s="21"/>
      <c r="G126" s="21"/>
      <c r="I126" s="21"/>
      <c r="L126" s="21"/>
      <c r="M126" s="23"/>
    </row>
    <row r="127" spans="1:13">
      <c r="A127" s="22"/>
      <c r="E127" s="21"/>
      <c r="F127" s="21"/>
      <c r="G127" s="21"/>
      <c r="I127" s="21"/>
      <c r="L127" s="21"/>
      <c r="M127" s="23"/>
    </row>
    <row r="128" spans="1:13">
      <c r="A128" s="22"/>
      <c r="E128" s="21"/>
      <c r="F128" s="21"/>
      <c r="G128" s="21"/>
      <c r="I128" s="21"/>
      <c r="L128" s="21"/>
      <c r="M128" s="23"/>
    </row>
    <row r="129" spans="1:13">
      <c r="A129" s="22"/>
      <c r="E129" s="21"/>
      <c r="F129" s="21"/>
      <c r="G129" s="21"/>
      <c r="I129" s="21"/>
      <c r="L129" s="21"/>
      <c r="M129" s="23"/>
    </row>
    <row r="130" spans="1:13">
      <c r="A130" s="22"/>
      <c r="E130" s="21"/>
      <c r="F130" s="21"/>
      <c r="G130" s="21"/>
      <c r="I130" s="21"/>
      <c r="L130" s="21"/>
      <c r="M130" s="23"/>
    </row>
    <row r="131" spans="1:13">
      <c r="A131" s="22"/>
      <c r="E131" s="21"/>
      <c r="F131" s="21"/>
      <c r="G131" s="21"/>
      <c r="I131" s="21"/>
      <c r="L131" s="21"/>
      <c r="M131" s="23"/>
    </row>
    <row r="132" spans="1:13">
      <c r="A132" s="22"/>
      <c r="E132" s="21"/>
      <c r="F132" s="21"/>
      <c r="G132" s="21"/>
      <c r="I132" s="21"/>
      <c r="L132" s="21"/>
      <c r="M132" s="23"/>
    </row>
    <row r="133" spans="1:13">
      <c r="A133" s="22"/>
      <c r="E133" s="21"/>
      <c r="F133" s="21"/>
      <c r="G133" s="21"/>
      <c r="I133" s="21"/>
      <c r="L133" s="21"/>
      <c r="M133" s="23"/>
    </row>
    <row r="134" spans="1:13">
      <c r="A134" s="22"/>
      <c r="E134" s="21"/>
      <c r="F134" s="21"/>
      <c r="G134" s="21"/>
      <c r="I134" s="21"/>
      <c r="L134" s="21"/>
      <c r="M134" s="23"/>
    </row>
    <row r="135" spans="1:13">
      <c r="A135" s="22"/>
      <c r="E135" s="21"/>
      <c r="F135" s="21"/>
      <c r="G135" s="21"/>
      <c r="I135" s="21"/>
      <c r="L135" s="21"/>
      <c r="M135" s="23"/>
    </row>
    <row r="136" spans="1:13">
      <c r="A136" s="22"/>
      <c r="E136" s="21"/>
      <c r="F136" s="21"/>
      <c r="G136" s="21"/>
      <c r="I136" s="21"/>
      <c r="L136" s="21"/>
      <c r="M136" s="23"/>
    </row>
    <row r="137" spans="1:13">
      <c r="A137" s="22"/>
      <c r="E137" s="21"/>
      <c r="F137" s="21"/>
      <c r="G137" s="21"/>
      <c r="I137" s="21"/>
      <c r="L137" s="21"/>
      <c r="M137" s="23"/>
    </row>
    <row r="138" spans="1:13">
      <c r="A138" s="22"/>
      <c r="E138" s="21"/>
      <c r="F138" s="21"/>
      <c r="G138" s="21"/>
      <c r="I138" s="21"/>
      <c r="L138" s="21"/>
      <c r="M138" s="23"/>
    </row>
    <row r="139" spans="1:13">
      <c r="A139" s="22"/>
      <c r="E139" s="21"/>
      <c r="F139" s="21"/>
      <c r="G139" s="21"/>
      <c r="I139" s="21"/>
      <c r="L139" s="21"/>
      <c r="M139" s="23"/>
    </row>
    <row r="140" spans="1:13">
      <c r="A140" s="22"/>
      <c r="E140" s="21"/>
      <c r="F140" s="21"/>
      <c r="G140" s="21"/>
      <c r="I140" s="21"/>
      <c r="L140" s="21"/>
      <c r="M140" s="23"/>
    </row>
    <row r="141" spans="1:13">
      <c r="A141" s="22"/>
      <c r="E141" s="21"/>
      <c r="F141" s="21"/>
      <c r="G141" s="21"/>
      <c r="I141" s="21"/>
      <c r="L141" s="21"/>
      <c r="M141" s="23"/>
    </row>
    <row r="142" spans="1:13">
      <c r="A142" s="22"/>
      <c r="E142" s="21"/>
      <c r="F142" s="21"/>
      <c r="G142" s="21"/>
      <c r="I142" s="21"/>
      <c r="L142" s="21"/>
      <c r="M142" s="23"/>
    </row>
    <row r="143" spans="1:13">
      <c r="A143" s="22"/>
      <c r="E143" s="21"/>
      <c r="F143" s="21"/>
      <c r="G143" s="21"/>
      <c r="I143" s="21"/>
      <c r="L143" s="21"/>
      <c r="M143" s="23"/>
    </row>
    <row r="144" spans="1:13">
      <c r="A144" s="22"/>
      <c r="E144" s="21"/>
      <c r="F144" s="21"/>
      <c r="G144" s="21"/>
      <c r="I144" s="21"/>
      <c r="L144" s="21"/>
      <c r="M144" s="23"/>
    </row>
    <row r="145" spans="1:13">
      <c r="A145" s="22"/>
      <c r="E145" s="21"/>
      <c r="F145" s="21"/>
      <c r="G145" s="21"/>
      <c r="I145" s="21"/>
      <c r="L145" s="21"/>
      <c r="M145" s="23"/>
    </row>
    <row r="146" spans="1:13">
      <c r="A146" s="22"/>
      <c r="E146" s="21"/>
      <c r="F146" s="21"/>
      <c r="G146" s="21"/>
      <c r="I146" s="21"/>
      <c r="L146" s="21"/>
      <c r="M146" s="23"/>
    </row>
    <row r="147" spans="1:13">
      <c r="A147" s="22"/>
      <c r="E147" s="21"/>
      <c r="F147" s="21"/>
      <c r="G147" s="21"/>
      <c r="I147" s="21"/>
      <c r="L147" s="21"/>
      <c r="M147" s="23"/>
    </row>
    <row r="148" spans="1:13">
      <c r="A148" s="22"/>
      <c r="E148" s="21"/>
      <c r="F148" s="21"/>
      <c r="G148" s="21"/>
      <c r="I148" s="21"/>
      <c r="L148" s="21"/>
      <c r="M148" s="23"/>
    </row>
    <row r="149" spans="1:13">
      <c r="A149" s="22"/>
      <c r="E149" s="21"/>
      <c r="F149" s="21"/>
      <c r="G149" s="21"/>
      <c r="I149" s="21"/>
      <c r="L149" s="21"/>
      <c r="M149" s="23"/>
    </row>
    <row r="150" spans="1:13">
      <c r="A150" s="22"/>
      <c r="E150" s="21"/>
      <c r="F150" s="21"/>
      <c r="G150" s="21"/>
      <c r="I150" s="21"/>
      <c r="L150" s="21"/>
      <c r="M150" s="23"/>
    </row>
    <row r="151" spans="1:13">
      <c r="A151" s="22"/>
      <c r="E151" s="21"/>
      <c r="F151" s="21"/>
      <c r="G151" s="21"/>
      <c r="I151" s="21"/>
      <c r="L151" s="21"/>
      <c r="M151" s="23"/>
    </row>
    <row r="152" spans="1:13">
      <c r="A152" s="22"/>
      <c r="E152" s="21"/>
      <c r="F152" s="21"/>
      <c r="G152" s="21"/>
      <c r="I152" s="21"/>
      <c r="L152" s="21"/>
      <c r="M152" s="23"/>
    </row>
    <row r="153" spans="1:13">
      <c r="A153" s="22"/>
      <c r="E153" s="21"/>
      <c r="F153" s="21"/>
      <c r="G153" s="21"/>
      <c r="I153" s="21"/>
      <c r="L153" s="21"/>
      <c r="M153" s="23"/>
    </row>
    <row r="154" spans="1:13">
      <c r="A154" s="22"/>
      <c r="E154" s="21"/>
      <c r="F154" s="21"/>
      <c r="G154" s="21"/>
      <c r="I154" s="21"/>
      <c r="L154" s="21"/>
      <c r="M154" s="23"/>
    </row>
    <row r="155" spans="1:13">
      <c r="A155" s="22"/>
      <c r="E155" s="21"/>
      <c r="F155" s="21"/>
      <c r="G155" s="21"/>
      <c r="I155" s="21"/>
      <c r="L155" s="21"/>
      <c r="M155" s="23"/>
    </row>
    <row r="156" spans="1:13">
      <c r="A156" s="22"/>
      <c r="E156" s="21"/>
      <c r="F156" s="21"/>
      <c r="G156" s="21"/>
      <c r="I156" s="21"/>
      <c r="L156" s="21"/>
      <c r="M156" s="23"/>
    </row>
    <row r="157" spans="1:13">
      <c r="A157" s="22"/>
      <c r="E157" s="21"/>
      <c r="F157" s="21"/>
      <c r="G157" s="21"/>
      <c r="I157" s="21"/>
      <c r="L157" s="21"/>
      <c r="M157" s="23"/>
    </row>
    <row r="158" spans="1:13">
      <c r="A158" s="22"/>
      <c r="E158" s="21"/>
      <c r="F158" s="21"/>
      <c r="G158" s="21"/>
      <c r="I158" s="21"/>
      <c r="L158" s="21"/>
      <c r="M158" s="23"/>
    </row>
    <row r="159" spans="1:13">
      <c r="A159" s="22"/>
      <c r="E159" s="21"/>
      <c r="F159" s="21"/>
      <c r="G159" s="21"/>
      <c r="I159" s="21"/>
      <c r="L159" s="21"/>
      <c r="M159" s="23"/>
    </row>
    <row r="160" spans="1:13">
      <c r="A160" s="22"/>
      <c r="E160" s="21"/>
      <c r="F160" s="21"/>
      <c r="G160" s="21"/>
      <c r="I160" s="21"/>
      <c r="L160" s="21"/>
      <c r="M160" s="23"/>
    </row>
    <row r="161" spans="1:13">
      <c r="A161" s="22"/>
      <c r="E161" s="21"/>
      <c r="F161" s="21"/>
      <c r="G161" s="21"/>
      <c r="I161" s="21"/>
      <c r="L161" s="21"/>
      <c r="M161" s="23"/>
    </row>
    <row r="162" spans="1:13">
      <c r="A162" s="22"/>
      <c r="E162" s="21"/>
      <c r="F162" s="21"/>
      <c r="G162" s="21"/>
      <c r="I162" s="21"/>
      <c r="L162" s="21"/>
      <c r="M162" s="23"/>
    </row>
    <row r="163" spans="1:13">
      <c r="A163" s="22"/>
      <c r="E163" s="21"/>
      <c r="F163" s="21"/>
      <c r="G163" s="21"/>
      <c r="I163" s="21"/>
      <c r="L163" s="21"/>
      <c r="M163" s="23"/>
    </row>
    <row r="164" spans="1:13">
      <c r="A164" s="22"/>
      <c r="E164" s="21"/>
      <c r="F164" s="21"/>
      <c r="G164" s="21"/>
      <c r="I164" s="21"/>
      <c r="L164" s="21"/>
      <c r="M164" s="23"/>
    </row>
    <row r="165" spans="1:13">
      <c r="A165" s="22"/>
      <c r="E165" s="21"/>
      <c r="F165" s="21"/>
      <c r="G165" s="21"/>
      <c r="I165" s="21"/>
      <c r="L165" s="21"/>
      <c r="M165" s="23"/>
    </row>
    <row r="166" spans="1:13">
      <c r="A166" s="22"/>
      <c r="E166" s="21"/>
      <c r="F166" s="21"/>
      <c r="G166" s="21"/>
      <c r="I166" s="21"/>
      <c r="L166" s="21"/>
      <c r="M166" s="23"/>
    </row>
    <row r="167" spans="1:13">
      <c r="A167" s="22"/>
      <c r="E167" s="21"/>
      <c r="F167" s="21"/>
      <c r="G167" s="21"/>
      <c r="I167" s="21"/>
      <c r="L167" s="21"/>
      <c r="M167" s="23"/>
    </row>
    <row r="168" spans="1:13">
      <c r="A168" s="22"/>
      <c r="E168" s="21"/>
      <c r="F168" s="21"/>
      <c r="G168" s="21"/>
      <c r="I168" s="21"/>
      <c r="L168" s="21"/>
      <c r="M168" s="23"/>
    </row>
    <row r="169" spans="1:13">
      <c r="A169" s="22"/>
      <c r="E169" s="21"/>
      <c r="F169" s="21"/>
      <c r="G169" s="21"/>
      <c r="I169" s="21"/>
      <c r="L169" s="21"/>
      <c r="M169" s="23"/>
    </row>
    <row r="170" spans="1:13">
      <c r="A170" s="22"/>
      <c r="E170" s="21"/>
      <c r="F170" s="21"/>
      <c r="G170" s="21"/>
      <c r="I170" s="21"/>
      <c r="L170" s="21"/>
      <c r="M170" s="23"/>
    </row>
    <row r="171" spans="1:13">
      <c r="A171" s="22"/>
      <c r="E171" s="21"/>
      <c r="F171" s="21"/>
      <c r="G171" s="21"/>
      <c r="I171" s="21"/>
      <c r="L171" s="21"/>
      <c r="M171" s="23"/>
    </row>
    <row r="172" spans="1:13">
      <c r="A172" s="22"/>
      <c r="E172" s="21"/>
      <c r="F172" s="21"/>
      <c r="G172" s="21"/>
      <c r="I172" s="21"/>
      <c r="L172" s="21"/>
      <c r="M172" s="23"/>
    </row>
    <row r="173" spans="1:13">
      <c r="A173" s="22"/>
      <c r="E173" s="21"/>
      <c r="F173" s="21"/>
      <c r="G173" s="21"/>
      <c r="I173" s="21"/>
      <c r="L173" s="21"/>
      <c r="M173" s="23"/>
    </row>
    <row r="174" spans="1:13">
      <c r="A174" s="22"/>
      <c r="E174" s="21"/>
      <c r="F174" s="21"/>
      <c r="G174" s="21"/>
      <c r="I174" s="21"/>
      <c r="L174" s="21"/>
      <c r="M174" s="23"/>
    </row>
    <row r="175" spans="1:13">
      <c r="A175" s="22"/>
      <c r="E175" s="21"/>
      <c r="F175" s="21"/>
      <c r="G175" s="21"/>
      <c r="I175" s="21"/>
      <c r="L175" s="21"/>
      <c r="M175" s="23"/>
    </row>
    <row r="176" spans="1:13">
      <c r="A176" s="22"/>
      <c r="E176" s="21"/>
      <c r="F176" s="21"/>
      <c r="G176" s="21"/>
      <c r="I176" s="21"/>
      <c r="L176" s="21"/>
      <c r="M176" s="23"/>
    </row>
    <row r="177" spans="1:13">
      <c r="A177" s="22"/>
      <c r="E177" s="21"/>
      <c r="F177" s="21"/>
      <c r="G177" s="21"/>
      <c r="I177" s="21"/>
      <c r="L177" s="21"/>
      <c r="M177" s="23"/>
    </row>
    <row r="178" spans="1:13">
      <c r="A178" s="22"/>
      <c r="E178" s="21"/>
      <c r="F178" s="21"/>
      <c r="G178" s="21"/>
      <c r="I178" s="21"/>
      <c r="L178" s="21"/>
      <c r="M178" s="23"/>
    </row>
    <row r="179" spans="1:13">
      <c r="A179" s="22"/>
      <c r="E179" s="21"/>
      <c r="F179" s="21"/>
      <c r="G179" s="21"/>
      <c r="I179" s="21"/>
      <c r="L179" s="21"/>
      <c r="M179" s="23"/>
    </row>
    <row r="180" spans="1:13">
      <c r="A180" s="22"/>
      <c r="E180" s="21"/>
      <c r="F180" s="21"/>
      <c r="G180" s="21"/>
      <c r="I180" s="21"/>
      <c r="L180" s="21"/>
      <c r="M180" s="23"/>
    </row>
    <row r="181" spans="1:13">
      <c r="A181" s="22"/>
      <c r="E181" s="21"/>
      <c r="F181" s="21"/>
      <c r="G181" s="21"/>
      <c r="I181" s="21"/>
      <c r="L181" s="21"/>
      <c r="M181" s="23"/>
    </row>
    <row r="182" spans="1:13">
      <c r="A182" s="22"/>
      <c r="E182" s="21"/>
      <c r="F182" s="21"/>
      <c r="G182" s="21"/>
      <c r="I182" s="21"/>
      <c r="L182" s="21"/>
      <c r="M182" s="23"/>
    </row>
    <row r="183" spans="1:13">
      <c r="A183" s="22"/>
      <c r="E183" s="21"/>
      <c r="F183" s="21"/>
      <c r="G183" s="21"/>
      <c r="I183" s="21"/>
      <c r="L183" s="21"/>
      <c r="M183" s="23"/>
    </row>
    <row r="184" spans="1:13">
      <c r="A184" s="22"/>
      <c r="E184" s="21"/>
      <c r="F184" s="21"/>
      <c r="G184" s="21"/>
      <c r="I184" s="21"/>
      <c r="L184" s="21"/>
      <c r="M184" s="23"/>
    </row>
    <row r="185" spans="1:13">
      <c r="A185" s="22"/>
      <c r="E185" s="21"/>
      <c r="F185" s="21"/>
      <c r="G185" s="21"/>
      <c r="I185" s="21"/>
      <c r="L185" s="21"/>
      <c r="M185" s="23"/>
    </row>
    <row r="186" spans="1:13">
      <c r="A186" s="22"/>
      <c r="E186" s="21"/>
      <c r="F186" s="21"/>
      <c r="G186" s="21"/>
      <c r="I186" s="21"/>
      <c r="L186" s="21"/>
      <c r="M186" s="23"/>
    </row>
    <row r="187" spans="1:13">
      <c r="A187" s="22"/>
      <c r="E187" s="21"/>
      <c r="F187" s="21"/>
      <c r="G187" s="21"/>
      <c r="I187" s="21"/>
      <c r="L187" s="21"/>
      <c r="M187" s="23"/>
    </row>
    <row r="188" spans="1:13">
      <c r="A188" s="22"/>
      <c r="E188" s="21"/>
      <c r="F188" s="21"/>
      <c r="G188" s="21"/>
      <c r="I188" s="21"/>
      <c r="L188" s="21"/>
      <c r="M188" s="23"/>
    </row>
    <row r="189" spans="1:13">
      <c r="A189" s="22"/>
      <c r="E189" s="21"/>
      <c r="F189" s="21"/>
      <c r="G189" s="21"/>
      <c r="I189" s="21"/>
      <c r="L189" s="21"/>
      <c r="M189" s="23"/>
    </row>
    <row r="190" spans="1:13">
      <c r="A190" s="22"/>
      <c r="E190" s="21"/>
      <c r="F190" s="21"/>
      <c r="G190" s="21"/>
      <c r="I190" s="21"/>
      <c r="L190" s="21"/>
      <c r="M190" s="23"/>
    </row>
    <row r="191" spans="1:13">
      <c r="A191" s="22"/>
      <c r="E191" s="21"/>
      <c r="F191" s="21"/>
      <c r="G191" s="21"/>
      <c r="I191" s="21"/>
      <c r="L191" s="21"/>
      <c r="M191" s="23"/>
    </row>
    <row r="192" spans="1:13">
      <c r="A192" s="22"/>
      <c r="E192" s="21"/>
      <c r="F192" s="21"/>
      <c r="G192" s="21"/>
      <c r="I192" s="21"/>
      <c r="L192" s="21"/>
      <c r="M192" s="23"/>
    </row>
    <row r="193" spans="1:13">
      <c r="A193" s="22"/>
      <c r="E193" s="21"/>
      <c r="F193" s="21"/>
      <c r="G193" s="21"/>
      <c r="I193" s="21"/>
      <c r="L193" s="21"/>
      <c r="M193" s="23"/>
    </row>
    <row r="194" spans="1:13">
      <c r="A194" s="22"/>
      <c r="E194" s="21"/>
      <c r="F194" s="21"/>
      <c r="G194" s="21"/>
      <c r="I194" s="21"/>
      <c r="L194" s="21"/>
      <c r="M194" s="23"/>
    </row>
    <row r="195" spans="1:13">
      <c r="A195" s="22"/>
      <c r="E195" s="21"/>
      <c r="F195" s="21"/>
      <c r="G195" s="21"/>
      <c r="I195" s="21"/>
      <c r="L195" s="21"/>
      <c r="M195" s="23"/>
    </row>
    <row r="196" spans="1:13">
      <c r="A196" s="22"/>
      <c r="E196" s="21"/>
      <c r="F196" s="21"/>
      <c r="G196" s="21"/>
      <c r="I196" s="21"/>
      <c r="L196" s="21"/>
      <c r="M196" s="23"/>
    </row>
    <row r="197" spans="1:13">
      <c r="A197" s="22"/>
      <c r="E197" s="21"/>
      <c r="F197" s="21"/>
      <c r="G197" s="21"/>
      <c r="I197" s="21"/>
      <c r="L197" s="21"/>
      <c r="M197" s="23"/>
    </row>
    <row r="198" spans="1:13">
      <c r="A198" s="22"/>
      <c r="E198" s="21"/>
      <c r="F198" s="21"/>
      <c r="G198" s="21"/>
      <c r="I198" s="21"/>
      <c r="L198" s="21"/>
      <c r="M198" s="23"/>
    </row>
    <row r="199" spans="1:13">
      <c r="A199" s="22"/>
      <c r="E199" s="21"/>
      <c r="F199" s="21"/>
      <c r="G199" s="21"/>
      <c r="I199" s="21"/>
      <c r="L199" s="21"/>
      <c r="M199" s="23"/>
    </row>
    <row r="200" spans="1:13">
      <c r="A200" s="22"/>
      <c r="E200" s="21"/>
      <c r="F200" s="21"/>
      <c r="G200" s="21"/>
      <c r="I200" s="21"/>
      <c r="L200" s="21"/>
      <c r="M200" s="23"/>
    </row>
    <row r="201" spans="1:13">
      <c r="A201" s="22"/>
      <c r="E201" s="21"/>
      <c r="F201" s="21"/>
      <c r="G201" s="21"/>
      <c r="I201" s="21"/>
      <c r="L201" s="21"/>
      <c r="M201" s="23"/>
    </row>
    <row r="202" spans="1:13">
      <c r="A202" s="22"/>
      <c r="E202" s="21"/>
      <c r="F202" s="21"/>
      <c r="G202" s="21"/>
      <c r="I202" s="21"/>
      <c r="L202" s="21"/>
      <c r="M202" s="23"/>
    </row>
    <row r="203" spans="1:13">
      <c r="A203" s="22"/>
      <c r="E203" s="21"/>
      <c r="F203" s="21"/>
      <c r="G203" s="21"/>
      <c r="I203" s="21"/>
      <c r="L203" s="21"/>
      <c r="M203" s="23"/>
    </row>
    <row r="204" spans="1:13">
      <c r="A204" s="22"/>
      <c r="E204" s="21"/>
      <c r="F204" s="21"/>
      <c r="G204" s="21"/>
      <c r="I204" s="21"/>
      <c r="L204" s="21"/>
      <c r="M204" s="23"/>
    </row>
    <row r="205" spans="1:13">
      <c r="A205" s="22"/>
      <c r="E205" s="21"/>
      <c r="F205" s="21"/>
      <c r="G205" s="21"/>
      <c r="I205" s="21"/>
      <c r="L205" s="21"/>
      <c r="M205" s="23"/>
    </row>
    <row r="206" spans="1:13">
      <c r="A206" s="22"/>
      <c r="E206" s="21"/>
      <c r="F206" s="21"/>
      <c r="G206" s="21"/>
      <c r="I206" s="21"/>
      <c r="L206" s="21"/>
      <c r="M206" s="23"/>
    </row>
    <row r="207" spans="1:13">
      <c r="A207" s="22"/>
      <c r="E207" s="21"/>
      <c r="F207" s="21"/>
      <c r="G207" s="21"/>
      <c r="I207" s="21"/>
      <c r="L207" s="21"/>
      <c r="M207" s="23"/>
    </row>
    <row r="208" spans="1:13">
      <c r="A208" s="22"/>
      <c r="E208" s="21"/>
      <c r="F208" s="21"/>
      <c r="G208" s="21"/>
      <c r="I208" s="21"/>
      <c r="L208" s="21"/>
      <c r="M208" s="23"/>
    </row>
    <row r="209" spans="1:13">
      <c r="A209" s="22"/>
      <c r="E209" s="21"/>
      <c r="F209" s="21"/>
      <c r="G209" s="21"/>
      <c r="I209" s="21"/>
      <c r="L209" s="21"/>
      <c r="M209" s="23"/>
    </row>
    <row r="210" spans="1:13">
      <c r="A210" s="22"/>
      <c r="E210" s="21"/>
      <c r="F210" s="21"/>
      <c r="G210" s="21"/>
      <c r="I210" s="21"/>
      <c r="L210" s="21"/>
      <c r="M210" s="23"/>
    </row>
    <row r="211" spans="1:13">
      <c r="A211" s="22"/>
      <c r="E211" s="21"/>
      <c r="F211" s="21"/>
      <c r="G211" s="21"/>
      <c r="I211" s="21"/>
      <c r="L211" s="21"/>
      <c r="M211" s="23"/>
    </row>
    <row r="212" spans="1:13">
      <c r="A212" s="22"/>
      <c r="E212" s="21"/>
      <c r="F212" s="21"/>
      <c r="G212" s="21"/>
      <c r="I212" s="21"/>
      <c r="L212" s="21"/>
      <c r="M212" s="23"/>
    </row>
    <row r="213" spans="1:13">
      <c r="A213" s="22"/>
      <c r="E213" s="21"/>
      <c r="F213" s="21"/>
      <c r="G213" s="21"/>
      <c r="I213" s="21"/>
      <c r="L213" s="21"/>
      <c r="M213" s="23"/>
    </row>
    <row r="214" spans="1:13">
      <c r="A214" s="22"/>
      <c r="E214" s="21"/>
      <c r="F214" s="21"/>
      <c r="G214" s="21"/>
      <c r="I214" s="21"/>
      <c r="L214" s="21"/>
      <c r="M214" s="23"/>
    </row>
    <row r="215" spans="1:13">
      <c r="A215" s="22"/>
      <c r="E215" s="21"/>
      <c r="F215" s="21"/>
      <c r="G215" s="21"/>
      <c r="I215" s="21"/>
      <c r="L215" s="21"/>
      <c r="M215" s="23"/>
    </row>
    <row r="216" spans="1:13">
      <c r="A216" s="22"/>
      <c r="E216" s="21"/>
      <c r="F216" s="21"/>
      <c r="G216" s="21"/>
      <c r="I216" s="21"/>
      <c r="L216" s="21"/>
      <c r="M216" s="23"/>
    </row>
    <row r="217" spans="1:13">
      <c r="A217" s="22"/>
      <c r="E217" s="21"/>
      <c r="F217" s="21"/>
      <c r="G217" s="21"/>
      <c r="I217" s="21"/>
      <c r="L217" s="21"/>
      <c r="M217" s="23"/>
    </row>
    <row r="218" spans="1:13">
      <c r="A218" s="22"/>
      <c r="E218" s="21"/>
      <c r="F218" s="21"/>
      <c r="G218" s="21"/>
      <c r="I218" s="21"/>
      <c r="L218" s="21"/>
      <c r="M218" s="23"/>
    </row>
    <row r="219" spans="1:13">
      <c r="A219" s="22"/>
      <c r="E219" s="21"/>
      <c r="F219" s="21"/>
      <c r="G219" s="21"/>
      <c r="I219" s="21"/>
      <c r="L219" s="21"/>
      <c r="M219" s="23"/>
    </row>
    <row r="220" spans="1:13">
      <c r="A220" s="22"/>
      <c r="E220" s="21"/>
      <c r="F220" s="21"/>
      <c r="G220" s="21"/>
      <c r="I220" s="21"/>
      <c r="L220" s="21"/>
      <c r="M220" s="23"/>
    </row>
    <row r="221" spans="1:13">
      <c r="A221" s="22"/>
      <c r="E221" s="21"/>
      <c r="F221" s="21"/>
      <c r="G221" s="21"/>
      <c r="I221" s="21"/>
      <c r="L221" s="21"/>
      <c r="M221" s="23"/>
    </row>
    <row r="222" spans="1:13">
      <c r="A222" s="22"/>
      <c r="E222" s="21"/>
      <c r="F222" s="21"/>
      <c r="G222" s="21"/>
      <c r="I222" s="21"/>
      <c r="L222" s="21"/>
      <c r="M222" s="23"/>
    </row>
    <row r="223" spans="1:13">
      <c r="A223" s="22"/>
      <c r="E223" s="21"/>
      <c r="F223" s="21"/>
      <c r="G223" s="21"/>
      <c r="I223" s="21"/>
      <c r="L223" s="21"/>
      <c r="M223" s="23"/>
    </row>
    <row r="224" spans="1:13">
      <c r="A224" s="22"/>
      <c r="E224" s="21"/>
      <c r="F224" s="21"/>
      <c r="G224" s="21"/>
      <c r="I224" s="21"/>
      <c r="L224" s="21"/>
      <c r="M224" s="23"/>
    </row>
    <row r="225" spans="1:13">
      <c r="A225" s="22"/>
      <c r="E225" s="21"/>
      <c r="F225" s="21"/>
      <c r="G225" s="21"/>
      <c r="I225" s="21"/>
      <c r="L225" s="21"/>
      <c r="M225" s="23"/>
    </row>
    <row r="226" spans="1:13">
      <c r="A226" s="22"/>
      <c r="E226" s="21"/>
      <c r="F226" s="21"/>
      <c r="G226" s="21"/>
      <c r="I226" s="21"/>
      <c r="L226" s="21"/>
      <c r="M226" s="23"/>
    </row>
    <row r="227" spans="1:13">
      <c r="A227" s="22"/>
      <c r="E227" s="21"/>
      <c r="F227" s="21"/>
      <c r="G227" s="21"/>
      <c r="I227" s="21"/>
      <c r="L227" s="21"/>
      <c r="M227" s="23"/>
    </row>
    <row r="228" spans="1:13">
      <c r="A228" s="22"/>
      <c r="E228" s="21"/>
      <c r="F228" s="21"/>
      <c r="G228" s="21"/>
      <c r="I228" s="21"/>
      <c r="L228" s="21"/>
      <c r="M228" s="23"/>
    </row>
    <row r="229" spans="1:13">
      <c r="A229" s="22"/>
      <c r="E229" s="21"/>
      <c r="F229" s="21"/>
      <c r="G229" s="21"/>
      <c r="I229" s="21"/>
      <c r="L229" s="21"/>
      <c r="M229" s="23"/>
    </row>
    <row r="230" spans="1:13">
      <c r="A230" s="22"/>
      <c r="E230" s="21"/>
      <c r="F230" s="21"/>
      <c r="G230" s="21"/>
      <c r="I230" s="21"/>
      <c r="L230" s="21"/>
      <c r="M230" s="23"/>
    </row>
    <row r="231" spans="1:13">
      <c r="A231" s="22"/>
      <c r="E231" s="21"/>
      <c r="F231" s="21"/>
      <c r="G231" s="21"/>
      <c r="I231" s="21"/>
      <c r="L231" s="21"/>
      <c r="M231" s="23"/>
    </row>
    <row r="232" spans="1:13">
      <c r="A232" s="22"/>
      <c r="E232" s="21"/>
      <c r="F232" s="21"/>
      <c r="G232" s="21"/>
      <c r="I232" s="21"/>
      <c r="L232" s="21"/>
      <c r="M232" s="23"/>
    </row>
    <row r="233" spans="1:13">
      <c r="A233" s="22"/>
      <c r="E233" s="21"/>
      <c r="F233" s="21"/>
      <c r="G233" s="21"/>
      <c r="I233" s="21"/>
      <c r="L233" s="21"/>
      <c r="M233" s="23"/>
    </row>
    <row r="234" spans="1:13">
      <c r="A234" s="22"/>
      <c r="E234" s="21"/>
      <c r="F234" s="21"/>
      <c r="G234" s="21"/>
      <c r="I234" s="21"/>
      <c r="L234" s="21"/>
      <c r="M234" s="23"/>
    </row>
    <row r="235" spans="1:13">
      <c r="A235" s="22"/>
      <c r="E235" s="21"/>
      <c r="F235" s="21"/>
      <c r="G235" s="21"/>
      <c r="I235" s="21"/>
      <c r="L235" s="21"/>
      <c r="M235" s="23"/>
    </row>
    <row r="236" spans="1:13">
      <c r="A236" s="22"/>
      <c r="E236" s="21"/>
      <c r="F236" s="21"/>
      <c r="G236" s="21"/>
      <c r="I236" s="21"/>
      <c r="L236" s="21"/>
      <c r="M236" s="23"/>
    </row>
    <row r="237" spans="1:13">
      <c r="A237" s="22"/>
      <c r="E237" s="21"/>
      <c r="F237" s="21"/>
      <c r="G237" s="21"/>
      <c r="I237" s="21"/>
      <c r="L237" s="21"/>
      <c r="M237" s="23"/>
    </row>
    <row r="238" spans="1:13">
      <c r="A238" s="22"/>
      <c r="E238" s="21"/>
      <c r="F238" s="21"/>
      <c r="G238" s="21"/>
      <c r="I238" s="21"/>
      <c r="L238" s="21"/>
      <c r="M238" s="23"/>
    </row>
    <row r="239" spans="1:13">
      <c r="A239" s="22"/>
      <c r="E239" s="21"/>
      <c r="F239" s="21"/>
      <c r="G239" s="21"/>
      <c r="I239" s="21"/>
      <c r="L239" s="21"/>
      <c r="M239" s="23"/>
    </row>
    <row r="240" spans="1:13">
      <c r="A240" s="22"/>
      <c r="E240" s="21"/>
      <c r="F240" s="21"/>
      <c r="G240" s="21"/>
      <c r="I240" s="21"/>
      <c r="L240" s="21"/>
      <c r="M240" s="23"/>
    </row>
    <row r="241" spans="1:13">
      <c r="A241" s="22"/>
      <c r="E241" s="21"/>
      <c r="F241" s="21"/>
      <c r="G241" s="21"/>
      <c r="I241" s="21"/>
      <c r="L241" s="21"/>
      <c r="M241" s="23"/>
    </row>
    <row r="242" spans="1:13">
      <c r="A242" s="22"/>
      <c r="E242" s="21"/>
      <c r="F242" s="21"/>
      <c r="G242" s="21"/>
      <c r="I242" s="21"/>
      <c r="L242" s="21"/>
      <c r="M242" s="23"/>
    </row>
    <row r="243" spans="1:13">
      <c r="A243" s="22"/>
      <c r="E243" s="21"/>
      <c r="F243" s="21"/>
      <c r="G243" s="21"/>
      <c r="I243" s="21"/>
      <c r="L243" s="21"/>
      <c r="M243" s="23"/>
    </row>
    <row r="244" spans="1:13">
      <c r="A244" s="22"/>
      <c r="E244" s="21"/>
      <c r="F244" s="21"/>
      <c r="G244" s="21"/>
      <c r="I244" s="21"/>
      <c r="L244" s="21"/>
      <c r="M244" s="23"/>
    </row>
    <row r="245" spans="1:13">
      <c r="A245" s="22"/>
      <c r="E245" s="21"/>
      <c r="F245" s="21"/>
      <c r="G245" s="21"/>
      <c r="I245" s="21"/>
      <c r="L245" s="21"/>
      <c r="M245" s="23"/>
    </row>
    <row r="246" spans="1:13">
      <c r="A246" s="22"/>
      <c r="E246" s="21"/>
      <c r="F246" s="21"/>
      <c r="G246" s="21"/>
      <c r="I246" s="21"/>
      <c r="L246" s="21"/>
      <c r="M246" s="23"/>
    </row>
    <row r="247" spans="1:13">
      <c r="A247" s="22"/>
      <c r="E247" s="21"/>
      <c r="F247" s="21"/>
      <c r="G247" s="21"/>
      <c r="I247" s="21"/>
      <c r="L247" s="21"/>
      <c r="M247" s="23"/>
    </row>
    <row r="248" spans="1:13">
      <c r="A248" s="22"/>
      <c r="E248" s="21"/>
      <c r="F248" s="21"/>
      <c r="G248" s="21"/>
      <c r="I248" s="21"/>
      <c r="L248" s="21"/>
      <c r="M248" s="23"/>
    </row>
    <row r="249" spans="1:13">
      <c r="A249" s="22"/>
      <c r="E249" s="21"/>
      <c r="F249" s="21"/>
      <c r="G249" s="21"/>
      <c r="I249" s="21"/>
      <c r="L249" s="21"/>
      <c r="M249" s="23"/>
    </row>
    <row r="250" spans="1:13">
      <c r="A250" s="22"/>
      <c r="E250" s="21"/>
      <c r="F250" s="21"/>
      <c r="G250" s="21"/>
      <c r="I250" s="21"/>
      <c r="L250" s="21"/>
      <c r="M250" s="23"/>
    </row>
    <row r="251" spans="1:13">
      <c r="A251" s="22"/>
      <c r="E251" s="21"/>
      <c r="F251" s="21"/>
      <c r="G251" s="21"/>
      <c r="I251" s="21"/>
      <c r="L251" s="21"/>
      <c r="M251" s="23"/>
    </row>
    <row r="252" spans="1:13">
      <c r="A252" s="22"/>
      <c r="E252" s="21"/>
      <c r="F252" s="21"/>
      <c r="G252" s="21"/>
      <c r="I252" s="21"/>
      <c r="L252" s="21"/>
      <c r="M252" s="23"/>
    </row>
    <row r="253" spans="1:13">
      <c r="A253" s="22"/>
      <c r="E253" s="21"/>
      <c r="F253" s="21"/>
      <c r="G253" s="21"/>
      <c r="I253" s="21"/>
      <c r="L253" s="21"/>
      <c r="M253" s="23"/>
    </row>
    <row r="254" spans="1:13">
      <c r="A254" s="22"/>
      <c r="E254" s="21"/>
      <c r="F254" s="21"/>
      <c r="G254" s="21"/>
      <c r="I254" s="21"/>
      <c r="L254" s="21"/>
      <c r="M254" s="23"/>
    </row>
    <row r="255" spans="1:13">
      <c r="A255" s="22"/>
      <c r="E255" s="21"/>
      <c r="F255" s="21"/>
      <c r="G255" s="21"/>
      <c r="I255" s="21"/>
      <c r="L255" s="21"/>
      <c r="M255" s="23"/>
    </row>
    <row r="256" spans="1:13">
      <c r="A256" s="22"/>
      <c r="E256" s="21"/>
      <c r="F256" s="21"/>
      <c r="G256" s="21"/>
      <c r="I256" s="21"/>
      <c r="L256" s="21"/>
      <c r="M256" s="23"/>
    </row>
    <row r="257" spans="1:13">
      <c r="A257" s="22"/>
      <c r="E257" s="21"/>
      <c r="F257" s="21"/>
      <c r="G257" s="21"/>
      <c r="I257" s="21"/>
      <c r="L257" s="21"/>
      <c r="M257" s="23"/>
    </row>
    <row r="258" spans="1:13">
      <c r="A258" s="22"/>
      <c r="E258" s="21"/>
      <c r="F258" s="21"/>
      <c r="G258" s="21"/>
      <c r="I258" s="21"/>
      <c r="L258" s="21"/>
      <c r="M258" s="23"/>
    </row>
    <row r="259" spans="1:13">
      <c r="A259" s="22"/>
      <c r="E259" s="21"/>
      <c r="F259" s="21"/>
      <c r="G259" s="21"/>
      <c r="I259" s="21"/>
      <c r="L259" s="21"/>
      <c r="M259" s="23"/>
    </row>
    <row r="260" spans="1:13">
      <c r="A260" s="22"/>
      <c r="E260" s="21"/>
      <c r="F260" s="21"/>
      <c r="G260" s="21"/>
      <c r="I260" s="21"/>
      <c r="L260" s="21"/>
      <c r="M260" s="23"/>
    </row>
    <row r="261" spans="1:13">
      <c r="A261" s="22"/>
      <c r="E261" s="21"/>
      <c r="F261" s="21"/>
      <c r="G261" s="21"/>
      <c r="I261" s="21"/>
      <c r="L261" s="21"/>
      <c r="M261" s="23"/>
    </row>
    <row r="262" spans="1:13">
      <c r="A262" s="22"/>
      <c r="E262" s="21"/>
      <c r="F262" s="21"/>
      <c r="G262" s="21"/>
      <c r="I262" s="21"/>
      <c r="L262" s="21"/>
      <c r="M262" s="23"/>
    </row>
    <row r="263" spans="1:13">
      <c r="A263" s="22"/>
      <c r="E263" s="21"/>
      <c r="F263" s="21"/>
      <c r="G263" s="21"/>
      <c r="I263" s="21"/>
      <c r="L263" s="21"/>
      <c r="M263" s="23"/>
    </row>
    <row r="264" spans="1:13">
      <c r="A264" s="22"/>
      <c r="E264" s="21"/>
      <c r="F264" s="21"/>
      <c r="G264" s="21"/>
      <c r="I264" s="21"/>
      <c r="L264" s="21"/>
      <c r="M264" s="23"/>
    </row>
    <row r="265" spans="1:13">
      <c r="A265" s="22"/>
      <c r="E265" s="21"/>
      <c r="F265" s="21"/>
      <c r="G265" s="21"/>
      <c r="I265" s="21"/>
      <c r="L265" s="21"/>
      <c r="M265" s="23"/>
    </row>
    <row r="266" spans="1:13">
      <c r="A266" s="22"/>
      <c r="E266" s="21"/>
      <c r="F266" s="21"/>
      <c r="G266" s="21"/>
      <c r="I266" s="21"/>
      <c r="L266" s="21"/>
      <c r="M266" s="23"/>
    </row>
    <row r="267" spans="1:13">
      <c r="A267" s="22"/>
      <c r="E267" s="21"/>
      <c r="F267" s="21"/>
      <c r="G267" s="21"/>
      <c r="I267" s="21"/>
      <c r="L267" s="21"/>
      <c r="M267" s="23"/>
    </row>
    <row r="268" spans="1:13">
      <c r="A268" s="22"/>
      <c r="E268" s="21"/>
      <c r="F268" s="21"/>
      <c r="G268" s="21"/>
      <c r="I268" s="21"/>
      <c r="L268" s="21"/>
      <c r="M268" s="23"/>
    </row>
    <row r="269" spans="1:13">
      <c r="A269" s="22"/>
      <c r="E269" s="21"/>
      <c r="F269" s="21"/>
      <c r="G269" s="21"/>
      <c r="I269" s="21"/>
      <c r="L269" s="21"/>
      <c r="M269" s="23"/>
    </row>
    <row r="270" spans="1:13">
      <c r="A270" s="22"/>
      <c r="E270" s="21"/>
      <c r="F270" s="21"/>
      <c r="G270" s="21"/>
      <c r="I270" s="21"/>
      <c r="L270" s="21"/>
      <c r="M270" s="23"/>
    </row>
    <row r="271" spans="1:13">
      <c r="A271" s="22"/>
      <c r="E271" s="21"/>
      <c r="F271" s="21"/>
      <c r="G271" s="21"/>
      <c r="I271" s="21"/>
      <c r="L271" s="21"/>
      <c r="M271" s="23"/>
    </row>
    <row r="272" spans="1:13">
      <c r="A272" s="22"/>
      <c r="E272" s="21"/>
      <c r="F272" s="21"/>
      <c r="G272" s="21"/>
      <c r="I272" s="21"/>
      <c r="L272" s="21"/>
      <c r="M272" s="23"/>
    </row>
    <row r="273" spans="1:13">
      <c r="A273" s="22"/>
      <c r="E273" s="21"/>
      <c r="F273" s="21"/>
      <c r="G273" s="21"/>
      <c r="I273" s="21"/>
      <c r="L273" s="21"/>
      <c r="M273" s="23"/>
    </row>
    <row r="274" spans="1:13">
      <c r="A274" s="22"/>
      <c r="E274" s="21"/>
      <c r="F274" s="21"/>
      <c r="G274" s="21"/>
      <c r="I274" s="21"/>
      <c r="L274" s="21"/>
      <c r="M274" s="23"/>
    </row>
    <row r="275" spans="1:13">
      <c r="A275" s="22"/>
      <c r="E275" s="21"/>
      <c r="F275" s="21"/>
      <c r="G275" s="21"/>
      <c r="I275" s="21"/>
      <c r="L275" s="21"/>
      <c r="M275" s="23"/>
    </row>
    <row r="276" spans="1:13">
      <c r="A276" s="22"/>
      <c r="E276" s="21"/>
      <c r="F276" s="21"/>
      <c r="G276" s="21"/>
      <c r="I276" s="21"/>
      <c r="L276" s="21"/>
      <c r="M276" s="23"/>
    </row>
    <row r="277" spans="1:13">
      <c r="A277" s="22"/>
      <c r="E277" s="21"/>
      <c r="F277" s="21"/>
      <c r="G277" s="21"/>
      <c r="I277" s="21"/>
      <c r="L277" s="21"/>
      <c r="M277" s="23"/>
    </row>
    <row r="278" spans="1:13">
      <c r="A278" s="22"/>
      <c r="E278" s="21"/>
      <c r="F278" s="21"/>
      <c r="G278" s="21"/>
      <c r="I278" s="21"/>
      <c r="L278" s="21"/>
      <c r="M278" s="23"/>
    </row>
    <row r="279" spans="1:13">
      <c r="A279" s="22"/>
      <c r="E279" s="21"/>
      <c r="F279" s="21"/>
      <c r="G279" s="21"/>
      <c r="I279" s="21"/>
      <c r="L279" s="21"/>
      <c r="M279" s="23"/>
    </row>
    <row r="280" spans="1:13">
      <c r="A280" s="22"/>
      <c r="E280" s="21"/>
      <c r="F280" s="21"/>
      <c r="G280" s="21"/>
      <c r="I280" s="21"/>
      <c r="L280" s="21"/>
      <c r="M280" s="23"/>
    </row>
    <row r="281" spans="1:13">
      <c r="A281" s="22"/>
      <c r="E281" s="21"/>
      <c r="F281" s="21"/>
      <c r="G281" s="21"/>
      <c r="I281" s="21"/>
      <c r="L281" s="21"/>
      <c r="M281" s="23"/>
    </row>
    <row r="282" spans="1:13">
      <c r="A282" s="22"/>
      <c r="E282" s="21"/>
      <c r="F282" s="21"/>
      <c r="G282" s="21"/>
      <c r="I282" s="21"/>
      <c r="L282" s="21"/>
      <c r="M282" s="23"/>
    </row>
    <row r="283" spans="1:13">
      <c r="A283" s="22"/>
      <c r="E283" s="21"/>
      <c r="F283" s="21"/>
      <c r="G283" s="21"/>
      <c r="I283" s="21"/>
      <c r="L283" s="21"/>
      <c r="M283" s="23"/>
    </row>
    <row r="284" spans="1:13">
      <c r="A284" s="22"/>
      <c r="E284" s="21"/>
      <c r="F284" s="21"/>
      <c r="G284" s="21"/>
      <c r="I284" s="21"/>
      <c r="L284" s="21"/>
      <c r="M284" s="23"/>
    </row>
    <row r="285" spans="1:13">
      <c r="A285" s="22"/>
      <c r="E285" s="21"/>
      <c r="F285" s="21"/>
      <c r="G285" s="21"/>
      <c r="I285" s="21"/>
      <c r="L285" s="21"/>
      <c r="M285" s="23"/>
    </row>
    <row r="286" spans="1:13">
      <c r="A286" s="22"/>
      <c r="E286" s="21"/>
      <c r="F286" s="21"/>
      <c r="G286" s="21"/>
      <c r="I286" s="21"/>
      <c r="L286" s="21"/>
      <c r="M286" s="23"/>
    </row>
    <row r="287" spans="1:13">
      <c r="A287" s="22"/>
      <c r="E287" s="21"/>
      <c r="F287" s="21"/>
      <c r="G287" s="21"/>
      <c r="I287" s="21"/>
      <c r="L287" s="21"/>
      <c r="M287" s="23"/>
    </row>
    <row r="288" spans="1:13">
      <c r="A288" s="22"/>
      <c r="E288" s="21"/>
      <c r="F288" s="21"/>
      <c r="G288" s="21"/>
      <c r="I288" s="21"/>
      <c r="L288" s="21"/>
      <c r="M288" s="23"/>
    </row>
    <row r="289" spans="1:13">
      <c r="A289" s="22"/>
      <c r="E289" s="21"/>
      <c r="F289" s="21"/>
      <c r="G289" s="21"/>
      <c r="I289" s="21"/>
      <c r="L289" s="21"/>
      <c r="M289" s="23"/>
    </row>
    <row r="290" spans="1:13">
      <c r="A290" s="22"/>
      <c r="E290" s="21"/>
      <c r="F290" s="21"/>
      <c r="G290" s="21"/>
      <c r="I290" s="21"/>
      <c r="L290" s="21"/>
      <c r="M290" s="23"/>
    </row>
    <row r="291" spans="1:13">
      <c r="A291" s="22"/>
      <c r="E291" s="21"/>
      <c r="F291" s="21"/>
      <c r="G291" s="21"/>
      <c r="I291" s="21"/>
      <c r="L291" s="21"/>
      <c r="M291" s="23"/>
    </row>
    <row r="292" spans="1:13">
      <c r="A292" s="22"/>
      <c r="E292" s="21"/>
      <c r="F292" s="21"/>
      <c r="G292" s="21"/>
      <c r="I292" s="21"/>
      <c r="L292" s="21"/>
      <c r="M292" s="23"/>
    </row>
    <row r="293" spans="1:13">
      <c r="A293" s="22"/>
      <c r="E293" s="21"/>
      <c r="F293" s="21"/>
      <c r="G293" s="21"/>
      <c r="I293" s="21"/>
      <c r="L293" s="21"/>
      <c r="M293" s="23"/>
    </row>
    <row r="294" spans="1:13">
      <c r="A294" s="22"/>
      <c r="E294" s="21"/>
      <c r="F294" s="21"/>
      <c r="G294" s="21"/>
      <c r="I294" s="21"/>
      <c r="L294" s="21"/>
      <c r="M294" s="23"/>
    </row>
    <row r="295" spans="1:13">
      <c r="A295" s="22"/>
      <c r="E295" s="21"/>
      <c r="F295" s="21"/>
      <c r="G295" s="21"/>
      <c r="I295" s="21"/>
      <c r="L295" s="21"/>
      <c r="M295" s="23"/>
    </row>
    <row r="296" spans="1:13">
      <c r="A296" s="22"/>
      <c r="E296" s="21"/>
      <c r="F296" s="21"/>
      <c r="G296" s="21"/>
      <c r="I296" s="21"/>
      <c r="L296" s="21"/>
      <c r="M296" s="23"/>
    </row>
    <row r="297" spans="1:13">
      <c r="A297" s="22"/>
      <c r="E297" s="21"/>
      <c r="F297" s="21"/>
      <c r="G297" s="21"/>
      <c r="I297" s="21"/>
      <c r="L297" s="21"/>
      <c r="M297" s="23"/>
    </row>
    <row r="298" spans="1:13">
      <c r="A298" s="22"/>
      <c r="E298" s="21"/>
      <c r="F298" s="21"/>
      <c r="G298" s="21"/>
      <c r="I298" s="21"/>
      <c r="L298" s="21"/>
      <c r="M298" s="23"/>
    </row>
    <row r="299" spans="1:13">
      <c r="A299" s="22"/>
      <c r="E299" s="21"/>
      <c r="F299" s="21"/>
      <c r="G299" s="21"/>
      <c r="I299" s="21"/>
      <c r="L299" s="21"/>
      <c r="M299" s="23"/>
    </row>
    <row r="300" spans="1:13">
      <c r="A300" s="22"/>
      <c r="E300" s="21"/>
      <c r="F300" s="21"/>
      <c r="G300" s="21"/>
      <c r="I300" s="21"/>
      <c r="L300" s="21"/>
      <c r="M300" s="23"/>
    </row>
    <row r="301" spans="1:13">
      <c r="A301" s="22"/>
      <c r="E301" s="21"/>
      <c r="F301" s="21"/>
      <c r="G301" s="21"/>
      <c r="I301" s="21"/>
      <c r="L301" s="21"/>
      <c r="M301" s="23"/>
    </row>
    <row r="302" spans="1:13">
      <c r="A302" s="22"/>
      <c r="E302" s="21"/>
      <c r="F302" s="21"/>
      <c r="G302" s="21"/>
      <c r="I302" s="21"/>
      <c r="L302" s="21"/>
      <c r="M302" s="23"/>
    </row>
    <row r="303" spans="1:13">
      <c r="A303" s="22"/>
      <c r="E303" s="21"/>
      <c r="F303" s="21"/>
      <c r="G303" s="21"/>
      <c r="I303" s="21"/>
      <c r="L303" s="21"/>
      <c r="M303" s="23"/>
    </row>
    <row r="304" spans="1:13">
      <c r="A304" s="22"/>
      <c r="E304" s="21"/>
      <c r="F304" s="21"/>
      <c r="G304" s="21"/>
      <c r="I304" s="21"/>
      <c r="L304" s="21"/>
      <c r="M304" s="23"/>
    </row>
    <row r="305" spans="1:13">
      <c r="A305" s="22"/>
      <c r="E305" s="21"/>
      <c r="F305" s="21"/>
      <c r="G305" s="21"/>
      <c r="I305" s="21"/>
      <c r="L305" s="21"/>
      <c r="M305" s="23"/>
    </row>
    <row r="306" spans="1:13">
      <c r="A306" s="22"/>
      <c r="E306" s="21"/>
      <c r="F306" s="21"/>
      <c r="G306" s="21"/>
      <c r="I306" s="21"/>
      <c r="L306" s="21"/>
      <c r="M306" s="23"/>
    </row>
    <row r="307" spans="1:13">
      <c r="A307" s="22"/>
      <c r="E307" s="21"/>
      <c r="F307" s="21"/>
      <c r="G307" s="21"/>
      <c r="I307" s="21"/>
      <c r="L307" s="21"/>
      <c r="M307" s="23"/>
    </row>
    <row r="308" spans="1:13">
      <c r="A308" s="22"/>
      <c r="E308" s="21"/>
      <c r="F308" s="21"/>
      <c r="G308" s="21"/>
      <c r="I308" s="21"/>
      <c r="L308" s="21"/>
      <c r="M308" s="23"/>
    </row>
    <row r="309" spans="1:13">
      <c r="A309" s="22"/>
      <c r="E309" s="21"/>
      <c r="F309" s="21"/>
      <c r="G309" s="21"/>
      <c r="I309" s="21"/>
      <c r="L309" s="21"/>
      <c r="M309" s="23"/>
    </row>
    <row r="310" spans="1:13">
      <c r="A310" s="22"/>
      <c r="E310" s="21"/>
      <c r="F310" s="21"/>
      <c r="G310" s="21"/>
      <c r="I310" s="21"/>
      <c r="L310" s="21"/>
      <c r="M310" s="23"/>
    </row>
    <row r="311" spans="1:13">
      <c r="A311" s="22"/>
      <c r="E311" s="21"/>
      <c r="F311" s="21"/>
      <c r="G311" s="21"/>
      <c r="I311" s="21"/>
      <c r="L311" s="21"/>
      <c r="M311" s="23"/>
    </row>
    <row r="312" spans="1:13">
      <c r="A312" s="22"/>
      <c r="E312" s="21"/>
      <c r="F312" s="21"/>
      <c r="G312" s="21"/>
      <c r="I312" s="21"/>
      <c r="L312" s="21"/>
      <c r="M312" s="23"/>
    </row>
    <row r="313" spans="1:13">
      <c r="A313" s="22"/>
      <c r="E313" s="21"/>
      <c r="F313" s="21"/>
      <c r="G313" s="21"/>
      <c r="I313" s="21"/>
      <c r="L313" s="21"/>
      <c r="M313" s="23"/>
    </row>
    <row r="314" spans="1:13">
      <c r="A314" s="22"/>
      <c r="E314" s="21"/>
      <c r="F314" s="21"/>
      <c r="G314" s="21"/>
      <c r="I314" s="21"/>
      <c r="L314" s="21"/>
      <c r="M314" s="23"/>
    </row>
    <row r="315" spans="1:13">
      <c r="A315" s="22"/>
      <c r="E315" s="21"/>
      <c r="F315" s="21"/>
      <c r="G315" s="21"/>
      <c r="I315" s="21"/>
      <c r="L315" s="21"/>
      <c r="M315" s="23"/>
    </row>
    <row r="316" spans="1:13">
      <c r="A316" s="22"/>
      <c r="E316" s="21"/>
      <c r="F316" s="21"/>
      <c r="G316" s="21"/>
      <c r="I316" s="21"/>
      <c r="L316" s="21"/>
      <c r="M316" s="23"/>
    </row>
    <row r="317" spans="1:13">
      <c r="A317" s="22"/>
      <c r="E317" s="21"/>
      <c r="F317" s="21"/>
      <c r="G317" s="21"/>
      <c r="I317" s="21"/>
      <c r="L317" s="21"/>
      <c r="M317" s="23"/>
    </row>
    <row r="318" spans="1:13">
      <c r="A318" s="22"/>
      <c r="E318" s="21"/>
      <c r="F318" s="21"/>
      <c r="G318" s="21"/>
      <c r="I318" s="21"/>
      <c r="L318" s="21"/>
      <c r="M318" s="23"/>
    </row>
    <row r="319" spans="1:13">
      <c r="A319" s="22"/>
      <c r="E319" s="21"/>
      <c r="F319" s="21"/>
      <c r="G319" s="21"/>
      <c r="I319" s="21"/>
      <c r="L319" s="21"/>
      <c r="M319" s="23"/>
    </row>
    <row r="320" spans="1:13">
      <c r="A320" s="22"/>
      <c r="E320" s="21"/>
      <c r="F320" s="21"/>
      <c r="G320" s="21"/>
      <c r="I320" s="21"/>
      <c r="L320" s="21"/>
      <c r="M320" s="23"/>
    </row>
    <row r="321" spans="1:13">
      <c r="A321" s="22"/>
      <c r="E321" s="21"/>
      <c r="F321" s="21"/>
      <c r="G321" s="21"/>
      <c r="I321" s="21"/>
      <c r="L321" s="21"/>
      <c r="M321" s="23"/>
    </row>
    <row r="322" spans="1:13">
      <c r="A322" s="22"/>
      <c r="E322" s="21"/>
      <c r="F322" s="21"/>
      <c r="G322" s="21"/>
      <c r="I322" s="21"/>
      <c r="L322" s="21"/>
      <c r="M322" s="23"/>
    </row>
    <row r="323" spans="1:13">
      <c r="A323" s="22"/>
      <c r="E323" s="21"/>
      <c r="F323" s="21"/>
      <c r="G323" s="21"/>
      <c r="I323" s="21"/>
      <c r="L323" s="21"/>
      <c r="M323" s="23"/>
    </row>
    <row r="324" spans="1:13">
      <c r="A324" s="22"/>
      <c r="E324" s="21"/>
      <c r="F324" s="21"/>
      <c r="G324" s="21"/>
      <c r="I324" s="21"/>
      <c r="L324" s="21"/>
      <c r="M324" s="23"/>
    </row>
    <row r="325" spans="1:13">
      <c r="A325" s="22"/>
      <c r="E325" s="21"/>
      <c r="F325" s="21"/>
      <c r="G325" s="21"/>
      <c r="I325" s="21"/>
      <c r="L325" s="21"/>
      <c r="M325" s="23"/>
    </row>
    <row r="326" spans="1:13">
      <c r="A326" s="22"/>
      <c r="E326" s="21"/>
      <c r="F326" s="21"/>
      <c r="G326" s="21"/>
      <c r="I326" s="21"/>
      <c r="L326" s="21"/>
      <c r="M326" s="23"/>
    </row>
    <row r="327" spans="1:13">
      <c r="A327" s="22"/>
      <c r="E327" s="21"/>
      <c r="F327" s="21"/>
      <c r="G327" s="21"/>
      <c r="I327" s="21"/>
      <c r="L327" s="21"/>
      <c r="M327" s="23"/>
    </row>
    <row r="328" spans="1:13">
      <c r="A328" s="22"/>
      <c r="E328" s="21"/>
      <c r="F328" s="21"/>
      <c r="G328" s="21"/>
      <c r="I328" s="21"/>
      <c r="L328" s="21"/>
      <c r="M328" s="23"/>
    </row>
    <row r="329" spans="1:13">
      <c r="A329" s="22"/>
      <c r="E329" s="21"/>
      <c r="F329" s="21"/>
      <c r="G329" s="21"/>
      <c r="I329" s="21"/>
      <c r="L329" s="21"/>
      <c r="M329" s="23"/>
    </row>
    <row r="330" spans="1:13">
      <c r="A330" s="22"/>
      <c r="E330" s="21"/>
      <c r="F330" s="21"/>
      <c r="G330" s="21"/>
      <c r="I330" s="21"/>
      <c r="L330" s="21"/>
      <c r="M330" s="23"/>
    </row>
    <row r="331" spans="1:13">
      <c r="A331" s="22"/>
      <c r="E331" s="21"/>
      <c r="F331" s="21"/>
      <c r="G331" s="21"/>
      <c r="I331" s="21"/>
      <c r="L331" s="21"/>
      <c r="M331" s="23"/>
    </row>
    <row r="332" spans="1:13">
      <c r="A332" s="22"/>
      <c r="E332" s="21"/>
      <c r="F332" s="21"/>
      <c r="G332" s="21"/>
      <c r="I332" s="21"/>
      <c r="L332" s="21"/>
      <c r="M332" s="23"/>
    </row>
    <row r="333" spans="1:13">
      <c r="A333" s="22"/>
      <c r="E333" s="21"/>
      <c r="F333" s="21"/>
      <c r="G333" s="21"/>
      <c r="I333" s="21"/>
      <c r="L333" s="21"/>
      <c r="M333" s="23"/>
    </row>
    <row r="334" spans="1:13">
      <c r="A334" s="22"/>
      <c r="E334" s="21"/>
      <c r="F334" s="21"/>
      <c r="G334" s="21"/>
      <c r="I334" s="21"/>
      <c r="L334" s="21"/>
      <c r="M334" s="23"/>
    </row>
    <row r="335" spans="1:13">
      <c r="A335" s="22"/>
      <c r="E335" s="21"/>
      <c r="F335" s="21"/>
      <c r="G335" s="21"/>
      <c r="I335" s="21"/>
      <c r="L335" s="21"/>
      <c r="M335" s="23"/>
    </row>
    <row r="336" spans="1:13">
      <c r="A336" s="22"/>
      <c r="E336" s="21"/>
      <c r="F336" s="21"/>
      <c r="G336" s="21"/>
      <c r="I336" s="21"/>
      <c r="L336" s="21"/>
      <c r="M336" s="23"/>
    </row>
    <row r="337" spans="1:13">
      <c r="A337" s="22"/>
      <c r="E337" s="21"/>
      <c r="F337" s="21"/>
      <c r="G337" s="21"/>
      <c r="I337" s="21"/>
      <c r="L337" s="21"/>
      <c r="M337" s="23"/>
    </row>
    <row r="338" spans="1:13">
      <c r="A338" s="22"/>
      <c r="E338" s="21"/>
      <c r="F338" s="21"/>
      <c r="G338" s="21"/>
      <c r="I338" s="21"/>
      <c r="L338" s="21"/>
      <c r="M338" s="23"/>
    </row>
    <row r="339" spans="1:13">
      <c r="A339" s="22"/>
      <c r="E339" s="21"/>
      <c r="F339" s="21"/>
      <c r="G339" s="21"/>
      <c r="I339" s="21"/>
      <c r="L339" s="21"/>
      <c r="M339" s="23"/>
    </row>
    <row r="340" spans="1:13">
      <c r="A340" s="22"/>
      <c r="E340" s="21"/>
      <c r="F340" s="21"/>
      <c r="G340" s="21"/>
      <c r="I340" s="21"/>
      <c r="L340" s="21"/>
      <c r="M340" s="23"/>
    </row>
    <row r="341" spans="1:13">
      <c r="A341" s="22"/>
      <c r="E341" s="21"/>
      <c r="F341" s="21"/>
      <c r="G341" s="21"/>
      <c r="I341" s="21"/>
      <c r="L341" s="21"/>
      <c r="M341" s="23"/>
    </row>
    <row r="342" spans="1:13">
      <c r="A342" s="22"/>
      <c r="E342" s="21"/>
      <c r="F342" s="21"/>
      <c r="G342" s="21"/>
      <c r="I342" s="21"/>
      <c r="L342" s="21"/>
      <c r="M342" s="23"/>
    </row>
    <row r="343" spans="1:13">
      <c r="A343" s="22"/>
      <c r="E343" s="21"/>
      <c r="F343" s="21"/>
      <c r="G343" s="21"/>
      <c r="I343" s="21"/>
      <c r="L343" s="21"/>
      <c r="M343" s="23"/>
    </row>
    <row r="344" spans="1:13">
      <c r="A344" s="22"/>
      <c r="E344" s="21"/>
      <c r="F344" s="21"/>
      <c r="G344" s="21"/>
      <c r="I344" s="21"/>
      <c r="L344" s="21"/>
      <c r="M344" s="23"/>
    </row>
    <row r="345" spans="1:13">
      <c r="A345" s="22"/>
      <c r="E345" s="21"/>
      <c r="F345" s="21"/>
      <c r="G345" s="21"/>
      <c r="I345" s="21"/>
      <c r="L345" s="21"/>
      <c r="M345" s="23"/>
    </row>
    <row r="346" spans="1:13">
      <c r="A346" s="22"/>
      <c r="E346" s="21"/>
      <c r="F346" s="21"/>
      <c r="G346" s="21"/>
      <c r="I346" s="21"/>
      <c r="L346" s="21"/>
      <c r="M346" s="23"/>
    </row>
    <row r="347" spans="1:13">
      <c r="A347" s="22"/>
      <c r="E347" s="21"/>
      <c r="F347" s="21"/>
      <c r="G347" s="21"/>
      <c r="I347" s="21"/>
      <c r="L347" s="21"/>
      <c r="M347" s="23"/>
    </row>
    <row r="348" spans="1:13">
      <c r="A348" s="22"/>
      <c r="E348" s="21"/>
      <c r="F348" s="21"/>
      <c r="G348" s="21"/>
      <c r="I348" s="21"/>
      <c r="L348" s="21"/>
      <c r="M348" s="23"/>
    </row>
    <row r="349" spans="1:13">
      <c r="A349" s="22"/>
      <c r="E349" s="21"/>
      <c r="F349" s="21"/>
      <c r="G349" s="21"/>
      <c r="I349" s="21"/>
      <c r="L349" s="21"/>
      <c r="M349" s="23"/>
    </row>
    <row r="350" spans="1:13">
      <c r="A350" s="22"/>
      <c r="E350" s="21"/>
      <c r="F350" s="21"/>
      <c r="G350" s="21"/>
      <c r="I350" s="21"/>
      <c r="L350" s="21"/>
      <c r="M350" s="23"/>
    </row>
    <row r="351" spans="1:13">
      <c r="A351" s="22"/>
      <c r="E351" s="21"/>
      <c r="F351" s="21"/>
      <c r="G351" s="21"/>
      <c r="I351" s="21"/>
      <c r="L351" s="21"/>
      <c r="M351" s="23"/>
    </row>
    <row r="352" spans="1:13">
      <c r="A352" s="22"/>
      <c r="E352" s="21"/>
      <c r="F352" s="21"/>
      <c r="G352" s="21"/>
      <c r="I352" s="21"/>
      <c r="L352" s="21"/>
      <c r="M352" s="23"/>
    </row>
    <row r="353" spans="1:13">
      <c r="A353" s="22"/>
      <c r="E353" s="21"/>
      <c r="F353" s="21"/>
      <c r="G353" s="21"/>
      <c r="I353" s="21"/>
      <c r="L353" s="21"/>
      <c r="M353" s="23"/>
    </row>
    <row r="354" spans="1:13">
      <c r="A354" s="22"/>
      <c r="E354" s="21"/>
      <c r="F354" s="21"/>
      <c r="G354" s="21"/>
      <c r="I354" s="21"/>
      <c r="L354" s="21"/>
      <c r="M354" s="23"/>
    </row>
    <row r="355" spans="1:13">
      <c r="A355" s="22"/>
      <c r="E355" s="21"/>
      <c r="F355" s="21"/>
      <c r="G355" s="21"/>
      <c r="I355" s="21"/>
      <c r="L355" s="21"/>
      <c r="M355" s="23"/>
    </row>
    <row r="356" spans="1:13">
      <c r="A356" s="22"/>
      <c r="E356" s="21"/>
      <c r="F356" s="21"/>
      <c r="G356" s="21"/>
      <c r="I356" s="21"/>
      <c r="L356" s="21"/>
      <c r="M356" s="23"/>
    </row>
    <row r="357" spans="1:13">
      <c r="A357" s="22"/>
      <c r="E357" s="21"/>
      <c r="F357" s="21"/>
      <c r="G357" s="21"/>
      <c r="I357" s="21"/>
      <c r="L357" s="21"/>
      <c r="M357" s="23"/>
    </row>
    <row r="358" spans="1:13">
      <c r="A358" s="22"/>
      <c r="E358" s="21"/>
      <c r="F358" s="21"/>
      <c r="G358" s="21"/>
      <c r="I358" s="21"/>
      <c r="L358" s="21"/>
      <c r="M358" s="23"/>
    </row>
    <row r="359" spans="1:13">
      <c r="A359" s="22"/>
      <c r="E359" s="21"/>
      <c r="F359" s="21"/>
      <c r="G359" s="21"/>
      <c r="I359" s="21"/>
      <c r="L359" s="21"/>
      <c r="M359" s="23"/>
    </row>
    <row r="360" spans="1:13">
      <c r="A360" s="22"/>
      <c r="E360" s="21"/>
      <c r="F360" s="21"/>
      <c r="G360" s="21"/>
      <c r="I360" s="21"/>
      <c r="L360" s="21"/>
      <c r="M360" s="23"/>
    </row>
    <row r="361" spans="1:13">
      <c r="A361" s="22"/>
      <c r="E361" s="21"/>
      <c r="F361" s="21"/>
      <c r="G361" s="21"/>
      <c r="I361" s="21"/>
      <c r="L361" s="21"/>
      <c r="M361" s="23"/>
    </row>
    <row r="362" spans="1:13">
      <c r="A362" s="22"/>
      <c r="E362" s="21"/>
      <c r="F362" s="21"/>
      <c r="G362" s="21"/>
      <c r="I362" s="21"/>
      <c r="L362" s="21"/>
      <c r="M362" s="23"/>
    </row>
    <row r="363" spans="1:13">
      <c r="A363" s="22"/>
      <c r="E363" s="21"/>
      <c r="F363" s="21"/>
      <c r="G363" s="21"/>
      <c r="I363" s="21"/>
      <c r="L363" s="21"/>
      <c r="M363" s="23"/>
    </row>
    <row r="364" spans="1:13">
      <c r="A364" s="22"/>
      <c r="E364" s="21"/>
      <c r="F364" s="21"/>
      <c r="G364" s="21"/>
      <c r="I364" s="21"/>
      <c r="L364" s="21"/>
      <c r="M364" s="23"/>
    </row>
    <row r="365" spans="1:13">
      <c r="A365" s="22"/>
      <c r="E365" s="21"/>
      <c r="F365" s="21"/>
      <c r="G365" s="21"/>
      <c r="I365" s="21"/>
      <c r="L365" s="21"/>
      <c r="M365" s="23"/>
    </row>
    <row r="366" spans="1:13">
      <c r="A366" s="22"/>
      <c r="E366" s="21"/>
      <c r="F366" s="21"/>
      <c r="G366" s="21"/>
      <c r="I366" s="21"/>
      <c r="L366" s="21"/>
      <c r="M366" s="23"/>
    </row>
    <row r="367" spans="1:13">
      <c r="A367" s="22"/>
      <c r="E367" s="21"/>
      <c r="F367" s="21"/>
      <c r="G367" s="21"/>
      <c r="I367" s="21"/>
      <c r="L367" s="21"/>
      <c r="M367" s="23"/>
    </row>
    <row r="368" spans="1:13">
      <c r="A368" s="22"/>
      <c r="E368" s="21"/>
      <c r="F368" s="21"/>
      <c r="G368" s="21"/>
      <c r="I368" s="21"/>
      <c r="L368" s="21"/>
      <c r="M368" s="23"/>
    </row>
    <row r="369" spans="1:13">
      <c r="A369" s="22"/>
      <c r="E369" s="21"/>
      <c r="F369" s="21"/>
      <c r="G369" s="21"/>
      <c r="I369" s="21"/>
      <c r="L369" s="21"/>
      <c r="M369" s="23"/>
    </row>
    <row r="370" spans="1:13">
      <c r="A370" s="22"/>
      <c r="E370" s="21"/>
      <c r="F370" s="21"/>
      <c r="G370" s="21"/>
      <c r="I370" s="21"/>
      <c r="L370" s="21"/>
      <c r="M370" s="23"/>
    </row>
    <row r="371" spans="1:13">
      <c r="A371" s="22"/>
      <c r="E371" s="21"/>
      <c r="F371" s="21"/>
      <c r="G371" s="21"/>
      <c r="I371" s="21"/>
      <c r="L371" s="21"/>
      <c r="M371" s="23"/>
    </row>
    <row r="372" spans="1:13">
      <c r="A372" s="22"/>
      <c r="E372" s="21"/>
      <c r="F372" s="21"/>
      <c r="G372" s="21"/>
      <c r="I372" s="21"/>
      <c r="L372" s="21"/>
      <c r="M372" s="23"/>
    </row>
    <row r="373" spans="1:13">
      <c r="A373" s="22"/>
      <c r="E373" s="21"/>
      <c r="F373" s="21"/>
      <c r="G373" s="21"/>
      <c r="I373" s="21"/>
      <c r="L373" s="21"/>
      <c r="M373" s="23"/>
    </row>
    <row r="374" spans="1:13">
      <c r="A374" s="22"/>
      <c r="E374" s="21"/>
      <c r="F374" s="21"/>
      <c r="G374" s="21"/>
      <c r="I374" s="21"/>
      <c r="L374" s="21"/>
      <c r="M374" s="23"/>
    </row>
    <row r="375" spans="1:13">
      <c r="A375" s="22"/>
      <c r="E375" s="21"/>
      <c r="F375" s="21"/>
      <c r="G375" s="21"/>
      <c r="I375" s="21"/>
      <c r="L375" s="21"/>
      <c r="M375" s="23"/>
    </row>
    <row r="376" spans="1:13">
      <c r="A376" s="22"/>
      <c r="E376" s="21"/>
      <c r="F376" s="21"/>
      <c r="G376" s="21"/>
      <c r="I376" s="21"/>
      <c r="L376" s="21"/>
      <c r="M376" s="23"/>
    </row>
    <row r="377" spans="1:13">
      <c r="A377" s="22"/>
      <c r="E377" s="21"/>
      <c r="F377" s="21"/>
      <c r="G377" s="21"/>
      <c r="I377" s="21"/>
      <c r="L377" s="21"/>
      <c r="M377" s="23"/>
    </row>
    <row r="378" spans="1:13">
      <c r="A378" s="22"/>
      <c r="E378" s="21"/>
      <c r="F378" s="21"/>
      <c r="G378" s="21"/>
      <c r="I378" s="21"/>
      <c r="L378" s="21"/>
      <c r="M378" s="23"/>
    </row>
    <row r="379" spans="1:13">
      <c r="A379" s="22"/>
      <c r="E379" s="21"/>
      <c r="F379" s="21"/>
      <c r="G379" s="21"/>
      <c r="I379" s="21"/>
      <c r="L379" s="21"/>
      <c r="M379" s="23"/>
    </row>
    <row r="380" spans="1:13">
      <c r="A380" s="22"/>
      <c r="E380" s="21"/>
      <c r="F380" s="21"/>
      <c r="G380" s="21"/>
      <c r="I380" s="21"/>
      <c r="L380" s="21"/>
      <c r="M380" s="23"/>
    </row>
    <row r="381" spans="1:13">
      <c r="A381" s="22"/>
      <c r="E381" s="21"/>
      <c r="F381" s="21"/>
      <c r="G381" s="21"/>
      <c r="I381" s="21"/>
      <c r="L381" s="21"/>
      <c r="M381" s="23"/>
    </row>
    <row r="382" spans="1:13">
      <c r="A382" s="22"/>
      <c r="E382" s="21"/>
      <c r="F382" s="21"/>
      <c r="G382" s="21"/>
      <c r="I382" s="21"/>
      <c r="L382" s="21"/>
      <c r="M382" s="23"/>
    </row>
    <row r="383" spans="1:13">
      <c r="A383" s="22"/>
      <c r="E383" s="21"/>
      <c r="F383" s="21"/>
      <c r="G383" s="21"/>
      <c r="I383" s="21"/>
      <c r="L383" s="21"/>
      <c r="M383" s="23"/>
    </row>
    <row r="384" spans="1:13">
      <c r="A384" s="22"/>
      <c r="E384" s="21"/>
      <c r="F384" s="21"/>
      <c r="G384" s="21"/>
      <c r="I384" s="21"/>
      <c r="L384" s="21"/>
      <c r="M384" s="23"/>
    </row>
    <row r="385" spans="1:13">
      <c r="A385" s="22"/>
      <c r="E385" s="21"/>
      <c r="F385" s="21"/>
      <c r="G385" s="21"/>
      <c r="I385" s="21"/>
      <c r="L385" s="21"/>
      <c r="M385" s="23"/>
    </row>
    <row r="386" spans="1:13">
      <c r="A386" s="22"/>
      <c r="E386" s="21"/>
      <c r="F386" s="21"/>
      <c r="G386" s="21"/>
      <c r="I386" s="21"/>
      <c r="L386" s="21"/>
      <c r="M386" s="23"/>
    </row>
    <row r="387" spans="1:13">
      <c r="A387" s="22"/>
      <c r="E387" s="21"/>
      <c r="F387" s="21"/>
      <c r="G387" s="21"/>
      <c r="I387" s="21"/>
      <c r="L387" s="21"/>
      <c r="M387" s="23"/>
    </row>
    <row r="388" spans="1:13">
      <c r="A388" s="22"/>
      <c r="E388" s="21"/>
      <c r="F388" s="21"/>
      <c r="G388" s="21"/>
      <c r="I388" s="21"/>
      <c r="L388" s="21"/>
      <c r="M388" s="23"/>
    </row>
    <row r="389" spans="1:13">
      <c r="A389" s="22"/>
      <c r="E389" s="21"/>
      <c r="F389" s="21"/>
      <c r="G389" s="21"/>
      <c r="I389" s="21"/>
      <c r="L389" s="21"/>
      <c r="M389" s="23"/>
    </row>
    <row r="390" spans="1:13">
      <c r="A390" s="22"/>
      <c r="E390" s="21"/>
      <c r="F390" s="21"/>
      <c r="G390" s="21"/>
      <c r="I390" s="21"/>
      <c r="L390" s="21"/>
      <c r="M390" s="23"/>
    </row>
    <row r="391" spans="1:13">
      <c r="A391" s="22"/>
      <c r="E391" s="21"/>
      <c r="F391" s="21"/>
      <c r="G391" s="21"/>
      <c r="I391" s="21"/>
      <c r="L391" s="21"/>
      <c r="M391" s="23"/>
    </row>
    <row r="392" spans="1:13">
      <c r="A392" s="22"/>
      <c r="E392" s="21"/>
      <c r="F392" s="21"/>
      <c r="G392" s="21"/>
      <c r="I392" s="21"/>
      <c r="L392" s="21"/>
      <c r="M392" s="23"/>
    </row>
    <row r="393" spans="1:13">
      <c r="A393" s="22"/>
      <c r="E393" s="21"/>
      <c r="F393" s="21"/>
      <c r="G393" s="21"/>
      <c r="I393" s="21"/>
      <c r="L393" s="21"/>
      <c r="M393" s="23"/>
    </row>
    <row r="394" spans="1:13">
      <c r="A394" s="22"/>
      <c r="E394" s="21"/>
      <c r="F394" s="21"/>
      <c r="G394" s="21"/>
      <c r="I394" s="21"/>
      <c r="L394" s="21"/>
      <c r="M394" s="23"/>
    </row>
    <row r="395" spans="1:13">
      <c r="A395" s="22"/>
      <c r="E395" s="21"/>
      <c r="F395" s="21"/>
      <c r="G395" s="21"/>
      <c r="I395" s="21"/>
      <c r="L395" s="21"/>
      <c r="M395" s="23"/>
    </row>
    <row r="396" spans="1:13">
      <c r="A396" s="22"/>
      <c r="E396" s="21"/>
      <c r="F396" s="21"/>
      <c r="G396" s="21"/>
      <c r="I396" s="21"/>
      <c r="L396" s="21"/>
      <c r="M396" s="23"/>
    </row>
    <row r="397" spans="1:13">
      <c r="A397" s="22"/>
      <c r="E397" s="21"/>
      <c r="F397" s="21"/>
      <c r="G397" s="21"/>
      <c r="I397" s="21"/>
      <c r="L397" s="21"/>
      <c r="M397" s="23"/>
    </row>
    <row r="398" spans="1:13">
      <c r="A398" s="22"/>
      <c r="E398" s="21"/>
      <c r="F398" s="21"/>
      <c r="G398" s="21"/>
      <c r="I398" s="21"/>
      <c r="L398" s="21"/>
      <c r="M398" s="23"/>
    </row>
    <row r="399" spans="1:13">
      <c r="A399" s="22"/>
      <c r="E399" s="21"/>
      <c r="F399" s="21"/>
      <c r="G399" s="21"/>
      <c r="I399" s="21"/>
      <c r="L399" s="21"/>
      <c r="M399" s="23"/>
    </row>
    <row r="400" spans="1:13">
      <c r="A400" s="22"/>
      <c r="E400" s="21"/>
      <c r="F400" s="21"/>
      <c r="G400" s="21"/>
      <c r="I400" s="21"/>
      <c r="L400" s="21"/>
      <c r="M400" s="23"/>
    </row>
    <row r="401" spans="1:13">
      <c r="A401" s="22"/>
      <c r="E401" s="21"/>
      <c r="F401" s="21"/>
      <c r="G401" s="21"/>
      <c r="I401" s="21"/>
      <c r="L401" s="21"/>
      <c r="M401" s="23"/>
    </row>
    <row r="402" spans="1:13">
      <c r="A402" s="22"/>
      <c r="E402" s="21"/>
      <c r="F402" s="21"/>
      <c r="G402" s="21"/>
      <c r="I402" s="21"/>
      <c r="L402" s="21"/>
      <c r="M402" s="23"/>
    </row>
    <row r="403" spans="1:13">
      <c r="A403" s="22"/>
      <c r="E403" s="21"/>
      <c r="F403" s="21"/>
      <c r="G403" s="21"/>
      <c r="I403" s="21"/>
      <c r="L403" s="21"/>
      <c r="M403" s="23"/>
    </row>
    <row r="404" spans="1:13">
      <c r="A404" s="22"/>
      <c r="E404" s="21"/>
      <c r="F404" s="21"/>
      <c r="G404" s="21"/>
      <c r="I404" s="21"/>
      <c r="L404" s="21"/>
      <c r="M404" s="23"/>
    </row>
    <row r="405" spans="1:13">
      <c r="A405" s="22"/>
      <c r="E405" s="21"/>
      <c r="F405" s="21"/>
      <c r="G405" s="21"/>
      <c r="I405" s="21"/>
      <c r="L405" s="21"/>
      <c r="M405" s="23"/>
    </row>
    <row r="406" spans="1:13">
      <c r="A406" s="22"/>
      <c r="E406" s="21"/>
      <c r="F406" s="21"/>
      <c r="G406" s="21"/>
      <c r="I406" s="21"/>
      <c r="L406" s="21"/>
      <c r="M406" s="23"/>
    </row>
    <row r="407" spans="1:13">
      <c r="A407" s="22"/>
      <c r="E407" s="21"/>
      <c r="F407" s="21"/>
      <c r="G407" s="21"/>
      <c r="I407" s="21"/>
      <c r="L407" s="21"/>
      <c r="M407" s="23"/>
    </row>
    <row r="408" spans="1:13">
      <c r="A408" s="22"/>
      <c r="E408" s="21"/>
      <c r="F408" s="21"/>
      <c r="G408" s="21"/>
      <c r="I408" s="21"/>
      <c r="L408" s="21"/>
      <c r="M408" s="23"/>
    </row>
    <row r="409" spans="1:13">
      <c r="A409" s="22"/>
      <c r="E409" s="21"/>
      <c r="F409" s="21"/>
      <c r="G409" s="21"/>
      <c r="I409" s="21"/>
      <c r="L409" s="21"/>
      <c r="M409" s="23"/>
    </row>
    <row r="410" spans="1:13">
      <c r="A410" s="22"/>
      <c r="E410" s="21"/>
      <c r="F410" s="21"/>
      <c r="G410" s="21"/>
      <c r="I410" s="21"/>
      <c r="L410" s="21"/>
      <c r="M410" s="23"/>
    </row>
    <row r="411" spans="1:13">
      <c r="A411" s="22"/>
      <c r="E411" s="21"/>
      <c r="F411" s="21"/>
      <c r="G411" s="21"/>
      <c r="I411" s="21"/>
      <c r="L411" s="21"/>
      <c r="M411" s="23"/>
    </row>
    <row r="412" spans="1:13">
      <c r="A412" s="22"/>
      <c r="E412" s="21"/>
      <c r="F412" s="21"/>
      <c r="G412" s="21"/>
      <c r="I412" s="21"/>
      <c r="L412" s="21"/>
      <c r="M412" s="23"/>
    </row>
    <row r="413" spans="1:13">
      <c r="A413" s="22"/>
      <c r="E413" s="21"/>
      <c r="F413" s="21"/>
      <c r="G413" s="21"/>
      <c r="I413" s="21"/>
      <c r="L413" s="21"/>
      <c r="M413" s="23"/>
    </row>
    <row r="414" spans="1:13">
      <c r="A414" s="22"/>
      <c r="E414" s="21"/>
      <c r="F414" s="21"/>
      <c r="G414" s="21"/>
      <c r="I414" s="21"/>
      <c r="L414" s="21"/>
      <c r="M414" s="23"/>
    </row>
    <row r="415" spans="1:13">
      <c r="A415" s="22"/>
      <c r="E415" s="21"/>
      <c r="F415" s="21"/>
      <c r="G415" s="21"/>
      <c r="I415" s="21"/>
      <c r="L415" s="21"/>
      <c r="M415" s="23"/>
    </row>
    <row r="416" spans="1:13">
      <c r="A416" s="22"/>
      <c r="E416" s="21"/>
      <c r="F416" s="21"/>
      <c r="G416" s="21"/>
      <c r="I416" s="21"/>
      <c r="L416" s="21"/>
      <c r="M416" s="23"/>
    </row>
    <row r="417" spans="1:13">
      <c r="A417" s="22"/>
      <c r="E417" s="21"/>
      <c r="F417" s="21"/>
      <c r="G417" s="21"/>
      <c r="I417" s="21"/>
      <c r="L417" s="21"/>
      <c r="M417" s="23"/>
    </row>
    <row r="418" spans="1:13">
      <c r="A418" s="22"/>
      <c r="E418" s="21"/>
      <c r="F418" s="21"/>
      <c r="G418" s="21"/>
      <c r="I418" s="21"/>
      <c r="L418" s="21"/>
      <c r="M418" s="23"/>
    </row>
    <row r="419" spans="1:13">
      <c r="A419" s="22"/>
      <c r="E419" s="21"/>
      <c r="F419" s="21"/>
      <c r="G419" s="21"/>
      <c r="I419" s="21"/>
      <c r="L419" s="21"/>
      <c r="M419" s="23"/>
    </row>
    <row r="420" spans="1:13">
      <c r="A420" s="22"/>
      <c r="E420" s="21"/>
      <c r="F420" s="21"/>
      <c r="G420" s="21"/>
      <c r="I420" s="21"/>
      <c r="L420" s="21"/>
      <c r="M420" s="23"/>
    </row>
    <row r="421" spans="1:13">
      <c r="A421" s="22"/>
      <c r="E421" s="21"/>
      <c r="F421" s="21"/>
      <c r="G421" s="21"/>
      <c r="I421" s="21"/>
      <c r="L421" s="21"/>
      <c r="M421" s="23"/>
    </row>
    <row r="422" spans="1:13">
      <c r="A422" s="22"/>
      <c r="E422" s="21"/>
      <c r="F422" s="21"/>
      <c r="G422" s="21"/>
      <c r="I422" s="21"/>
      <c r="L422" s="21"/>
      <c r="M422" s="23"/>
    </row>
    <row r="423" spans="1:13">
      <c r="A423" s="22"/>
      <c r="E423" s="21"/>
      <c r="F423" s="21"/>
      <c r="G423" s="21"/>
      <c r="I423" s="21"/>
      <c r="L423" s="21"/>
      <c r="M423" s="23"/>
    </row>
    <row r="424" spans="1:13">
      <c r="A424" s="22"/>
      <c r="E424" s="21"/>
      <c r="F424" s="21"/>
      <c r="G424" s="21"/>
      <c r="I424" s="21"/>
      <c r="L424" s="21"/>
      <c r="M424" s="23"/>
    </row>
    <row r="425" spans="1:13">
      <c r="A425" s="22"/>
      <c r="E425" s="21"/>
      <c r="F425" s="21"/>
      <c r="G425" s="21"/>
      <c r="I425" s="21"/>
      <c r="L425" s="21"/>
      <c r="M425" s="23"/>
    </row>
    <row r="426" spans="1:13">
      <c r="A426" s="22"/>
      <c r="E426" s="21"/>
      <c r="F426" s="21"/>
      <c r="G426" s="21"/>
      <c r="I426" s="21"/>
      <c r="L426" s="21"/>
      <c r="M426" s="23"/>
    </row>
    <row r="427" spans="1:13">
      <c r="A427" s="22"/>
      <c r="E427" s="21"/>
      <c r="F427" s="21"/>
      <c r="G427" s="21"/>
      <c r="I427" s="21"/>
      <c r="L427" s="21"/>
      <c r="M427" s="23"/>
    </row>
    <row r="428" spans="1:13">
      <c r="A428" s="22"/>
      <c r="E428" s="21"/>
      <c r="F428" s="21"/>
      <c r="G428" s="21"/>
      <c r="I428" s="21"/>
      <c r="L428" s="21"/>
      <c r="M428" s="23"/>
    </row>
    <row r="429" spans="1:13">
      <c r="A429" s="22"/>
      <c r="E429" s="21"/>
      <c r="F429" s="21"/>
      <c r="G429" s="21"/>
      <c r="I429" s="21"/>
      <c r="L429" s="21"/>
      <c r="M429" s="23"/>
    </row>
    <row r="430" spans="1:13">
      <c r="A430" s="22"/>
      <c r="E430" s="21"/>
      <c r="F430" s="21"/>
      <c r="G430" s="21"/>
      <c r="I430" s="21"/>
      <c r="L430" s="21"/>
      <c r="M430" s="23"/>
    </row>
    <row r="431" spans="1:13">
      <c r="A431" s="22"/>
      <c r="E431" s="21"/>
      <c r="F431" s="21"/>
      <c r="G431" s="21"/>
      <c r="I431" s="21"/>
      <c r="L431" s="21"/>
      <c r="M431" s="23"/>
    </row>
    <row r="432" spans="1:13">
      <c r="A432" s="22"/>
      <c r="E432" s="21"/>
      <c r="F432" s="21"/>
      <c r="G432" s="21"/>
      <c r="I432" s="21"/>
      <c r="L432" s="21"/>
      <c r="M432" s="23"/>
    </row>
    <row r="433" spans="1:13">
      <c r="A433" s="22"/>
      <c r="E433" s="21"/>
      <c r="F433" s="21"/>
      <c r="G433" s="21"/>
      <c r="I433" s="21"/>
      <c r="L433" s="21"/>
      <c r="M433" s="23"/>
    </row>
    <row r="434" spans="1:13">
      <c r="A434" s="22"/>
      <c r="E434" s="21"/>
      <c r="F434" s="21"/>
      <c r="G434" s="21"/>
      <c r="I434" s="21"/>
      <c r="L434" s="21"/>
      <c r="M434" s="23"/>
    </row>
    <row r="435" spans="1:13">
      <c r="A435" s="22"/>
      <c r="E435" s="21"/>
      <c r="F435" s="21"/>
      <c r="G435" s="21"/>
      <c r="I435" s="21"/>
      <c r="L435" s="21"/>
      <c r="M435" s="23"/>
    </row>
    <row r="436" spans="1:13">
      <c r="A436" s="22"/>
      <c r="E436" s="21"/>
      <c r="F436" s="21"/>
      <c r="G436" s="21"/>
      <c r="I436" s="21"/>
      <c r="L436" s="21"/>
      <c r="M436" s="23"/>
    </row>
    <row r="437" spans="1:13">
      <c r="A437" s="22"/>
      <c r="E437" s="21"/>
      <c r="F437" s="21"/>
      <c r="G437" s="21"/>
      <c r="I437" s="21"/>
      <c r="L437" s="21"/>
      <c r="M437" s="23"/>
    </row>
    <row r="438" spans="1:13">
      <c r="A438" s="22"/>
      <c r="E438" s="21"/>
      <c r="F438" s="21"/>
      <c r="G438" s="21"/>
      <c r="I438" s="21"/>
      <c r="L438" s="21"/>
      <c r="M438" s="23"/>
    </row>
    <row r="439" spans="1:13">
      <c r="A439" s="22"/>
      <c r="E439" s="21"/>
      <c r="F439" s="21"/>
      <c r="G439" s="21"/>
      <c r="I439" s="21"/>
      <c r="L439" s="21"/>
      <c r="M439" s="23"/>
    </row>
    <row r="440" spans="1:13">
      <c r="A440" s="22"/>
      <c r="E440" s="21"/>
      <c r="F440" s="21"/>
      <c r="G440" s="21"/>
      <c r="I440" s="21"/>
      <c r="L440" s="21"/>
      <c r="M440" s="23"/>
    </row>
    <row r="441" spans="1:13">
      <c r="A441" s="22"/>
      <c r="E441" s="21"/>
      <c r="F441" s="21"/>
      <c r="G441" s="21"/>
      <c r="I441" s="21"/>
      <c r="L441" s="21"/>
      <c r="M441" s="23"/>
    </row>
    <row r="442" spans="1:13">
      <c r="A442" s="22"/>
      <c r="E442" s="21"/>
      <c r="F442" s="21"/>
      <c r="G442" s="21"/>
      <c r="I442" s="21"/>
      <c r="L442" s="21"/>
      <c r="M442" s="23"/>
    </row>
    <row r="443" spans="1:13">
      <c r="A443" s="22"/>
      <c r="E443" s="21"/>
      <c r="F443" s="21"/>
      <c r="G443" s="21"/>
      <c r="I443" s="21"/>
      <c r="L443" s="21"/>
      <c r="M443" s="23"/>
    </row>
    <row r="444" spans="1:13">
      <c r="A444" s="22"/>
      <c r="E444" s="21"/>
      <c r="F444" s="21"/>
      <c r="G444" s="21"/>
      <c r="I444" s="21"/>
      <c r="L444" s="21"/>
      <c r="M444" s="23"/>
    </row>
    <row r="445" spans="1:13">
      <c r="A445" s="22"/>
      <c r="E445" s="21"/>
      <c r="F445" s="21"/>
      <c r="G445" s="21"/>
      <c r="I445" s="21"/>
      <c r="L445" s="21"/>
      <c r="M445" s="23"/>
    </row>
    <row r="446" spans="1:13">
      <c r="A446" s="22"/>
      <c r="E446" s="21"/>
      <c r="F446" s="21"/>
      <c r="G446" s="21"/>
      <c r="I446" s="21"/>
      <c r="L446" s="21"/>
      <c r="M446" s="23"/>
    </row>
    <row r="447" spans="1:13">
      <c r="A447" s="22"/>
      <c r="E447" s="21"/>
      <c r="F447" s="21"/>
      <c r="G447" s="21"/>
      <c r="I447" s="21"/>
      <c r="L447" s="21"/>
      <c r="M447" s="23"/>
    </row>
    <row r="448" spans="1:13">
      <c r="A448" s="22"/>
      <c r="E448" s="21"/>
      <c r="F448" s="21"/>
      <c r="G448" s="21"/>
      <c r="I448" s="21"/>
      <c r="L448" s="21"/>
      <c r="M448" s="23"/>
    </row>
    <row r="449" spans="1:13">
      <c r="A449" s="22"/>
      <c r="E449" s="21"/>
      <c r="F449" s="21"/>
      <c r="G449" s="21"/>
      <c r="I449" s="21"/>
      <c r="L449" s="21"/>
      <c r="M449" s="23"/>
    </row>
    <row r="450" spans="1:13">
      <c r="A450" s="22"/>
      <c r="E450" s="21"/>
      <c r="F450" s="21"/>
      <c r="G450" s="21"/>
      <c r="I450" s="21"/>
      <c r="L450" s="21"/>
      <c r="M450" s="23"/>
    </row>
    <row r="451" spans="1:13">
      <c r="A451" s="22"/>
      <c r="E451" s="21"/>
      <c r="F451" s="21"/>
      <c r="G451" s="21"/>
      <c r="I451" s="21"/>
      <c r="L451" s="21"/>
      <c r="M451" s="23"/>
    </row>
    <row r="452" spans="1:13">
      <c r="A452" s="22"/>
      <c r="E452" s="21"/>
      <c r="F452" s="21"/>
      <c r="G452" s="21"/>
      <c r="I452" s="21"/>
      <c r="L452" s="21"/>
      <c r="M452" s="23"/>
    </row>
    <row r="453" spans="1:13">
      <c r="A453" s="22"/>
      <c r="E453" s="21"/>
      <c r="F453" s="21"/>
      <c r="G453" s="21"/>
      <c r="I453" s="21"/>
      <c r="L453" s="21"/>
      <c r="M453" s="23"/>
    </row>
    <row r="454" spans="1:13">
      <c r="A454" s="22"/>
      <c r="E454" s="21"/>
      <c r="F454" s="21"/>
      <c r="G454" s="21"/>
      <c r="I454" s="21"/>
      <c r="L454" s="21"/>
      <c r="M454" s="23"/>
    </row>
    <row r="455" spans="1:13">
      <c r="A455" s="22"/>
      <c r="E455" s="21"/>
      <c r="F455" s="21"/>
      <c r="G455" s="21"/>
      <c r="I455" s="21"/>
      <c r="L455" s="21"/>
      <c r="M455" s="23"/>
    </row>
    <row r="456" spans="1:13">
      <c r="A456" s="22"/>
      <c r="E456" s="21"/>
      <c r="F456" s="21"/>
      <c r="G456" s="21"/>
      <c r="I456" s="21"/>
      <c r="L456" s="21"/>
      <c r="M456" s="23"/>
    </row>
    <row r="457" spans="1:13">
      <c r="A457" s="22"/>
      <c r="E457" s="21"/>
      <c r="F457" s="21"/>
      <c r="G457" s="21"/>
      <c r="I457" s="21"/>
      <c r="L457" s="21"/>
      <c r="M457" s="23"/>
    </row>
    <row r="458" spans="1:13">
      <c r="A458" s="22"/>
      <c r="E458" s="21"/>
      <c r="F458" s="21"/>
      <c r="G458" s="21"/>
      <c r="I458" s="21"/>
      <c r="L458" s="21"/>
      <c r="M458" s="23"/>
    </row>
    <row r="459" spans="1:13">
      <c r="A459" s="22"/>
      <c r="E459" s="21"/>
      <c r="F459" s="21"/>
      <c r="G459" s="21"/>
      <c r="I459" s="21"/>
      <c r="L459" s="21"/>
      <c r="M459" s="23"/>
    </row>
    <row r="460" spans="1:13">
      <c r="A460" s="22"/>
      <c r="E460" s="21"/>
      <c r="F460" s="21"/>
      <c r="G460" s="21"/>
      <c r="I460" s="21"/>
      <c r="L460" s="21"/>
      <c r="M460" s="23"/>
    </row>
    <row r="461" spans="1:13">
      <c r="A461" s="22"/>
      <c r="E461" s="21"/>
      <c r="F461" s="21"/>
      <c r="G461" s="21"/>
      <c r="I461" s="21"/>
      <c r="L461" s="21"/>
      <c r="M461" s="23"/>
    </row>
    <row r="462" spans="1:13">
      <c r="A462" s="22"/>
      <c r="E462" s="21"/>
      <c r="F462" s="21"/>
      <c r="G462" s="21"/>
      <c r="I462" s="21"/>
      <c r="L462" s="21"/>
      <c r="M462" s="23"/>
    </row>
    <row r="463" spans="1:13">
      <c r="A463" s="22"/>
      <c r="E463" s="21"/>
      <c r="F463" s="21"/>
      <c r="G463" s="21"/>
      <c r="I463" s="21"/>
      <c r="L463" s="21"/>
      <c r="M463" s="23"/>
    </row>
    <row r="464" spans="1:13">
      <c r="A464" s="22"/>
      <c r="E464" s="21"/>
      <c r="F464" s="21"/>
      <c r="G464" s="21"/>
      <c r="I464" s="21"/>
      <c r="L464" s="21"/>
      <c r="M464" s="23"/>
    </row>
    <row r="465" spans="1:13">
      <c r="A465" s="22"/>
      <c r="E465" s="21"/>
      <c r="F465" s="21"/>
      <c r="G465" s="21"/>
      <c r="I465" s="21"/>
      <c r="L465" s="21"/>
      <c r="M465" s="23"/>
    </row>
    <row r="466" spans="1:13">
      <c r="A466" s="22"/>
      <c r="E466" s="21"/>
      <c r="F466" s="21"/>
      <c r="G466" s="21"/>
      <c r="I466" s="21"/>
      <c r="L466" s="21"/>
      <c r="M466" s="23"/>
    </row>
    <row r="467" spans="1:13">
      <c r="A467" s="22"/>
      <c r="E467" s="21"/>
      <c r="F467" s="21"/>
      <c r="G467" s="21"/>
      <c r="I467" s="21"/>
      <c r="L467" s="21"/>
      <c r="M467" s="23"/>
    </row>
    <row r="468" spans="1:13">
      <c r="A468" s="22"/>
      <c r="E468" s="21"/>
      <c r="F468" s="21"/>
      <c r="G468" s="21"/>
      <c r="I468" s="21"/>
      <c r="L468" s="21"/>
      <c r="M468" s="23"/>
    </row>
    <row r="469" spans="1:13">
      <c r="A469" s="22"/>
      <c r="E469" s="21"/>
      <c r="F469" s="21"/>
      <c r="G469" s="21"/>
      <c r="I469" s="21"/>
      <c r="L469" s="21"/>
      <c r="M469" s="23"/>
    </row>
    <row r="470" spans="1:13">
      <c r="A470" s="22"/>
      <c r="E470" s="21"/>
      <c r="F470" s="21"/>
      <c r="G470" s="21"/>
      <c r="I470" s="21"/>
      <c r="L470" s="21"/>
      <c r="M470" s="23"/>
    </row>
    <row r="471" spans="1:13">
      <c r="A471" s="22"/>
      <c r="E471" s="21"/>
      <c r="F471" s="21"/>
      <c r="G471" s="21"/>
      <c r="I471" s="21"/>
      <c r="L471" s="21"/>
      <c r="M471" s="23"/>
    </row>
    <row r="472" spans="1:13">
      <c r="A472" s="22"/>
      <c r="E472" s="21"/>
      <c r="F472" s="21"/>
      <c r="G472" s="21"/>
      <c r="I472" s="21"/>
      <c r="L472" s="21"/>
      <c r="M472" s="23"/>
    </row>
    <row r="473" spans="1:13">
      <c r="A473" s="22"/>
      <c r="E473" s="21"/>
      <c r="F473" s="21"/>
      <c r="G473" s="21"/>
      <c r="I473" s="21"/>
      <c r="L473" s="21"/>
      <c r="M473" s="23"/>
    </row>
    <row r="474" spans="1:13">
      <c r="A474" s="22"/>
      <c r="E474" s="21"/>
      <c r="F474" s="21"/>
      <c r="G474" s="21"/>
      <c r="I474" s="21"/>
      <c r="L474" s="21"/>
      <c r="M474" s="23"/>
    </row>
    <row r="475" spans="1:13">
      <c r="A475" s="22"/>
      <c r="E475" s="21"/>
      <c r="F475" s="21"/>
      <c r="G475" s="21"/>
      <c r="I475" s="21"/>
      <c r="L475" s="21"/>
      <c r="M475" s="23"/>
    </row>
    <row r="476" spans="1:13">
      <c r="A476" s="22"/>
      <c r="E476" s="21"/>
      <c r="F476" s="21"/>
      <c r="G476" s="21"/>
      <c r="I476" s="21"/>
      <c r="L476" s="21"/>
      <c r="M476" s="23"/>
    </row>
    <row r="477" spans="1:13">
      <c r="A477" s="22"/>
      <c r="E477" s="21"/>
      <c r="F477" s="21"/>
      <c r="G477" s="21"/>
      <c r="I477" s="21"/>
      <c r="L477" s="21"/>
      <c r="M477" s="23"/>
    </row>
    <row r="478" spans="1:13">
      <c r="A478" s="22"/>
      <c r="E478" s="21"/>
      <c r="F478" s="21"/>
      <c r="G478" s="21"/>
      <c r="I478" s="21"/>
      <c r="L478" s="21"/>
      <c r="M478" s="23"/>
    </row>
    <row r="479" spans="1:13">
      <c r="A479" s="22"/>
      <c r="E479" s="21"/>
      <c r="F479" s="21"/>
      <c r="G479" s="21"/>
      <c r="I479" s="21"/>
      <c r="L479" s="21"/>
      <c r="M479" s="23"/>
    </row>
    <row r="480" spans="1:13">
      <c r="A480" s="22"/>
      <c r="E480" s="21"/>
      <c r="F480" s="21"/>
      <c r="G480" s="21"/>
      <c r="I480" s="21"/>
      <c r="L480" s="21"/>
      <c r="M480" s="23"/>
    </row>
    <row r="481" spans="1:13">
      <c r="A481" s="22"/>
      <c r="E481" s="21"/>
      <c r="F481" s="21"/>
      <c r="G481" s="21"/>
      <c r="I481" s="21"/>
      <c r="L481" s="21"/>
      <c r="M481" s="23"/>
    </row>
    <row r="482" spans="1:13">
      <c r="A482" s="22"/>
      <c r="E482" s="21"/>
      <c r="F482" s="21"/>
      <c r="G482" s="21"/>
      <c r="I482" s="21"/>
      <c r="L482" s="21"/>
      <c r="M482" s="23"/>
    </row>
    <row r="483" spans="1:13">
      <c r="A483" s="22"/>
      <c r="E483" s="21"/>
      <c r="F483" s="21"/>
      <c r="G483" s="21"/>
      <c r="I483" s="21"/>
      <c r="L483" s="21"/>
      <c r="M483" s="23"/>
    </row>
    <row r="484" spans="1:13">
      <c r="A484" s="22"/>
      <c r="E484" s="21"/>
      <c r="F484" s="21"/>
      <c r="G484" s="21"/>
      <c r="I484" s="21"/>
      <c r="L484" s="21"/>
      <c r="M484" s="23"/>
    </row>
    <row r="485" spans="1:13">
      <c r="A485" s="22"/>
      <c r="E485" s="21"/>
      <c r="F485" s="21"/>
      <c r="G485" s="21"/>
      <c r="I485" s="21"/>
      <c r="L485" s="21"/>
      <c r="M485" s="23"/>
    </row>
    <row r="486" spans="1:13">
      <c r="A486" s="22"/>
      <c r="E486" s="21"/>
      <c r="F486" s="21"/>
      <c r="G486" s="21"/>
      <c r="I486" s="21"/>
      <c r="L486" s="21"/>
      <c r="M486" s="23"/>
    </row>
    <row r="487" spans="1:13">
      <c r="A487" s="22"/>
      <c r="E487" s="21"/>
      <c r="F487" s="21"/>
      <c r="G487" s="21"/>
      <c r="I487" s="21"/>
      <c r="L487" s="21"/>
      <c r="M487" s="23"/>
    </row>
    <row r="488" spans="1:13">
      <c r="A488" s="22"/>
      <c r="E488" s="21"/>
      <c r="F488" s="21"/>
      <c r="G488" s="21"/>
      <c r="I488" s="21"/>
      <c r="L488" s="21"/>
      <c r="M488" s="23"/>
    </row>
    <row r="489" spans="1:13">
      <c r="A489" s="22"/>
      <c r="E489" s="21"/>
      <c r="F489" s="21"/>
      <c r="G489" s="21"/>
      <c r="I489" s="21"/>
      <c r="L489" s="21"/>
      <c r="M489" s="23"/>
    </row>
    <row r="490" spans="1:13">
      <c r="A490" s="22"/>
      <c r="E490" s="21"/>
      <c r="F490" s="21"/>
      <c r="G490" s="21"/>
      <c r="I490" s="21"/>
      <c r="L490" s="21"/>
      <c r="M490" s="23"/>
    </row>
    <row r="491" spans="1:13">
      <c r="A491" s="22"/>
      <c r="E491" s="21"/>
      <c r="F491" s="21"/>
      <c r="G491" s="21"/>
      <c r="I491" s="21"/>
      <c r="L491" s="21"/>
      <c r="M491" s="23"/>
    </row>
    <row r="492" spans="1:13">
      <c r="A492" s="22"/>
      <c r="E492" s="21"/>
      <c r="F492" s="21"/>
      <c r="G492" s="21"/>
      <c r="I492" s="21"/>
      <c r="L492" s="21"/>
      <c r="M492" s="23"/>
    </row>
    <row r="493" spans="1:13">
      <c r="A493" s="22"/>
      <c r="E493" s="21"/>
      <c r="F493" s="21"/>
      <c r="G493" s="21"/>
      <c r="I493" s="21"/>
      <c r="L493" s="21"/>
      <c r="M493" s="23"/>
    </row>
    <row r="494" spans="1:13">
      <c r="A494" s="22"/>
      <c r="E494" s="21"/>
      <c r="F494" s="21"/>
      <c r="G494" s="21"/>
      <c r="I494" s="21"/>
      <c r="L494" s="21"/>
      <c r="M494" s="23"/>
    </row>
    <row r="495" spans="1:13">
      <c r="A495" s="22"/>
      <c r="E495" s="21"/>
      <c r="F495" s="21"/>
      <c r="G495" s="21"/>
      <c r="I495" s="21"/>
      <c r="L495" s="21"/>
      <c r="M495" s="23"/>
    </row>
    <row r="496" spans="1:13">
      <c r="A496" s="22"/>
      <c r="E496" s="21"/>
      <c r="F496" s="21"/>
      <c r="G496" s="21"/>
      <c r="I496" s="21"/>
      <c r="L496" s="21"/>
      <c r="M496" s="23"/>
    </row>
    <row r="497" spans="1:13">
      <c r="A497" s="22"/>
      <c r="E497" s="21"/>
      <c r="F497" s="21"/>
      <c r="G497" s="21"/>
      <c r="I497" s="21"/>
      <c r="L497" s="21"/>
      <c r="M497" s="23"/>
    </row>
    <row r="498" spans="1:13">
      <c r="A498" s="22"/>
      <c r="E498" s="21"/>
      <c r="F498" s="21"/>
      <c r="G498" s="21"/>
      <c r="I498" s="21"/>
      <c r="L498" s="21"/>
      <c r="M498" s="23"/>
    </row>
    <row r="499" spans="1:13">
      <c r="A499" s="22"/>
      <c r="E499" s="21"/>
      <c r="F499" s="21"/>
      <c r="G499" s="21"/>
      <c r="I499" s="21"/>
      <c r="L499" s="21"/>
      <c r="M499" s="23"/>
    </row>
    <row r="500" spans="1:13">
      <c r="A500" s="22"/>
      <c r="E500" s="21"/>
      <c r="F500" s="21"/>
      <c r="G500" s="21"/>
      <c r="I500" s="21"/>
      <c r="L500" s="21"/>
      <c r="M500" s="23"/>
    </row>
    <row r="501" spans="1:13">
      <c r="A501" s="22"/>
      <c r="E501" s="21"/>
      <c r="F501" s="21"/>
      <c r="G501" s="21"/>
      <c r="I501" s="21"/>
      <c r="L501" s="21"/>
      <c r="M501" s="23"/>
    </row>
    <row r="502" spans="1:13">
      <c r="A502" s="22"/>
      <c r="E502" s="21"/>
      <c r="F502" s="21"/>
      <c r="G502" s="21"/>
      <c r="I502" s="21"/>
      <c r="L502" s="21"/>
      <c r="M502" s="23"/>
    </row>
    <row r="503" spans="1:13">
      <c r="A503" s="22"/>
      <c r="E503" s="21"/>
      <c r="F503" s="21"/>
      <c r="G503" s="21"/>
      <c r="I503" s="21"/>
      <c r="L503" s="21"/>
      <c r="M503" s="23"/>
    </row>
    <row r="504" spans="1:13">
      <c r="A504" s="22"/>
      <c r="E504" s="21"/>
      <c r="F504" s="21"/>
      <c r="G504" s="21"/>
      <c r="I504" s="21"/>
      <c r="L504" s="21"/>
      <c r="M504" s="23"/>
    </row>
    <row r="505" spans="1:13">
      <c r="A505" s="22"/>
      <c r="E505" s="21"/>
      <c r="F505" s="21"/>
      <c r="G505" s="21"/>
      <c r="I505" s="21"/>
      <c r="L505" s="21"/>
      <c r="M505" s="23"/>
    </row>
    <row r="506" spans="1:13">
      <c r="A506" s="22"/>
      <c r="E506" s="21"/>
      <c r="F506" s="21"/>
      <c r="G506" s="21"/>
      <c r="I506" s="21"/>
      <c r="L506" s="21"/>
      <c r="M506" s="23"/>
    </row>
    <row r="507" spans="1:13">
      <c r="A507" s="22"/>
      <c r="E507" s="21"/>
      <c r="F507" s="21"/>
      <c r="G507" s="21"/>
      <c r="I507" s="21"/>
      <c r="L507" s="21"/>
      <c r="M507" s="23"/>
    </row>
    <row r="508" spans="1:13">
      <c r="A508" s="22"/>
      <c r="E508" s="21"/>
      <c r="F508" s="21"/>
      <c r="G508" s="21"/>
      <c r="I508" s="21"/>
      <c r="L508" s="21"/>
      <c r="M508" s="23"/>
    </row>
    <row r="509" spans="1:13">
      <c r="A509" s="22"/>
      <c r="E509" s="21"/>
      <c r="F509" s="21"/>
      <c r="G509" s="21"/>
      <c r="I509" s="21"/>
      <c r="L509" s="21"/>
      <c r="M509" s="23"/>
    </row>
    <row r="510" spans="1:13">
      <c r="A510" s="22"/>
      <c r="E510" s="21"/>
      <c r="F510" s="21"/>
      <c r="G510" s="21"/>
      <c r="I510" s="21"/>
      <c r="L510" s="21"/>
      <c r="M510" s="23"/>
    </row>
    <row r="511" spans="1:13">
      <c r="A511" s="22"/>
      <c r="E511" s="21"/>
      <c r="F511" s="21"/>
      <c r="G511" s="21"/>
      <c r="I511" s="21"/>
      <c r="L511" s="21"/>
      <c r="M511" s="23"/>
    </row>
    <row r="512" spans="1:13">
      <c r="A512" s="22"/>
      <c r="E512" s="21"/>
      <c r="F512" s="21"/>
      <c r="G512" s="21"/>
      <c r="I512" s="21"/>
      <c r="L512" s="21"/>
      <c r="M512" s="23"/>
    </row>
    <row r="513" spans="1:13">
      <c r="A513" s="22"/>
      <c r="E513" s="21"/>
      <c r="F513" s="21"/>
      <c r="G513" s="21"/>
      <c r="I513" s="21"/>
      <c r="L513" s="21"/>
      <c r="M513" s="23"/>
    </row>
    <row r="514" spans="1:13">
      <c r="A514" s="22"/>
      <c r="E514" s="21"/>
      <c r="F514" s="21"/>
      <c r="G514" s="21"/>
      <c r="I514" s="21"/>
      <c r="L514" s="21"/>
      <c r="M514" s="23"/>
    </row>
    <row r="515" spans="1:13">
      <c r="A515" s="22"/>
      <c r="E515" s="21"/>
      <c r="F515" s="21"/>
      <c r="G515" s="21"/>
      <c r="I515" s="21"/>
      <c r="L515" s="21"/>
      <c r="M515" s="23"/>
    </row>
    <row r="516" spans="1:13">
      <c r="A516" s="22"/>
      <c r="E516" s="21"/>
      <c r="F516" s="21"/>
      <c r="G516" s="21"/>
      <c r="I516" s="21"/>
      <c r="L516" s="21"/>
      <c r="M516" s="23"/>
    </row>
    <row r="517" spans="1:13">
      <c r="A517" s="22"/>
      <c r="E517" s="21"/>
      <c r="F517" s="21"/>
      <c r="G517" s="21"/>
      <c r="I517" s="21"/>
      <c r="L517" s="21"/>
      <c r="M517" s="23"/>
    </row>
    <row r="518" spans="1:13">
      <c r="A518" s="22"/>
      <c r="E518" s="21"/>
      <c r="F518" s="21"/>
      <c r="G518" s="21"/>
      <c r="I518" s="21"/>
      <c r="L518" s="21"/>
      <c r="M518" s="23"/>
    </row>
    <row r="519" spans="1:13">
      <c r="A519" s="22"/>
      <c r="E519" s="21"/>
      <c r="F519" s="21"/>
      <c r="G519" s="21"/>
      <c r="I519" s="21"/>
      <c r="L519" s="21"/>
      <c r="M519" s="23"/>
    </row>
    <row r="520" spans="1:13">
      <c r="A520" s="22"/>
      <c r="E520" s="21"/>
      <c r="F520" s="21"/>
      <c r="G520" s="21"/>
      <c r="I520" s="21"/>
      <c r="L520" s="21"/>
      <c r="M520" s="23"/>
    </row>
    <row r="521" spans="1:13">
      <c r="A521" s="22"/>
      <c r="E521" s="21"/>
      <c r="F521" s="21"/>
      <c r="G521" s="21"/>
      <c r="I521" s="21"/>
      <c r="L521" s="21"/>
      <c r="M521" s="23"/>
    </row>
    <row r="522" spans="1:13">
      <c r="A522" s="22"/>
      <c r="E522" s="21"/>
      <c r="F522" s="21"/>
      <c r="G522" s="21"/>
      <c r="I522" s="21"/>
      <c r="L522" s="21"/>
      <c r="M522" s="23"/>
    </row>
    <row r="523" spans="1:13">
      <c r="A523" s="22"/>
      <c r="E523" s="21"/>
      <c r="F523" s="21"/>
      <c r="G523" s="21"/>
      <c r="I523" s="21"/>
      <c r="L523" s="21"/>
      <c r="M523" s="23"/>
    </row>
    <row r="524" spans="1:13">
      <c r="A524" s="22"/>
      <c r="E524" s="21"/>
      <c r="F524" s="21"/>
      <c r="G524" s="21"/>
      <c r="I524" s="21"/>
      <c r="L524" s="21"/>
      <c r="M524" s="23"/>
    </row>
    <row r="525" spans="1:13">
      <c r="A525" s="22"/>
      <c r="E525" s="21"/>
      <c r="F525" s="21"/>
      <c r="G525" s="21"/>
      <c r="I525" s="21"/>
      <c r="L525" s="21"/>
      <c r="M525" s="23"/>
    </row>
    <row r="526" spans="1:13">
      <c r="A526" s="22"/>
      <c r="E526" s="21"/>
      <c r="F526" s="21"/>
      <c r="G526" s="21"/>
      <c r="I526" s="21"/>
      <c r="L526" s="21"/>
      <c r="M526" s="23"/>
    </row>
    <row r="527" spans="1:13">
      <c r="A527" s="22"/>
      <c r="E527" s="21"/>
      <c r="F527" s="21"/>
      <c r="G527" s="21"/>
      <c r="I527" s="21"/>
      <c r="L527" s="21"/>
      <c r="M527" s="23"/>
    </row>
    <row r="528" spans="1:13">
      <c r="A528" s="22"/>
      <c r="E528" s="21"/>
      <c r="F528" s="21"/>
      <c r="G528" s="21"/>
      <c r="I528" s="21"/>
      <c r="L528" s="21"/>
      <c r="M528" s="23"/>
    </row>
    <row r="529" spans="1:13">
      <c r="A529" s="22"/>
      <c r="E529" s="21"/>
      <c r="F529" s="21"/>
      <c r="G529" s="21"/>
      <c r="I529" s="21"/>
      <c r="L529" s="21"/>
      <c r="M529" s="23"/>
    </row>
    <row r="530" spans="1:13">
      <c r="A530" s="22"/>
      <c r="E530" s="21"/>
      <c r="F530" s="21"/>
      <c r="G530" s="21"/>
      <c r="I530" s="21"/>
      <c r="L530" s="21"/>
      <c r="M530" s="23"/>
    </row>
    <row r="531" spans="1:13">
      <c r="A531" s="22"/>
      <c r="E531" s="21"/>
      <c r="F531" s="21"/>
      <c r="G531" s="21"/>
      <c r="I531" s="21"/>
      <c r="L531" s="21"/>
      <c r="M531" s="23"/>
    </row>
    <row r="532" spans="1:13">
      <c r="A532" s="22"/>
      <c r="E532" s="21"/>
      <c r="F532" s="21"/>
      <c r="G532" s="21"/>
      <c r="I532" s="21"/>
      <c r="L532" s="21"/>
      <c r="M532" s="23"/>
    </row>
    <row r="533" spans="1:13">
      <c r="A533" s="22"/>
      <c r="E533" s="21"/>
      <c r="F533" s="21"/>
      <c r="G533" s="21"/>
      <c r="I533" s="21"/>
      <c r="L533" s="21"/>
      <c r="M533" s="23"/>
    </row>
    <row r="534" spans="1:13">
      <c r="A534" s="22"/>
      <c r="E534" s="21"/>
      <c r="F534" s="21"/>
      <c r="G534" s="21"/>
      <c r="I534" s="21"/>
      <c r="L534" s="21"/>
      <c r="M534" s="23"/>
    </row>
    <row r="535" spans="1:13">
      <c r="A535" s="22"/>
      <c r="E535" s="21"/>
      <c r="F535" s="21"/>
      <c r="G535" s="21"/>
      <c r="I535" s="21"/>
      <c r="L535" s="21"/>
      <c r="M535" s="23"/>
    </row>
    <row r="536" spans="1:13">
      <c r="A536" s="22"/>
      <c r="E536" s="21"/>
      <c r="F536" s="21"/>
      <c r="G536" s="21"/>
      <c r="I536" s="21"/>
      <c r="L536" s="21"/>
      <c r="M536" s="23"/>
    </row>
    <row r="537" spans="1:13">
      <c r="A537" s="22"/>
      <c r="E537" s="21"/>
      <c r="F537" s="21"/>
      <c r="G537" s="21"/>
      <c r="I537" s="21"/>
      <c r="L537" s="21"/>
      <c r="M537" s="23"/>
    </row>
    <row r="538" spans="1:13">
      <c r="A538" s="22"/>
      <c r="E538" s="21"/>
      <c r="F538" s="21"/>
      <c r="G538" s="21"/>
      <c r="I538" s="21"/>
      <c r="L538" s="21"/>
      <c r="M538" s="23"/>
    </row>
    <row r="539" spans="1:13">
      <c r="A539" s="22"/>
      <c r="E539" s="21"/>
      <c r="F539" s="21"/>
      <c r="G539" s="21"/>
      <c r="I539" s="21"/>
      <c r="L539" s="21"/>
      <c r="M539" s="23"/>
    </row>
    <row r="540" spans="1:13">
      <c r="A540" s="22"/>
      <c r="E540" s="21"/>
      <c r="F540" s="21"/>
      <c r="G540" s="21"/>
      <c r="I540" s="21"/>
      <c r="L540" s="21"/>
      <c r="M540" s="23"/>
    </row>
    <row r="541" spans="1:13">
      <c r="A541" s="22"/>
      <c r="E541" s="21"/>
      <c r="F541" s="21"/>
      <c r="G541" s="21"/>
      <c r="I541" s="21"/>
      <c r="L541" s="21"/>
      <c r="M541" s="23"/>
    </row>
    <row r="542" spans="1:13">
      <c r="A542" s="22"/>
      <c r="E542" s="21"/>
      <c r="F542" s="21"/>
      <c r="G542" s="21"/>
      <c r="I542" s="21"/>
      <c r="L542" s="21"/>
      <c r="M542" s="23"/>
    </row>
    <row r="543" spans="1:13">
      <c r="A543" s="22"/>
      <c r="E543" s="21"/>
      <c r="F543" s="21"/>
      <c r="G543" s="21"/>
      <c r="I543" s="21"/>
      <c r="L543" s="21"/>
      <c r="M543" s="23"/>
    </row>
    <row r="544" spans="1:13">
      <c r="A544" s="22"/>
      <c r="E544" s="21"/>
      <c r="F544" s="21"/>
      <c r="G544" s="21"/>
      <c r="I544" s="21"/>
      <c r="L544" s="21"/>
      <c r="M544" s="23"/>
    </row>
    <row r="545" spans="1:13">
      <c r="A545" s="22"/>
      <c r="E545" s="21"/>
      <c r="F545" s="21"/>
      <c r="G545" s="21"/>
      <c r="I545" s="21"/>
      <c r="L545" s="21"/>
      <c r="M545" s="23"/>
    </row>
    <row r="546" spans="1:13">
      <c r="A546" s="22"/>
      <c r="E546" s="21"/>
      <c r="F546" s="21"/>
      <c r="G546" s="21"/>
      <c r="I546" s="21"/>
      <c r="L546" s="21"/>
      <c r="M546" s="23"/>
    </row>
    <row r="547" spans="1:13">
      <c r="A547" s="22"/>
      <c r="E547" s="21"/>
      <c r="F547" s="21"/>
      <c r="G547" s="21"/>
      <c r="I547" s="21"/>
      <c r="L547" s="21"/>
      <c r="M547" s="23"/>
    </row>
    <row r="548" spans="1:13">
      <c r="A548" s="22"/>
      <c r="E548" s="21"/>
      <c r="F548" s="21"/>
      <c r="G548" s="21"/>
      <c r="I548" s="21"/>
      <c r="L548" s="21"/>
      <c r="M548" s="23"/>
    </row>
    <row r="549" spans="1:13">
      <c r="A549" s="22"/>
      <c r="E549" s="21"/>
      <c r="F549" s="21"/>
      <c r="G549" s="21"/>
      <c r="I549" s="21"/>
      <c r="L549" s="21"/>
      <c r="M549" s="23"/>
    </row>
    <row r="550" spans="1:13">
      <c r="A550" s="22"/>
      <c r="E550" s="21"/>
      <c r="F550" s="21"/>
      <c r="G550" s="21"/>
      <c r="I550" s="21"/>
      <c r="L550" s="21"/>
      <c r="M550" s="23"/>
    </row>
    <row r="551" spans="1:13">
      <c r="A551" s="22"/>
      <c r="E551" s="21"/>
      <c r="F551" s="21"/>
      <c r="G551" s="21"/>
      <c r="I551" s="21"/>
      <c r="L551" s="21"/>
      <c r="M551" s="23"/>
    </row>
    <row r="552" spans="1:13">
      <c r="A552" s="22"/>
      <c r="E552" s="21"/>
      <c r="F552" s="21"/>
      <c r="G552" s="21"/>
      <c r="I552" s="21"/>
      <c r="L552" s="21"/>
      <c r="M552" s="23"/>
    </row>
    <row r="553" spans="1:13">
      <c r="A553" s="22"/>
      <c r="E553" s="21"/>
      <c r="F553" s="21"/>
      <c r="G553" s="21"/>
      <c r="I553" s="21"/>
      <c r="L553" s="21"/>
      <c r="M553" s="23"/>
    </row>
    <row r="554" spans="1:13">
      <c r="A554" s="22"/>
      <c r="E554" s="21"/>
      <c r="F554" s="21"/>
      <c r="G554" s="21"/>
      <c r="I554" s="21"/>
      <c r="L554" s="21"/>
      <c r="M554" s="23"/>
    </row>
    <row r="555" spans="1:13">
      <c r="A555" s="22"/>
      <c r="E555" s="21"/>
      <c r="F555" s="21"/>
      <c r="G555" s="21"/>
      <c r="I555" s="21"/>
      <c r="L555" s="21"/>
      <c r="M555" s="23"/>
    </row>
    <row r="556" spans="1:13">
      <c r="A556" s="22"/>
      <c r="E556" s="21"/>
      <c r="F556" s="21"/>
      <c r="G556" s="21"/>
      <c r="I556" s="21"/>
      <c r="L556" s="21"/>
      <c r="M556" s="23"/>
    </row>
    <row r="557" spans="1:13">
      <c r="A557" s="22"/>
      <c r="E557" s="21"/>
      <c r="F557" s="21"/>
      <c r="G557" s="21"/>
      <c r="I557" s="21"/>
      <c r="L557" s="21"/>
      <c r="M557" s="23"/>
    </row>
    <row r="558" spans="1:13">
      <c r="A558" s="22"/>
      <c r="E558" s="21"/>
      <c r="F558" s="21"/>
      <c r="G558" s="21"/>
      <c r="I558" s="21"/>
      <c r="L558" s="21"/>
      <c r="M558" s="23"/>
    </row>
    <row r="559" spans="1:13">
      <c r="A559" s="22"/>
      <c r="E559" s="21"/>
      <c r="F559" s="21"/>
      <c r="G559" s="21"/>
      <c r="I559" s="21"/>
      <c r="L559" s="21"/>
      <c r="M559" s="23"/>
    </row>
    <row r="560" spans="1:13">
      <c r="A560" s="22"/>
      <c r="E560" s="21"/>
      <c r="F560" s="21"/>
      <c r="G560" s="21"/>
      <c r="I560" s="21"/>
      <c r="L560" s="21"/>
      <c r="M560" s="23"/>
    </row>
    <row r="561" spans="1:13">
      <c r="A561" s="22"/>
      <c r="E561" s="21"/>
      <c r="F561" s="21"/>
      <c r="G561" s="21"/>
      <c r="I561" s="21"/>
      <c r="L561" s="21"/>
      <c r="M561" s="23"/>
    </row>
    <row r="562" spans="1:13">
      <c r="A562" s="22"/>
      <c r="E562" s="21"/>
      <c r="F562" s="21"/>
      <c r="G562" s="21"/>
      <c r="I562" s="21"/>
      <c r="L562" s="21"/>
      <c r="M562" s="23"/>
    </row>
    <row r="563" spans="1:13">
      <c r="A563" s="22"/>
      <c r="E563" s="21"/>
      <c r="F563" s="21"/>
      <c r="G563" s="21"/>
      <c r="I563" s="21"/>
      <c r="L563" s="21"/>
      <c r="M563" s="23"/>
    </row>
    <row r="564" spans="1:13">
      <c r="A564" s="22"/>
      <c r="E564" s="21"/>
      <c r="F564" s="21"/>
      <c r="G564" s="21"/>
      <c r="I564" s="21"/>
      <c r="L564" s="21"/>
      <c r="M564" s="23"/>
    </row>
    <row r="565" spans="1:13">
      <c r="A565" s="22"/>
      <c r="E565" s="21"/>
      <c r="F565" s="21"/>
      <c r="G565" s="21"/>
      <c r="I565" s="21"/>
      <c r="L565" s="21"/>
      <c r="M565" s="23"/>
    </row>
    <row r="566" spans="1:13">
      <c r="A566" s="22"/>
      <c r="E566" s="21"/>
      <c r="F566" s="21"/>
      <c r="G566" s="21"/>
      <c r="I566" s="21"/>
      <c r="L566" s="21"/>
      <c r="M566" s="23"/>
    </row>
    <row r="567" spans="1:13">
      <c r="A567" s="22"/>
      <c r="E567" s="21"/>
      <c r="F567" s="21"/>
      <c r="G567" s="21"/>
      <c r="I567" s="21"/>
      <c r="L567" s="21"/>
      <c r="M567" s="23"/>
    </row>
    <row r="568" spans="1:13">
      <c r="A568" s="22"/>
      <c r="E568" s="21"/>
      <c r="F568" s="21"/>
      <c r="G568" s="21"/>
      <c r="I568" s="21"/>
      <c r="L568" s="21"/>
      <c r="M568" s="23"/>
    </row>
    <row r="569" spans="1:13">
      <c r="A569" s="22"/>
      <c r="E569" s="21"/>
      <c r="F569" s="21"/>
      <c r="G569" s="21"/>
      <c r="I569" s="21"/>
      <c r="L569" s="21"/>
      <c r="M569" s="23"/>
    </row>
    <row r="570" spans="1:13">
      <c r="A570" s="22"/>
      <c r="E570" s="21"/>
      <c r="F570" s="21"/>
      <c r="G570" s="21"/>
      <c r="I570" s="21"/>
      <c r="L570" s="21"/>
      <c r="M570" s="23"/>
    </row>
    <row r="571" spans="1:13">
      <c r="A571" s="22"/>
      <c r="E571" s="21"/>
      <c r="F571" s="21"/>
      <c r="G571" s="21"/>
      <c r="I571" s="21"/>
      <c r="L571" s="21"/>
      <c r="M571" s="23"/>
    </row>
    <row r="572" spans="1:13">
      <c r="A572" s="22"/>
      <c r="E572" s="21"/>
      <c r="F572" s="21"/>
      <c r="G572" s="21"/>
      <c r="I572" s="21"/>
      <c r="L572" s="21"/>
      <c r="M572" s="23"/>
    </row>
    <row r="573" spans="1:13">
      <c r="A573" s="22"/>
      <c r="E573" s="21"/>
      <c r="F573" s="21"/>
      <c r="G573" s="21"/>
      <c r="I573" s="21"/>
      <c r="L573" s="21"/>
      <c r="M573" s="23"/>
    </row>
    <row r="574" spans="1:13">
      <c r="A574" s="22"/>
      <c r="E574" s="21"/>
      <c r="F574" s="21"/>
      <c r="G574" s="21"/>
      <c r="I574" s="21"/>
      <c r="L574" s="21"/>
      <c r="M574" s="23"/>
    </row>
    <row r="575" spans="1:13">
      <c r="A575" s="22"/>
      <c r="E575" s="21"/>
      <c r="F575" s="21"/>
      <c r="G575" s="21"/>
      <c r="I575" s="21"/>
      <c r="L575" s="21"/>
      <c r="M575" s="23"/>
    </row>
    <row r="576" spans="1:13">
      <c r="A576" s="22"/>
      <c r="E576" s="21"/>
      <c r="F576" s="21"/>
      <c r="G576" s="21"/>
      <c r="I576" s="21"/>
      <c r="L576" s="21"/>
      <c r="M576" s="23"/>
    </row>
    <row r="577" spans="1:13">
      <c r="A577" s="22"/>
      <c r="E577" s="21"/>
      <c r="F577" s="21"/>
      <c r="G577" s="21"/>
      <c r="I577" s="21"/>
      <c r="L577" s="21"/>
      <c r="M577" s="23"/>
    </row>
    <row r="578" spans="1:13">
      <c r="A578" s="22"/>
      <c r="E578" s="21"/>
      <c r="F578" s="21"/>
      <c r="G578" s="21"/>
      <c r="I578" s="21"/>
      <c r="L578" s="21"/>
      <c r="M578" s="23"/>
    </row>
    <row r="579" spans="1:13">
      <c r="A579" s="22"/>
      <c r="E579" s="21"/>
      <c r="F579" s="21"/>
      <c r="G579" s="21"/>
      <c r="I579" s="21"/>
      <c r="L579" s="21"/>
      <c r="M579" s="23"/>
    </row>
    <row r="580" spans="1:13">
      <c r="A580" s="22"/>
      <c r="E580" s="21"/>
      <c r="F580" s="21"/>
      <c r="G580" s="21"/>
      <c r="I580" s="21"/>
      <c r="L580" s="21"/>
      <c r="M580" s="23"/>
    </row>
    <row r="581" spans="1:13">
      <c r="A581" s="22"/>
      <c r="E581" s="21"/>
      <c r="F581" s="21"/>
      <c r="G581" s="21"/>
      <c r="I581" s="21"/>
      <c r="L581" s="21"/>
      <c r="M581" s="23"/>
    </row>
    <row r="582" spans="1:13">
      <c r="A582" s="22"/>
      <c r="E582" s="21"/>
      <c r="F582" s="21"/>
      <c r="G582" s="21"/>
      <c r="I582" s="21"/>
      <c r="L582" s="21"/>
      <c r="M582" s="23"/>
    </row>
    <row r="583" spans="1:13">
      <c r="A583" s="22"/>
      <c r="E583" s="21"/>
      <c r="F583" s="21"/>
      <c r="G583" s="21"/>
      <c r="I583" s="21"/>
      <c r="L583" s="21"/>
      <c r="M583" s="23"/>
    </row>
    <row r="584" spans="1:13">
      <c r="A584" s="22"/>
      <c r="E584" s="21"/>
      <c r="F584" s="21"/>
      <c r="G584" s="21"/>
      <c r="I584" s="21"/>
      <c r="L584" s="21"/>
      <c r="M584" s="23"/>
    </row>
    <row r="585" spans="1:13">
      <c r="A585" s="22"/>
      <c r="E585" s="21"/>
      <c r="F585" s="21"/>
      <c r="G585" s="21"/>
      <c r="I585" s="21"/>
      <c r="L585" s="21"/>
      <c r="M585" s="23"/>
    </row>
    <row r="586" spans="1:13">
      <c r="A586" s="22"/>
      <c r="E586" s="21"/>
      <c r="F586" s="21"/>
      <c r="G586" s="21"/>
      <c r="I586" s="21"/>
      <c r="L586" s="21"/>
      <c r="M586" s="23"/>
    </row>
    <row r="587" spans="1:13">
      <c r="A587" s="22"/>
      <c r="E587" s="21"/>
      <c r="F587" s="21"/>
      <c r="G587" s="21"/>
      <c r="I587" s="21"/>
      <c r="L587" s="21"/>
      <c r="M587" s="23"/>
    </row>
    <row r="588" spans="1:13">
      <c r="A588" s="22"/>
      <c r="E588" s="21"/>
      <c r="F588" s="21"/>
      <c r="G588" s="21"/>
      <c r="I588" s="21"/>
      <c r="L588" s="21"/>
      <c r="M588" s="23"/>
    </row>
    <row r="589" spans="1:13">
      <c r="A589" s="22"/>
      <c r="E589" s="21"/>
      <c r="F589" s="21"/>
      <c r="G589" s="21"/>
      <c r="I589" s="21"/>
      <c r="L589" s="21"/>
      <c r="M589" s="23"/>
    </row>
    <row r="590" spans="1:13">
      <c r="A590" s="22"/>
      <c r="E590" s="21"/>
      <c r="F590" s="21"/>
      <c r="G590" s="21"/>
      <c r="I590" s="21"/>
      <c r="L590" s="21"/>
      <c r="M590" s="23"/>
    </row>
    <row r="591" spans="1:13">
      <c r="A591" s="22"/>
      <c r="E591" s="21"/>
      <c r="F591" s="21"/>
      <c r="G591" s="21"/>
      <c r="I591" s="21"/>
      <c r="L591" s="21"/>
      <c r="M591" s="23"/>
    </row>
    <row r="592" spans="1:13">
      <c r="A592" s="22"/>
      <c r="E592" s="21"/>
      <c r="F592" s="21"/>
      <c r="G592" s="21"/>
      <c r="I592" s="21"/>
      <c r="L592" s="21"/>
      <c r="M592" s="23"/>
    </row>
    <row r="593" spans="1:13">
      <c r="A593" s="22"/>
      <c r="E593" s="21"/>
      <c r="F593" s="21"/>
      <c r="G593" s="21"/>
      <c r="I593" s="21"/>
      <c r="L593" s="21"/>
      <c r="M593" s="23"/>
    </row>
    <row r="594" spans="1:13">
      <c r="A594" s="22"/>
      <c r="E594" s="21"/>
      <c r="F594" s="21"/>
      <c r="G594" s="21"/>
      <c r="I594" s="21"/>
      <c r="L594" s="21"/>
      <c r="M594" s="23"/>
    </row>
    <row r="595" spans="1:13">
      <c r="A595" s="22"/>
      <c r="E595" s="21"/>
      <c r="F595" s="21"/>
      <c r="G595" s="21"/>
      <c r="I595" s="21"/>
      <c r="L595" s="21"/>
      <c r="M595" s="23"/>
    </row>
    <row r="596" spans="1:13">
      <c r="A596" s="22"/>
      <c r="E596" s="21"/>
      <c r="F596" s="21"/>
      <c r="G596" s="21"/>
      <c r="I596" s="21"/>
      <c r="L596" s="21"/>
      <c r="M596" s="23"/>
    </row>
    <row r="597" spans="1:13">
      <c r="A597" s="22"/>
      <c r="E597" s="21"/>
      <c r="F597" s="21"/>
      <c r="G597" s="21"/>
      <c r="I597" s="21"/>
      <c r="L597" s="21"/>
      <c r="M597" s="23"/>
    </row>
    <row r="598" spans="1:13">
      <c r="A598" s="22"/>
      <c r="E598" s="21"/>
      <c r="F598" s="21"/>
      <c r="G598" s="21"/>
      <c r="I598" s="21"/>
      <c r="L598" s="21"/>
      <c r="M598" s="23"/>
    </row>
    <row r="599" spans="1:13">
      <c r="A599" s="22"/>
      <c r="E599" s="21"/>
      <c r="F599" s="21"/>
      <c r="G599" s="21"/>
      <c r="I599" s="21"/>
      <c r="L599" s="21"/>
      <c r="M599" s="23"/>
    </row>
    <row r="600" spans="1:13">
      <c r="A600" s="22"/>
      <c r="E600" s="21"/>
      <c r="F600" s="21"/>
      <c r="G600" s="21"/>
      <c r="I600" s="21"/>
      <c r="L600" s="21"/>
      <c r="M600" s="23"/>
    </row>
    <row r="601" spans="1:13">
      <c r="A601" s="22"/>
      <c r="E601" s="21"/>
      <c r="F601" s="21"/>
      <c r="G601" s="21"/>
      <c r="I601" s="21"/>
      <c r="L601" s="21"/>
      <c r="M601" s="23"/>
    </row>
    <row r="602" spans="1:13">
      <c r="A602" s="22"/>
      <c r="E602" s="21"/>
      <c r="F602" s="21"/>
      <c r="G602" s="21"/>
      <c r="I602" s="21"/>
      <c r="L602" s="21"/>
      <c r="M602" s="23"/>
    </row>
    <row r="603" spans="1:13">
      <c r="A603" s="22"/>
      <c r="E603" s="21"/>
      <c r="F603" s="21"/>
      <c r="G603" s="21"/>
      <c r="I603" s="21"/>
      <c r="L603" s="21"/>
      <c r="M603" s="23"/>
    </row>
    <row r="604" spans="1:13">
      <c r="A604" s="22"/>
      <c r="E604" s="21"/>
      <c r="F604" s="21"/>
      <c r="G604" s="21"/>
      <c r="I604" s="21"/>
      <c r="L604" s="21"/>
      <c r="M604" s="23"/>
    </row>
    <row r="605" spans="1:13">
      <c r="A605" s="22"/>
      <c r="E605" s="21"/>
      <c r="F605" s="21"/>
      <c r="G605" s="21"/>
      <c r="I605" s="21"/>
      <c r="L605" s="21"/>
      <c r="M605" s="23"/>
    </row>
    <row r="606" spans="1:13">
      <c r="A606" s="22"/>
      <c r="E606" s="21"/>
      <c r="F606" s="21"/>
      <c r="G606" s="21"/>
      <c r="I606" s="21"/>
      <c r="L606" s="21"/>
      <c r="M606" s="23"/>
    </row>
    <row r="607" spans="1:13">
      <c r="A607" s="22"/>
      <c r="E607" s="21"/>
      <c r="F607" s="21"/>
      <c r="G607" s="21"/>
      <c r="I607" s="21"/>
      <c r="L607" s="21"/>
      <c r="M607" s="23"/>
    </row>
    <row r="608" spans="1:13">
      <c r="A608" s="22"/>
      <c r="E608" s="21"/>
      <c r="F608" s="21"/>
      <c r="G608" s="21"/>
      <c r="I608" s="21"/>
      <c r="L608" s="21"/>
      <c r="M608" s="23"/>
    </row>
    <row r="609" spans="1:13">
      <c r="A609" s="22"/>
      <c r="E609" s="21"/>
      <c r="F609" s="21"/>
      <c r="G609" s="21"/>
      <c r="I609" s="21"/>
      <c r="L609" s="21"/>
      <c r="M609" s="23"/>
    </row>
    <row r="610" spans="1:13">
      <c r="A610" s="22"/>
      <c r="E610" s="21"/>
      <c r="F610" s="21"/>
      <c r="G610" s="21"/>
      <c r="I610" s="21"/>
      <c r="L610" s="21"/>
      <c r="M610" s="23"/>
    </row>
    <row r="611" spans="1:13">
      <c r="A611" s="22"/>
      <c r="E611" s="21"/>
      <c r="F611" s="21"/>
      <c r="G611" s="21"/>
      <c r="I611" s="21"/>
      <c r="L611" s="21"/>
      <c r="M611" s="23"/>
    </row>
    <row r="612" spans="1:13">
      <c r="A612" s="22"/>
      <c r="E612" s="21"/>
      <c r="F612" s="21"/>
      <c r="G612" s="21"/>
      <c r="I612" s="21"/>
      <c r="L612" s="21"/>
      <c r="M612" s="23"/>
    </row>
    <row r="613" spans="1:13">
      <c r="A613" s="22"/>
      <c r="E613" s="21"/>
      <c r="F613" s="21"/>
      <c r="G613" s="21"/>
      <c r="I613" s="21"/>
      <c r="L613" s="21"/>
      <c r="M613" s="23"/>
    </row>
    <row r="614" spans="1:13">
      <c r="A614" s="22"/>
      <c r="E614" s="21"/>
      <c r="F614" s="21"/>
      <c r="G614" s="21"/>
      <c r="I614" s="21"/>
      <c r="L614" s="21"/>
      <c r="M614" s="23"/>
    </row>
    <row r="615" spans="1:13">
      <c r="A615" s="22"/>
      <c r="E615" s="21"/>
      <c r="F615" s="21"/>
      <c r="G615" s="21"/>
      <c r="I615" s="21"/>
      <c r="L615" s="21"/>
      <c r="M615" s="23"/>
    </row>
    <row r="616" spans="1:13">
      <c r="A616" s="22"/>
      <c r="E616" s="21"/>
      <c r="F616" s="21"/>
      <c r="G616" s="21"/>
      <c r="I616" s="21"/>
      <c r="L616" s="21"/>
      <c r="M616" s="23"/>
    </row>
    <row r="617" spans="1:13">
      <c r="A617" s="22"/>
      <c r="E617" s="21"/>
      <c r="F617" s="21"/>
      <c r="G617" s="21"/>
      <c r="I617" s="21"/>
      <c r="L617" s="21"/>
      <c r="M617" s="23"/>
    </row>
    <row r="618" spans="1:13">
      <c r="A618" s="22"/>
      <c r="E618" s="21"/>
      <c r="F618" s="21"/>
      <c r="G618" s="21"/>
      <c r="I618" s="21"/>
      <c r="L618" s="21"/>
      <c r="M618" s="23"/>
    </row>
    <row r="619" spans="1:13">
      <c r="A619" s="22"/>
      <c r="E619" s="21"/>
      <c r="F619" s="21"/>
      <c r="G619" s="21"/>
      <c r="I619" s="21"/>
      <c r="L619" s="21"/>
      <c r="M619" s="23"/>
    </row>
    <row r="620" spans="1:13">
      <c r="A620" s="22"/>
      <c r="E620" s="21"/>
      <c r="F620" s="21"/>
      <c r="G620" s="21"/>
      <c r="I620" s="21"/>
      <c r="L620" s="21"/>
      <c r="M620" s="23"/>
    </row>
    <row r="621" spans="1:13">
      <c r="A621" s="22"/>
      <c r="E621" s="21"/>
      <c r="F621" s="21"/>
      <c r="G621" s="21"/>
      <c r="I621" s="21"/>
      <c r="L621" s="21"/>
      <c r="M621" s="23"/>
    </row>
    <row r="622" spans="1:13">
      <c r="A622" s="22"/>
      <c r="E622" s="21"/>
      <c r="F622" s="21"/>
      <c r="G622" s="21"/>
      <c r="I622" s="21"/>
      <c r="L622" s="21"/>
      <c r="M622" s="23"/>
    </row>
    <row r="623" spans="1:13">
      <c r="A623" s="22"/>
      <c r="E623" s="21"/>
      <c r="F623" s="21"/>
      <c r="G623" s="21"/>
      <c r="I623" s="21"/>
      <c r="L623" s="21"/>
      <c r="M623" s="23"/>
    </row>
    <row r="624" spans="1:13">
      <c r="A624" s="22"/>
      <c r="E624" s="21"/>
      <c r="F624" s="21"/>
      <c r="G624" s="21"/>
      <c r="I624" s="21"/>
      <c r="L624" s="21"/>
      <c r="M624" s="23"/>
    </row>
    <row r="625" spans="1:13">
      <c r="A625" s="22"/>
      <c r="E625" s="21"/>
      <c r="F625" s="21"/>
      <c r="G625" s="21"/>
      <c r="I625" s="21"/>
      <c r="L625" s="21"/>
      <c r="M625" s="23"/>
    </row>
    <row r="626" spans="1:13">
      <c r="A626" s="22"/>
      <c r="E626" s="21"/>
      <c r="F626" s="21"/>
      <c r="G626" s="21"/>
      <c r="I626" s="21"/>
      <c r="L626" s="21"/>
      <c r="M626" s="23"/>
    </row>
    <row r="627" spans="1:13">
      <c r="A627" s="22"/>
      <c r="E627" s="21"/>
      <c r="F627" s="21"/>
      <c r="G627" s="21"/>
      <c r="I627" s="21"/>
      <c r="L627" s="21"/>
      <c r="M627" s="23"/>
    </row>
    <row r="628" spans="1:13">
      <c r="A628" s="22"/>
      <c r="E628" s="21"/>
      <c r="F628" s="21"/>
      <c r="G628" s="21"/>
      <c r="I628" s="21"/>
      <c r="L628" s="21"/>
      <c r="M628" s="23"/>
    </row>
    <row r="629" spans="1:13">
      <c r="A629" s="22"/>
      <c r="E629" s="21"/>
      <c r="F629" s="21"/>
      <c r="G629" s="21"/>
      <c r="I629" s="21"/>
      <c r="L629" s="21"/>
      <c r="M629" s="23"/>
    </row>
    <row r="630" spans="1:13">
      <c r="A630" s="22"/>
      <c r="E630" s="21"/>
      <c r="F630" s="21"/>
      <c r="G630" s="21"/>
      <c r="I630" s="21"/>
      <c r="L630" s="21"/>
      <c r="M630" s="23"/>
    </row>
    <row r="631" spans="1:13">
      <c r="A631" s="22"/>
      <c r="E631" s="21"/>
      <c r="F631" s="21"/>
      <c r="G631" s="21"/>
      <c r="I631" s="21"/>
      <c r="L631" s="21"/>
      <c r="M631" s="23"/>
    </row>
    <row r="632" spans="1:13">
      <c r="A632" s="22"/>
      <c r="E632" s="21"/>
      <c r="F632" s="21"/>
      <c r="G632" s="21"/>
      <c r="I632" s="21"/>
      <c r="L632" s="21"/>
      <c r="M632" s="23"/>
    </row>
    <row r="633" spans="1:13">
      <c r="A633" s="22"/>
      <c r="E633" s="21"/>
      <c r="F633" s="21"/>
      <c r="G633" s="21"/>
      <c r="I633" s="21"/>
      <c r="L633" s="21"/>
      <c r="M633" s="23"/>
    </row>
    <row r="634" spans="1:13">
      <c r="A634" s="22"/>
      <c r="E634" s="21"/>
      <c r="F634" s="21"/>
      <c r="G634" s="21"/>
      <c r="I634" s="21"/>
      <c r="L634" s="21"/>
      <c r="M634" s="23"/>
    </row>
    <row r="635" spans="1:13">
      <c r="A635" s="22"/>
      <c r="E635" s="21"/>
      <c r="F635" s="21"/>
      <c r="G635" s="21"/>
      <c r="I635" s="21"/>
      <c r="L635" s="21"/>
      <c r="M635" s="23"/>
    </row>
    <row r="636" spans="1:13">
      <c r="A636" s="22"/>
      <c r="E636" s="21"/>
      <c r="F636" s="21"/>
      <c r="G636" s="21"/>
      <c r="I636" s="21"/>
      <c r="L636" s="21"/>
      <c r="M636" s="23"/>
    </row>
    <row r="637" spans="1:13">
      <c r="A637" s="22"/>
      <c r="E637" s="21"/>
      <c r="F637" s="21"/>
      <c r="G637" s="21"/>
      <c r="I637" s="21"/>
      <c r="L637" s="21"/>
      <c r="M637" s="23"/>
    </row>
    <row r="638" spans="1:13">
      <c r="A638" s="22"/>
      <c r="E638" s="21"/>
      <c r="F638" s="21"/>
      <c r="G638" s="21"/>
      <c r="I638" s="21"/>
      <c r="L638" s="21"/>
      <c r="M638" s="23"/>
    </row>
    <row r="639" spans="1:13">
      <c r="A639" s="22"/>
      <c r="E639" s="21"/>
      <c r="F639" s="21"/>
      <c r="G639" s="21"/>
      <c r="I639" s="21"/>
      <c r="L639" s="21"/>
      <c r="M639" s="23"/>
    </row>
    <row r="640" spans="1:13">
      <c r="A640" s="22"/>
      <c r="E640" s="21"/>
      <c r="F640" s="21"/>
      <c r="G640" s="21"/>
      <c r="I640" s="21"/>
      <c r="L640" s="21"/>
      <c r="M640" s="23"/>
    </row>
    <row r="641" spans="1:13">
      <c r="A641" s="22"/>
      <c r="E641" s="21"/>
      <c r="F641" s="21"/>
      <c r="G641" s="21"/>
      <c r="I641" s="21"/>
      <c r="L641" s="21"/>
      <c r="M641" s="23"/>
    </row>
    <row r="642" spans="1:13">
      <c r="A642" s="22"/>
      <c r="E642" s="21"/>
      <c r="F642" s="21"/>
      <c r="G642" s="21"/>
      <c r="I642" s="21"/>
      <c r="L642" s="21"/>
      <c r="M642" s="23"/>
    </row>
    <row r="643" spans="1:13">
      <c r="A643" s="22"/>
      <c r="E643" s="21"/>
      <c r="F643" s="21"/>
      <c r="G643" s="21"/>
      <c r="I643" s="21"/>
      <c r="L643" s="21"/>
      <c r="M643" s="23"/>
    </row>
    <row r="644" spans="1:13">
      <c r="A644" s="22"/>
      <c r="E644" s="21"/>
      <c r="F644" s="21"/>
      <c r="G644" s="21"/>
      <c r="I644" s="21"/>
      <c r="L644" s="21"/>
      <c r="M644" s="23"/>
    </row>
    <row r="645" spans="1:13">
      <c r="A645" s="22"/>
      <c r="E645" s="21"/>
      <c r="F645" s="21"/>
      <c r="G645" s="21"/>
      <c r="I645" s="21"/>
      <c r="L645" s="21"/>
      <c r="M645" s="23"/>
    </row>
    <row r="646" spans="1:13">
      <c r="A646" s="22"/>
      <c r="E646" s="21"/>
      <c r="F646" s="21"/>
      <c r="G646" s="21"/>
      <c r="I646" s="21"/>
      <c r="L646" s="21"/>
      <c r="M646" s="23"/>
    </row>
    <row r="647" spans="1:13">
      <c r="A647" s="22"/>
      <c r="E647" s="21"/>
      <c r="F647" s="21"/>
      <c r="G647" s="21"/>
      <c r="I647" s="21"/>
      <c r="L647" s="21"/>
      <c r="M647" s="23"/>
    </row>
    <row r="648" spans="1:13">
      <c r="A648" s="22"/>
      <c r="E648" s="21"/>
      <c r="F648" s="21"/>
      <c r="G648" s="21"/>
      <c r="I648" s="21"/>
      <c r="L648" s="21"/>
      <c r="M648" s="23"/>
    </row>
    <row r="649" spans="1:13">
      <c r="A649" s="22"/>
      <c r="E649" s="21"/>
      <c r="F649" s="21"/>
      <c r="G649" s="21"/>
      <c r="I649" s="21"/>
      <c r="L649" s="21"/>
      <c r="M649" s="23"/>
    </row>
    <row r="650" spans="1:13">
      <c r="A650" s="22"/>
      <c r="E650" s="21"/>
      <c r="F650" s="21"/>
      <c r="G650" s="21"/>
      <c r="I650" s="21"/>
      <c r="L650" s="21"/>
      <c r="M650" s="23"/>
    </row>
    <row r="651" spans="1:13">
      <c r="A651" s="22"/>
      <c r="E651" s="21"/>
      <c r="F651" s="21"/>
      <c r="G651" s="21"/>
      <c r="I651" s="21"/>
      <c r="L651" s="21"/>
      <c r="M651" s="23"/>
    </row>
    <row r="652" spans="1:13">
      <c r="A652" s="22"/>
      <c r="E652" s="21"/>
      <c r="F652" s="21"/>
      <c r="G652" s="21"/>
      <c r="I652" s="21"/>
      <c r="L652" s="21"/>
      <c r="M652" s="23"/>
    </row>
    <row r="653" spans="1:13">
      <c r="A653" s="22"/>
      <c r="E653" s="21"/>
      <c r="F653" s="21"/>
      <c r="G653" s="21"/>
      <c r="I653" s="21"/>
      <c r="L653" s="21"/>
      <c r="M653" s="23"/>
    </row>
    <row r="654" spans="1:13">
      <c r="A654" s="22"/>
      <c r="E654" s="21"/>
      <c r="F654" s="21"/>
      <c r="G654" s="21"/>
      <c r="I654" s="21"/>
      <c r="L654" s="21"/>
      <c r="M654" s="23"/>
    </row>
    <row r="655" spans="1:13">
      <c r="A655" s="22"/>
      <c r="E655" s="21"/>
      <c r="F655" s="21"/>
      <c r="G655" s="21"/>
      <c r="I655" s="21"/>
      <c r="L655" s="21"/>
      <c r="M655" s="23"/>
    </row>
    <row r="656" spans="1:13">
      <c r="A656" s="22"/>
      <c r="E656" s="21"/>
      <c r="F656" s="21"/>
      <c r="G656" s="21"/>
      <c r="I656" s="21"/>
      <c r="L656" s="21"/>
      <c r="M656" s="23"/>
    </row>
    <row r="657" spans="1:13">
      <c r="A657" s="22"/>
      <c r="E657" s="21"/>
      <c r="F657" s="21"/>
      <c r="G657" s="21"/>
      <c r="I657" s="21"/>
      <c r="L657" s="21"/>
      <c r="M657" s="23"/>
    </row>
    <row r="658" spans="1:13">
      <c r="A658" s="22"/>
      <c r="E658" s="21"/>
      <c r="F658" s="21"/>
      <c r="G658" s="21"/>
      <c r="I658" s="21"/>
      <c r="L658" s="21"/>
      <c r="M658" s="23"/>
    </row>
    <row r="659" spans="1:13">
      <c r="A659" s="22"/>
      <c r="E659" s="21"/>
      <c r="F659" s="21"/>
      <c r="G659" s="21"/>
      <c r="I659" s="21"/>
      <c r="L659" s="21"/>
      <c r="M659" s="23"/>
    </row>
    <row r="660" spans="1:13">
      <c r="A660" s="22"/>
      <c r="E660" s="21"/>
      <c r="F660" s="21"/>
      <c r="G660" s="21"/>
      <c r="I660" s="21"/>
      <c r="L660" s="21"/>
      <c r="M660" s="23"/>
    </row>
    <row r="661" spans="1:13">
      <c r="A661" s="22"/>
      <c r="E661" s="21"/>
      <c r="F661" s="21"/>
      <c r="G661" s="21"/>
      <c r="I661" s="21"/>
      <c r="L661" s="21"/>
      <c r="M661" s="23"/>
    </row>
    <row r="662" spans="1:13">
      <c r="A662" s="22"/>
      <c r="E662" s="21"/>
      <c r="F662" s="21"/>
      <c r="G662" s="21"/>
      <c r="I662" s="21"/>
      <c r="L662" s="21"/>
      <c r="M662" s="23"/>
    </row>
    <row r="663" spans="1:13">
      <c r="A663" s="22"/>
      <c r="E663" s="21"/>
      <c r="F663" s="21"/>
      <c r="G663" s="21"/>
      <c r="I663" s="21"/>
      <c r="L663" s="21"/>
      <c r="M663" s="23"/>
    </row>
    <row r="664" spans="1:13">
      <c r="A664" s="22"/>
      <c r="E664" s="21"/>
      <c r="F664" s="21"/>
      <c r="G664" s="21"/>
      <c r="I664" s="21"/>
      <c r="L664" s="21"/>
      <c r="M664" s="23"/>
    </row>
    <row r="665" spans="1:13">
      <c r="A665" s="22"/>
      <c r="E665" s="21"/>
      <c r="F665" s="21"/>
      <c r="G665" s="21"/>
      <c r="I665" s="21"/>
      <c r="L665" s="21"/>
      <c r="M665" s="23"/>
    </row>
    <row r="666" spans="1:13">
      <c r="A666" s="22"/>
      <c r="E666" s="21"/>
      <c r="F666" s="21"/>
      <c r="G666" s="21"/>
      <c r="I666" s="21"/>
      <c r="L666" s="21"/>
      <c r="M666" s="23"/>
    </row>
    <row r="667" spans="1:13">
      <c r="A667" s="22"/>
      <c r="E667" s="21"/>
      <c r="F667" s="21"/>
      <c r="G667" s="21"/>
      <c r="I667" s="21"/>
      <c r="L667" s="21"/>
      <c r="M667" s="23"/>
    </row>
    <row r="668" spans="1:13">
      <c r="A668" s="22"/>
      <c r="E668" s="21"/>
      <c r="F668" s="21"/>
      <c r="G668" s="21"/>
      <c r="I668" s="21"/>
      <c r="L668" s="21"/>
      <c r="M668" s="23"/>
    </row>
    <row r="669" spans="1:13">
      <c r="A669" s="22"/>
      <c r="E669" s="21"/>
      <c r="F669" s="21"/>
      <c r="G669" s="21"/>
      <c r="I669" s="21"/>
      <c r="L669" s="21"/>
      <c r="M669" s="23"/>
    </row>
    <row r="670" spans="1:13">
      <c r="A670" s="22"/>
      <c r="E670" s="21"/>
      <c r="F670" s="21"/>
      <c r="G670" s="21"/>
      <c r="I670" s="21"/>
      <c r="L670" s="21"/>
      <c r="M670" s="23"/>
    </row>
    <row r="671" spans="1:13">
      <c r="A671" s="22"/>
      <c r="E671" s="21"/>
      <c r="F671" s="21"/>
      <c r="G671" s="21"/>
      <c r="I671" s="21"/>
      <c r="L671" s="21"/>
      <c r="M671" s="23"/>
    </row>
    <row r="672" spans="1:13">
      <c r="A672" s="22"/>
      <c r="E672" s="21"/>
      <c r="F672" s="21"/>
      <c r="G672" s="21"/>
      <c r="I672" s="21"/>
      <c r="L672" s="21"/>
      <c r="M672" s="23"/>
    </row>
    <row r="673" spans="1:13">
      <c r="A673" s="22"/>
      <c r="E673" s="21"/>
      <c r="F673" s="21"/>
      <c r="G673" s="21"/>
      <c r="I673" s="21"/>
      <c r="L673" s="21"/>
      <c r="M673" s="23"/>
    </row>
    <row r="674" spans="1:13">
      <c r="A674" s="22"/>
      <c r="E674" s="21"/>
      <c r="F674" s="21"/>
      <c r="G674" s="21"/>
      <c r="I674" s="21"/>
      <c r="L674" s="21"/>
      <c r="M674" s="23"/>
    </row>
    <row r="675" spans="1:13">
      <c r="A675" s="22"/>
      <c r="E675" s="21"/>
      <c r="F675" s="21"/>
      <c r="G675" s="21"/>
      <c r="I675" s="21"/>
      <c r="L675" s="21"/>
      <c r="M675" s="23"/>
    </row>
    <row r="676" spans="1:13">
      <c r="A676" s="22"/>
      <c r="E676" s="21"/>
      <c r="F676" s="21"/>
      <c r="G676" s="21"/>
      <c r="I676" s="21"/>
      <c r="L676" s="21"/>
      <c r="M676" s="23"/>
    </row>
    <row r="677" spans="1:13">
      <c r="A677" s="22"/>
      <c r="E677" s="21"/>
      <c r="F677" s="21"/>
      <c r="G677" s="21"/>
      <c r="I677" s="21"/>
      <c r="L677" s="21"/>
      <c r="M677" s="23"/>
    </row>
    <row r="678" spans="1:13">
      <c r="A678" s="22"/>
      <c r="E678" s="21"/>
      <c r="F678" s="21"/>
      <c r="G678" s="21"/>
      <c r="I678" s="21"/>
      <c r="L678" s="21"/>
      <c r="M678" s="23"/>
    </row>
    <row r="679" spans="1:13">
      <c r="A679" s="22"/>
      <c r="E679" s="21"/>
      <c r="F679" s="21"/>
      <c r="G679" s="21"/>
      <c r="I679" s="21"/>
      <c r="L679" s="21"/>
      <c r="M679" s="23"/>
    </row>
    <row r="680" spans="1:13">
      <c r="A680" s="22"/>
      <c r="E680" s="21"/>
      <c r="F680" s="21"/>
      <c r="G680" s="21"/>
      <c r="I680" s="21"/>
      <c r="L680" s="21"/>
      <c r="M680" s="23"/>
    </row>
    <row r="681" spans="1:13">
      <c r="A681" s="22"/>
      <c r="E681" s="21"/>
      <c r="F681" s="21"/>
      <c r="G681" s="21"/>
      <c r="I681" s="21"/>
      <c r="L681" s="21"/>
      <c r="M681" s="23"/>
    </row>
    <row r="682" spans="1:13">
      <c r="A682" s="22"/>
      <c r="E682" s="21"/>
      <c r="F682" s="21"/>
      <c r="G682" s="21"/>
      <c r="I682" s="21"/>
      <c r="L682" s="21"/>
      <c r="M682" s="23"/>
    </row>
    <row r="683" spans="1:13">
      <c r="A683" s="22"/>
      <c r="E683" s="21"/>
      <c r="F683" s="21"/>
      <c r="G683" s="21"/>
      <c r="I683" s="21"/>
      <c r="L683" s="21"/>
      <c r="M683" s="23"/>
    </row>
    <row r="684" spans="1:13">
      <c r="A684" s="22"/>
      <c r="E684" s="21"/>
      <c r="F684" s="21"/>
      <c r="G684" s="21"/>
      <c r="I684" s="21"/>
      <c r="L684" s="21"/>
      <c r="M684" s="23"/>
    </row>
    <row r="685" spans="1:13">
      <c r="A685" s="22"/>
      <c r="E685" s="21"/>
      <c r="F685" s="21"/>
      <c r="G685" s="21"/>
      <c r="I685" s="21"/>
      <c r="L685" s="21"/>
      <c r="M685" s="23"/>
    </row>
    <row r="686" spans="1:13">
      <c r="A686" s="22"/>
      <c r="E686" s="21"/>
      <c r="F686" s="21"/>
      <c r="G686" s="21"/>
      <c r="I686" s="21"/>
      <c r="L686" s="21"/>
      <c r="M686" s="23"/>
    </row>
    <row r="687" spans="1:13">
      <c r="A687" s="22"/>
      <c r="E687" s="21"/>
      <c r="F687" s="21"/>
      <c r="G687" s="21"/>
      <c r="I687" s="21"/>
      <c r="L687" s="21"/>
      <c r="M687" s="23"/>
    </row>
    <row r="688" spans="1:13">
      <c r="A688" s="22"/>
      <c r="E688" s="21"/>
      <c r="F688" s="21"/>
      <c r="G688" s="21"/>
      <c r="I688" s="21"/>
      <c r="L688" s="21"/>
      <c r="M688" s="23"/>
    </row>
    <row r="689" spans="1:13">
      <c r="A689" s="22"/>
      <c r="E689" s="21"/>
      <c r="F689" s="21"/>
      <c r="G689" s="21"/>
      <c r="I689" s="21"/>
      <c r="L689" s="21"/>
      <c r="M689" s="23"/>
    </row>
    <row r="690" spans="1:13">
      <c r="A690" s="22"/>
      <c r="E690" s="21"/>
      <c r="F690" s="21"/>
      <c r="G690" s="21"/>
      <c r="I690" s="21"/>
      <c r="L690" s="21"/>
      <c r="M690" s="23"/>
    </row>
    <row r="691" spans="1:13">
      <c r="A691" s="22"/>
      <c r="E691" s="21"/>
      <c r="F691" s="21"/>
      <c r="G691" s="21"/>
      <c r="I691" s="21"/>
      <c r="L691" s="21"/>
      <c r="M691" s="23"/>
    </row>
    <row r="692" spans="1:13">
      <c r="A692" s="22"/>
      <c r="E692" s="21"/>
      <c r="F692" s="21"/>
      <c r="G692" s="21"/>
      <c r="I692" s="21"/>
      <c r="L692" s="21"/>
      <c r="M692" s="23"/>
    </row>
    <row r="693" spans="1:13">
      <c r="A693" s="22"/>
      <c r="E693" s="21"/>
      <c r="F693" s="21"/>
      <c r="G693" s="21"/>
      <c r="I693" s="21"/>
      <c r="L693" s="21"/>
      <c r="M693" s="23"/>
    </row>
    <row r="694" spans="1:13">
      <c r="A694" s="22"/>
      <c r="E694" s="21"/>
      <c r="F694" s="21"/>
      <c r="G694" s="21"/>
      <c r="I694" s="21"/>
      <c r="L694" s="21"/>
      <c r="M694" s="23"/>
    </row>
    <row r="695" spans="1:13">
      <c r="A695" s="22"/>
      <c r="E695" s="21"/>
      <c r="F695" s="21"/>
      <c r="G695" s="21"/>
      <c r="I695" s="21"/>
      <c r="L695" s="21"/>
      <c r="M695" s="23"/>
    </row>
    <row r="696" spans="1:13">
      <c r="A696" s="22"/>
      <c r="E696" s="21"/>
      <c r="F696" s="21"/>
      <c r="G696" s="21"/>
      <c r="I696" s="21"/>
      <c r="L696" s="21"/>
      <c r="M696" s="23"/>
    </row>
    <row r="697" spans="1:13">
      <c r="A697" s="22"/>
      <c r="E697" s="21"/>
      <c r="F697" s="21"/>
      <c r="G697" s="21"/>
      <c r="I697" s="21"/>
      <c r="L697" s="21"/>
      <c r="M697" s="23"/>
    </row>
    <row r="698" spans="1:13">
      <c r="A698" s="22"/>
      <c r="E698" s="21"/>
      <c r="F698" s="21"/>
      <c r="G698" s="21"/>
      <c r="I698" s="21"/>
      <c r="L698" s="21"/>
      <c r="M698" s="23"/>
    </row>
    <row r="699" spans="1:13">
      <c r="A699" s="22"/>
      <c r="E699" s="21"/>
      <c r="F699" s="21"/>
      <c r="G699" s="21"/>
      <c r="I699" s="21"/>
      <c r="L699" s="21"/>
      <c r="M699" s="23"/>
    </row>
    <row r="700" spans="1:13">
      <c r="A700" s="22"/>
      <c r="E700" s="21"/>
      <c r="F700" s="21"/>
      <c r="G700" s="21"/>
      <c r="I700" s="21"/>
      <c r="L700" s="21"/>
      <c r="M700" s="23"/>
    </row>
    <row r="701" spans="1:13">
      <c r="A701" s="22"/>
      <c r="E701" s="21"/>
      <c r="F701" s="21"/>
      <c r="G701" s="21"/>
      <c r="I701" s="21"/>
      <c r="L701" s="21"/>
      <c r="M701" s="23"/>
    </row>
    <row r="702" spans="1:13">
      <c r="A702" s="22"/>
      <c r="E702" s="21"/>
      <c r="F702" s="21"/>
      <c r="G702" s="21"/>
      <c r="I702" s="21"/>
      <c r="L702" s="21"/>
      <c r="M702" s="23"/>
    </row>
    <row r="703" spans="1:13">
      <c r="A703" s="22"/>
      <c r="E703" s="21"/>
      <c r="F703" s="21"/>
      <c r="G703" s="21"/>
      <c r="I703" s="21"/>
      <c r="L703" s="21"/>
      <c r="M703" s="23"/>
    </row>
    <row r="704" spans="1:13">
      <c r="A704" s="22"/>
      <c r="E704" s="21"/>
      <c r="F704" s="21"/>
      <c r="G704" s="21"/>
      <c r="I704" s="21"/>
      <c r="L704" s="21"/>
      <c r="M704" s="23"/>
    </row>
    <row r="705" spans="1:13">
      <c r="A705" s="22"/>
      <c r="E705" s="21"/>
      <c r="F705" s="21"/>
      <c r="G705" s="21"/>
      <c r="I705" s="21"/>
      <c r="L705" s="21"/>
      <c r="M705" s="23"/>
    </row>
    <row r="706" spans="1:13">
      <c r="A706" s="22"/>
      <c r="E706" s="21"/>
      <c r="F706" s="21"/>
      <c r="G706" s="21"/>
      <c r="I706" s="21"/>
      <c r="L706" s="21"/>
      <c r="M706" s="23"/>
    </row>
    <row r="707" spans="1:13">
      <c r="A707" s="22"/>
      <c r="E707" s="21"/>
      <c r="F707" s="21"/>
      <c r="G707" s="21"/>
      <c r="I707" s="21"/>
      <c r="L707" s="21"/>
      <c r="M707" s="23"/>
    </row>
    <row r="708" spans="1:13">
      <c r="A708" s="22"/>
      <c r="E708" s="21"/>
      <c r="F708" s="21"/>
      <c r="G708" s="21"/>
      <c r="I708" s="21"/>
      <c r="L708" s="21"/>
      <c r="M708" s="23"/>
    </row>
    <row r="709" spans="1:13">
      <c r="A709" s="22"/>
      <c r="E709" s="21"/>
      <c r="F709" s="21"/>
      <c r="G709" s="21"/>
      <c r="I709" s="21"/>
      <c r="L709" s="21"/>
      <c r="M709" s="23"/>
    </row>
    <row r="710" spans="1:13">
      <c r="A710" s="22"/>
      <c r="E710" s="21"/>
      <c r="F710" s="21"/>
      <c r="G710" s="21"/>
      <c r="I710" s="21"/>
      <c r="L710" s="21"/>
      <c r="M710" s="23"/>
    </row>
    <row r="711" spans="1:13">
      <c r="A711" s="22"/>
      <c r="E711" s="21"/>
      <c r="F711" s="21"/>
      <c r="G711" s="21"/>
      <c r="I711" s="21"/>
      <c r="L711" s="21"/>
      <c r="M711" s="23"/>
    </row>
    <row r="712" spans="1:13">
      <c r="A712" s="22"/>
      <c r="E712" s="21"/>
      <c r="F712" s="21"/>
      <c r="G712" s="21"/>
      <c r="I712" s="21"/>
      <c r="L712" s="21"/>
      <c r="M712" s="23"/>
    </row>
    <row r="713" spans="1:13">
      <c r="A713" s="22"/>
      <c r="E713" s="21"/>
      <c r="F713" s="21"/>
      <c r="G713" s="21"/>
      <c r="I713" s="21"/>
      <c r="L713" s="21"/>
      <c r="M713" s="23"/>
    </row>
    <row r="714" spans="1:13">
      <c r="A714" s="22"/>
      <c r="E714" s="21"/>
      <c r="F714" s="21"/>
      <c r="G714" s="21"/>
      <c r="I714" s="21"/>
      <c r="L714" s="21"/>
      <c r="M714" s="23"/>
    </row>
    <row r="715" spans="1:13">
      <c r="A715" s="22"/>
      <c r="E715" s="21"/>
      <c r="F715" s="21"/>
      <c r="G715" s="21"/>
      <c r="I715" s="21"/>
      <c r="L715" s="21"/>
      <c r="M715" s="23"/>
    </row>
    <row r="716" spans="1:13">
      <c r="A716" s="22"/>
      <c r="E716" s="21"/>
      <c r="F716" s="21"/>
      <c r="G716" s="21"/>
      <c r="I716" s="21"/>
      <c r="L716" s="21"/>
      <c r="M716" s="23"/>
    </row>
    <row r="717" spans="1:13">
      <c r="A717" s="22"/>
      <c r="E717" s="21"/>
      <c r="F717" s="21"/>
      <c r="G717" s="21"/>
      <c r="I717" s="21"/>
      <c r="L717" s="21"/>
      <c r="M717" s="23"/>
    </row>
    <row r="718" spans="1:13">
      <c r="A718" s="22"/>
      <c r="E718" s="21"/>
      <c r="F718" s="21"/>
      <c r="G718" s="21"/>
      <c r="I718" s="21"/>
      <c r="L718" s="21"/>
      <c r="M718" s="23"/>
    </row>
    <row r="719" spans="1:13">
      <c r="A719" s="22"/>
      <c r="E719" s="21"/>
      <c r="F719" s="21"/>
      <c r="G719" s="21"/>
      <c r="I719" s="21"/>
      <c r="L719" s="21"/>
      <c r="M719" s="23"/>
    </row>
    <row r="720" spans="1:13">
      <c r="A720" s="22"/>
      <c r="E720" s="21"/>
      <c r="F720" s="21"/>
      <c r="G720" s="21"/>
      <c r="I720" s="21"/>
      <c r="L720" s="21"/>
      <c r="M720" s="23"/>
    </row>
    <row r="721" spans="1:13">
      <c r="A721" s="22"/>
      <c r="E721" s="21"/>
      <c r="F721" s="21"/>
      <c r="G721" s="21"/>
      <c r="I721" s="21"/>
      <c r="L721" s="21"/>
      <c r="M721" s="23"/>
    </row>
    <row r="722" spans="1:13">
      <c r="A722" s="22"/>
      <c r="E722" s="21"/>
      <c r="F722" s="21"/>
      <c r="G722" s="21"/>
      <c r="I722" s="21"/>
      <c r="L722" s="21"/>
      <c r="M722" s="23"/>
    </row>
    <row r="723" spans="1:13">
      <c r="A723" s="22"/>
      <c r="E723" s="21"/>
      <c r="F723" s="21"/>
      <c r="G723" s="21"/>
      <c r="I723" s="21"/>
      <c r="L723" s="21"/>
      <c r="M723" s="23"/>
    </row>
    <row r="724" spans="1:13">
      <c r="A724" s="22"/>
      <c r="E724" s="21"/>
      <c r="F724" s="21"/>
      <c r="G724" s="21"/>
      <c r="I724" s="21"/>
      <c r="L724" s="21"/>
      <c r="M724" s="23"/>
    </row>
    <row r="725" spans="1:13">
      <c r="A725" s="22"/>
      <c r="E725" s="21"/>
      <c r="F725" s="21"/>
      <c r="G725" s="21"/>
      <c r="I725" s="21"/>
      <c r="L725" s="21"/>
      <c r="M725" s="23"/>
    </row>
    <row r="726" spans="1:13">
      <c r="A726" s="22"/>
      <c r="E726" s="21"/>
      <c r="F726" s="21"/>
      <c r="G726" s="21"/>
      <c r="I726" s="21"/>
      <c r="L726" s="21"/>
      <c r="M726" s="23"/>
    </row>
    <row r="727" spans="1:13">
      <c r="A727" s="22"/>
      <c r="E727" s="21"/>
      <c r="F727" s="21"/>
      <c r="G727" s="21"/>
      <c r="I727" s="21"/>
      <c r="L727" s="21"/>
      <c r="M727" s="23"/>
    </row>
    <row r="728" spans="1:13">
      <c r="A728" s="22"/>
      <c r="E728" s="21"/>
      <c r="F728" s="21"/>
      <c r="G728" s="21"/>
      <c r="I728" s="21"/>
      <c r="L728" s="21"/>
      <c r="M728" s="23"/>
    </row>
    <row r="729" spans="1:13">
      <c r="A729" s="22"/>
      <c r="E729" s="21"/>
      <c r="F729" s="21"/>
      <c r="G729" s="21"/>
      <c r="I729" s="21"/>
      <c r="L729" s="21"/>
      <c r="M729" s="23"/>
    </row>
    <row r="730" spans="1:13">
      <c r="A730" s="22"/>
      <c r="E730" s="21"/>
      <c r="F730" s="21"/>
      <c r="G730" s="21"/>
      <c r="I730" s="21"/>
      <c r="L730" s="21"/>
      <c r="M730" s="23"/>
    </row>
    <row r="731" spans="1:13">
      <c r="A731" s="22"/>
      <c r="E731" s="21"/>
      <c r="F731" s="21"/>
      <c r="G731" s="21"/>
      <c r="I731" s="21"/>
      <c r="L731" s="21"/>
      <c r="M731" s="23"/>
    </row>
    <row r="732" spans="1:13">
      <c r="A732" s="22"/>
      <c r="E732" s="21"/>
      <c r="F732" s="21"/>
      <c r="G732" s="21"/>
      <c r="I732" s="21"/>
      <c r="L732" s="21"/>
      <c r="M732" s="23"/>
    </row>
    <row r="733" spans="1:13">
      <c r="A733" s="22"/>
      <c r="E733" s="21"/>
      <c r="F733" s="21"/>
      <c r="G733" s="21"/>
      <c r="I733" s="21"/>
      <c r="L733" s="21"/>
      <c r="M733" s="23"/>
    </row>
    <row r="734" spans="1:13">
      <c r="A734" s="22"/>
      <c r="E734" s="21"/>
      <c r="F734" s="21"/>
      <c r="G734" s="21"/>
      <c r="I734" s="21"/>
      <c r="L734" s="21"/>
      <c r="M734" s="23"/>
    </row>
    <row r="735" spans="1:13">
      <c r="A735" s="22"/>
      <c r="E735" s="21"/>
      <c r="F735" s="21"/>
      <c r="G735" s="21"/>
      <c r="I735" s="21"/>
      <c r="L735" s="21"/>
      <c r="M735" s="23"/>
    </row>
    <row r="736" spans="1:13">
      <c r="A736" s="22"/>
      <c r="E736" s="21"/>
      <c r="F736" s="21"/>
      <c r="G736" s="21"/>
      <c r="I736" s="21"/>
      <c r="L736" s="21"/>
      <c r="M736" s="23"/>
    </row>
    <row r="737" spans="1:13">
      <c r="A737" s="22"/>
      <c r="E737" s="21"/>
      <c r="F737" s="21"/>
      <c r="G737" s="21"/>
      <c r="I737" s="21"/>
      <c r="L737" s="21"/>
      <c r="M737" s="23"/>
    </row>
    <row r="738" spans="1:13">
      <c r="A738" s="22"/>
      <c r="E738" s="21"/>
      <c r="F738" s="21"/>
      <c r="G738" s="21"/>
      <c r="I738" s="21"/>
      <c r="L738" s="21"/>
      <c r="M738" s="23"/>
    </row>
    <row r="739" spans="1:13">
      <c r="A739" s="22"/>
      <c r="E739" s="21"/>
      <c r="F739" s="21"/>
      <c r="G739" s="21"/>
      <c r="I739" s="21"/>
      <c r="L739" s="21"/>
      <c r="M739" s="23"/>
    </row>
    <row r="740" spans="1:13">
      <c r="A740" s="22"/>
      <c r="E740" s="21"/>
      <c r="F740" s="21"/>
      <c r="G740" s="21"/>
      <c r="I740" s="21"/>
      <c r="L740" s="21"/>
      <c r="M740" s="23"/>
    </row>
    <row r="741" spans="1:13">
      <c r="A741" s="22"/>
      <c r="E741" s="21"/>
      <c r="F741" s="21"/>
      <c r="G741" s="21"/>
      <c r="I741" s="21"/>
      <c r="L741" s="21"/>
      <c r="M741" s="23"/>
    </row>
    <row r="742" spans="1:13">
      <c r="A742" s="22"/>
      <c r="E742" s="21"/>
      <c r="F742" s="21"/>
      <c r="G742" s="21"/>
      <c r="I742" s="21"/>
      <c r="L742" s="21"/>
      <c r="M742" s="23"/>
    </row>
    <row r="743" spans="1:13">
      <c r="A743" s="22"/>
      <c r="E743" s="21"/>
      <c r="F743" s="21"/>
      <c r="G743" s="21"/>
      <c r="I743" s="21"/>
      <c r="L743" s="21"/>
      <c r="M743" s="23"/>
    </row>
    <row r="744" spans="1:13">
      <c r="A744" s="22"/>
      <c r="E744" s="21"/>
      <c r="F744" s="21"/>
      <c r="G744" s="21"/>
      <c r="I744" s="21"/>
      <c r="L744" s="21"/>
      <c r="M744" s="23"/>
    </row>
    <row r="745" spans="1:13">
      <c r="A745" s="22"/>
      <c r="E745" s="21"/>
      <c r="F745" s="21"/>
      <c r="G745" s="21"/>
      <c r="I745" s="21"/>
      <c r="L745" s="21"/>
      <c r="M745" s="23"/>
    </row>
    <row r="746" spans="1:13">
      <c r="A746" s="22"/>
      <c r="E746" s="21"/>
      <c r="F746" s="21"/>
      <c r="G746" s="21"/>
      <c r="I746" s="21"/>
      <c r="L746" s="21"/>
      <c r="M746" s="23"/>
    </row>
    <row r="747" spans="1:13">
      <c r="A747" s="22"/>
      <c r="E747" s="21"/>
      <c r="F747" s="21"/>
      <c r="G747" s="21"/>
      <c r="I747" s="21"/>
      <c r="L747" s="21"/>
      <c r="M747" s="23"/>
    </row>
    <row r="748" spans="1:13">
      <c r="A748" s="22"/>
      <c r="E748" s="21"/>
      <c r="F748" s="21"/>
      <c r="G748" s="21"/>
      <c r="I748" s="21"/>
      <c r="L748" s="21"/>
      <c r="M748" s="23"/>
    </row>
    <row r="749" spans="1:13">
      <c r="A749" s="22"/>
      <c r="E749" s="21"/>
      <c r="F749" s="21"/>
      <c r="G749" s="21"/>
      <c r="I749" s="21"/>
      <c r="L749" s="21"/>
      <c r="M749" s="23"/>
    </row>
    <row r="750" spans="1:13">
      <c r="A750" s="22"/>
      <c r="E750" s="21"/>
      <c r="F750" s="21"/>
      <c r="G750" s="21"/>
      <c r="I750" s="21"/>
      <c r="L750" s="21"/>
      <c r="M750" s="23"/>
    </row>
    <row r="751" spans="1:13">
      <c r="A751" s="22"/>
      <c r="E751" s="21"/>
      <c r="F751" s="21"/>
      <c r="G751" s="21"/>
      <c r="I751" s="21"/>
      <c r="L751" s="21"/>
      <c r="M751" s="23"/>
    </row>
    <row r="752" spans="1:13">
      <c r="A752" s="22"/>
      <c r="E752" s="21"/>
      <c r="F752" s="21"/>
      <c r="G752" s="21"/>
      <c r="I752" s="21"/>
      <c r="L752" s="21"/>
      <c r="M752" s="23"/>
    </row>
    <row r="753" spans="1:13">
      <c r="A753" s="22"/>
      <c r="E753" s="21"/>
      <c r="F753" s="21"/>
      <c r="G753" s="21"/>
      <c r="I753" s="21"/>
      <c r="L753" s="21"/>
      <c r="M753" s="23"/>
    </row>
    <row r="754" spans="1:13">
      <c r="A754" s="22"/>
      <c r="E754" s="21"/>
      <c r="F754" s="21"/>
      <c r="G754" s="21"/>
      <c r="I754" s="21"/>
      <c r="L754" s="21"/>
      <c r="M754" s="23"/>
    </row>
    <row r="755" spans="1:13">
      <c r="A755" s="22"/>
      <c r="E755" s="21"/>
      <c r="F755" s="21"/>
      <c r="G755" s="21"/>
      <c r="I755" s="21"/>
      <c r="L755" s="21"/>
      <c r="M755" s="23"/>
    </row>
    <row r="756" spans="1:13">
      <c r="A756" s="22"/>
      <c r="E756" s="21"/>
      <c r="F756" s="21"/>
      <c r="G756" s="21"/>
      <c r="I756" s="21"/>
      <c r="L756" s="21"/>
      <c r="M756" s="23"/>
    </row>
    <row r="757" spans="1:13">
      <c r="A757" s="22"/>
      <c r="E757" s="21"/>
      <c r="F757" s="21"/>
      <c r="G757" s="21"/>
      <c r="I757" s="21"/>
      <c r="L757" s="21"/>
      <c r="M757" s="23"/>
    </row>
    <row r="758" spans="1:13">
      <c r="A758" s="22"/>
      <c r="E758" s="21"/>
      <c r="F758" s="21"/>
      <c r="G758" s="21"/>
      <c r="I758" s="21"/>
      <c r="L758" s="21"/>
      <c r="M758" s="23"/>
    </row>
    <row r="759" spans="1:13">
      <c r="A759" s="22"/>
      <c r="E759" s="21"/>
      <c r="F759" s="21"/>
      <c r="G759" s="21"/>
      <c r="I759" s="21"/>
      <c r="L759" s="21"/>
      <c r="M759" s="23"/>
    </row>
    <row r="760" spans="1:13">
      <c r="A760" s="22"/>
      <c r="E760" s="21"/>
      <c r="F760" s="21"/>
      <c r="G760" s="21"/>
      <c r="I760" s="21"/>
      <c r="L760" s="21"/>
      <c r="M760" s="23"/>
    </row>
    <row r="761" spans="1:13">
      <c r="A761" s="22"/>
      <c r="E761" s="21"/>
      <c r="F761" s="21"/>
      <c r="G761" s="21"/>
      <c r="I761" s="21"/>
      <c r="L761" s="21"/>
      <c r="M761" s="23"/>
    </row>
    <row r="762" spans="1:13">
      <c r="A762" s="22"/>
      <c r="E762" s="21"/>
      <c r="F762" s="21"/>
      <c r="G762" s="21"/>
      <c r="I762" s="21"/>
      <c r="L762" s="21"/>
      <c r="M762" s="23"/>
    </row>
    <row r="763" spans="1:13">
      <c r="A763" s="22"/>
      <c r="E763" s="21"/>
      <c r="F763" s="21"/>
      <c r="G763" s="21"/>
      <c r="I763" s="21"/>
      <c r="L763" s="21"/>
      <c r="M763" s="23"/>
    </row>
    <row r="764" spans="1:13">
      <c r="A764" s="22"/>
      <c r="E764" s="21"/>
      <c r="F764" s="21"/>
      <c r="G764" s="21"/>
      <c r="I764" s="21"/>
      <c r="L764" s="21"/>
      <c r="M764" s="23"/>
    </row>
    <row r="765" spans="1:13">
      <c r="A765" s="22"/>
      <c r="E765" s="21"/>
      <c r="F765" s="21"/>
      <c r="G765" s="21"/>
      <c r="I765" s="21"/>
      <c r="L765" s="21"/>
      <c r="M765" s="23"/>
    </row>
    <row r="766" spans="1:13">
      <c r="A766" s="22"/>
      <c r="E766" s="21"/>
      <c r="F766" s="21"/>
      <c r="G766" s="21"/>
      <c r="I766" s="21"/>
      <c r="L766" s="21"/>
      <c r="M766" s="23"/>
    </row>
    <row r="767" spans="1:13">
      <c r="A767" s="22"/>
      <c r="E767" s="21"/>
      <c r="F767" s="21"/>
      <c r="G767" s="21"/>
      <c r="I767" s="21"/>
      <c r="L767" s="21"/>
      <c r="M767" s="23"/>
    </row>
    <row r="768" spans="1:13">
      <c r="A768" s="22"/>
      <c r="E768" s="21"/>
      <c r="F768" s="21"/>
      <c r="G768" s="21"/>
      <c r="I768" s="21"/>
      <c r="L768" s="21"/>
      <c r="M768" s="23"/>
    </row>
    <row r="769" spans="1:13">
      <c r="A769" s="22"/>
      <c r="E769" s="21"/>
      <c r="F769" s="21"/>
      <c r="G769" s="21"/>
      <c r="I769" s="21"/>
      <c r="L769" s="21"/>
      <c r="M769" s="23"/>
    </row>
    <row r="770" spans="1:13">
      <c r="A770" s="22"/>
      <c r="E770" s="21"/>
      <c r="F770" s="21"/>
      <c r="G770" s="21"/>
      <c r="I770" s="21"/>
      <c r="L770" s="21"/>
      <c r="M770" s="23"/>
    </row>
    <row r="771" spans="1:13">
      <c r="A771" s="22"/>
      <c r="E771" s="21"/>
      <c r="F771" s="21"/>
      <c r="G771" s="21"/>
      <c r="I771" s="21"/>
      <c r="L771" s="21"/>
      <c r="M771" s="23"/>
    </row>
    <row r="772" spans="1:13">
      <c r="A772" s="22"/>
      <c r="E772" s="21"/>
      <c r="F772" s="21"/>
      <c r="G772" s="21"/>
      <c r="I772" s="21"/>
      <c r="L772" s="21"/>
      <c r="M772" s="23"/>
    </row>
    <row r="773" spans="1:13">
      <c r="A773" s="22"/>
      <c r="E773" s="21"/>
      <c r="F773" s="21"/>
      <c r="G773" s="21"/>
      <c r="I773" s="21"/>
      <c r="L773" s="21"/>
      <c r="M773" s="23"/>
    </row>
    <row r="774" spans="1:13">
      <c r="A774" s="22"/>
      <c r="E774" s="21"/>
      <c r="F774" s="21"/>
      <c r="G774" s="21"/>
      <c r="I774" s="21"/>
      <c r="L774" s="21"/>
      <c r="M774" s="23"/>
    </row>
    <row r="775" spans="1:13">
      <c r="A775" s="22"/>
      <c r="E775" s="21"/>
      <c r="F775" s="21"/>
      <c r="G775" s="21"/>
      <c r="I775" s="21"/>
      <c r="L775" s="21"/>
      <c r="M775" s="23"/>
    </row>
    <row r="776" spans="1:13">
      <c r="A776" s="22"/>
      <c r="E776" s="21"/>
      <c r="F776" s="21"/>
      <c r="G776" s="21"/>
      <c r="I776" s="21"/>
      <c r="L776" s="21"/>
      <c r="M776" s="23"/>
    </row>
    <row r="777" spans="1:13">
      <c r="A777" s="22"/>
      <c r="E777" s="21"/>
      <c r="F777" s="21"/>
      <c r="G777" s="21"/>
      <c r="I777" s="21"/>
      <c r="L777" s="21"/>
      <c r="M777" s="23"/>
    </row>
    <row r="778" spans="1:13">
      <c r="A778" s="22"/>
      <c r="E778" s="21"/>
      <c r="F778" s="21"/>
      <c r="G778" s="21"/>
      <c r="I778" s="21"/>
      <c r="L778" s="21"/>
      <c r="M778" s="23"/>
    </row>
    <row r="779" spans="1:13">
      <c r="A779" s="22"/>
      <c r="E779" s="21"/>
      <c r="F779" s="21"/>
      <c r="G779" s="21"/>
      <c r="I779" s="21"/>
      <c r="L779" s="21"/>
      <c r="M779" s="23"/>
    </row>
    <row r="780" spans="1:13">
      <c r="A780" s="22"/>
      <c r="E780" s="21"/>
      <c r="F780" s="21"/>
      <c r="G780" s="21"/>
      <c r="I780" s="21"/>
      <c r="L780" s="21"/>
      <c r="M780" s="23"/>
    </row>
    <row r="781" spans="1:13">
      <c r="A781" s="22"/>
      <c r="E781" s="21"/>
      <c r="F781" s="21"/>
      <c r="G781" s="21"/>
      <c r="I781" s="21"/>
      <c r="L781" s="21"/>
      <c r="M781" s="23"/>
    </row>
    <row r="782" spans="1:13">
      <c r="A782" s="22"/>
      <c r="E782" s="21"/>
      <c r="F782" s="21"/>
      <c r="G782" s="21"/>
      <c r="I782" s="21"/>
      <c r="L782" s="21"/>
      <c r="M782" s="23"/>
    </row>
    <row r="783" spans="1:13">
      <c r="A783" s="22"/>
      <c r="E783" s="21"/>
      <c r="F783" s="21"/>
      <c r="G783" s="21"/>
      <c r="I783" s="21"/>
      <c r="L783" s="21"/>
      <c r="M783" s="23"/>
    </row>
    <row r="784" spans="1:13">
      <c r="A784" s="22"/>
      <c r="E784" s="21"/>
      <c r="F784" s="21"/>
      <c r="G784" s="21"/>
      <c r="I784" s="21"/>
      <c r="L784" s="21"/>
      <c r="M784" s="23"/>
    </row>
    <row r="785" spans="1:13">
      <c r="A785" s="22"/>
      <c r="E785" s="21"/>
      <c r="F785" s="21"/>
      <c r="G785" s="21"/>
      <c r="I785" s="21"/>
      <c r="L785" s="21"/>
      <c r="M785" s="23"/>
    </row>
    <row r="786" spans="1:13">
      <c r="A786" s="22"/>
      <c r="E786" s="21"/>
      <c r="F786" s="21"/>
      <c r="G786" s="21"/>
      <c r="I786" s="21"/>
      <c r="L786" s="21"/>
      <c r="M786" s="23"/>
    </row>
    <row r="787" spans="1:13">
      <c r="A787" s="22"/>
      <c r="E787" s="21"/>
      <c r="F787" s="21"/>
      <c r="G787" s="21"/>
      <c r="I787" s="21"/>
      <c r="L787" s="21"/>
      <c r="M787" s="23"/>
    </row>
    <row r="788" spans="1:13">
      <c r="A788" s="22"/>
      <c r="E788" s="21"/>
      <c r="F788" s="21"/>
      <c r="G788" s="21"/>
      <c r="I788" s="21"/>
      <c r="L788" s="21"/>
      <c r="M788" s="23"/>
    </row>
    <row r="789" spans="1:13">
      <c r="A789" s="22"/>
      <c r="E789" s="21"/>
      <c r="F789" s="21"/>
      <c r="G789" s="21"/>
      <c r="I789" s="21"/>
      <c r="L789" s="21"/>
      <c r="M789" s="23"/>
    </row>
    <row r="790" spans="1:13">
      <c r="A790" s="22"/>
      <c r="E790" s="21"/>
      <c r="F790" s="21"/>
      <c r="G790" s="21"/>
      <c r="I790" s="21"/>
      <c r="L790" s="21"/>
      <c r="M790" s="23"/>
    </row>
    <row r="791" spans="1:13">
      <c r="A791" s="22"/>
      <c r="E791" s="21"/>
      <c r="F791" s="21"/>
      <c r="G791" s="21"/>
      <c r="I791" s="21"/>
      <c r="L791" s="21"/>
      <c r="M791" s="23"/>
    </row>
    <row r="792" spans="1:13">
      <c r="A792" s="22"/>
      <c r="E792" s="21"/>
      <c r="F792" s="21"/>
      <c r="G792" s="21"/>
      <c r="I792" s="21"/>
      <c r="L792" s="21"/>
      <c r="M792" s="23"/>
    </row>
    <row r="793" spans="1:13">
      <c r="A793" s="22"/>
      <c r="E793" s="21"/>
      <c r="F793" s="21"/>
      <c r="G793" s="21"/>
      <c r="I793" s="21"/>
      <c r="L793" s="21"/>
      <c r="M793" s="23"/>
    </row>
    <row r="794" spans="1:13">
      <c r="A794" s="22"/>
      <c r="E794" s="21"/>
      <c r="F794" s="21"/>
      <c r="G794" s="21"/>
      <c r="I794" s="21"/>
      <c r="L794" s="21"/>
      <c r="M794" s="23"/>
    </row>
    <row r="795" spans="1:13">
      <c r="A795" s="22"/>
      <c r="E795" s="21"/>
      <c r="F795" s="21"/>
      <c r="G795" s="21"/>
      <c r="I795" s="21"/>
      <c r="L795" s="21"/>
      <c r="M795" s="23"/>
    </row>
    <row r="796" spans="1:13">
      <c r="A796" s="22"/>
      <c r="E796" s="21"/>
      <c r="F796" s="21"/>
      <c r="G796" s="21"/>
      <c r="I796" s="21"/>
      <c r="L796" s="21"/>
      <c r="M796" s="23"/>
    </row>
    <row r="797" spans="1:13">
      <c r="A797" s="22"/>
      <c r="E797" s="21"/>
      <c r="F797" s="21"/>
      <c r="G797" s="21"/>
      <c r="I797" s="21"/>
      <c r="L797" s="21"/>
      <c r="M797" s="23"/>
    </row>
    <row r="798" spans="1:13">
      <c r="A798" s="22"/>
      <c r="E798" s="21"/>
      <c r="F798" s="21"/>
      <c r="G798" s="21"/>
      <c r="I798" s="21"/>
      <c r="L798" s="21"/>
      <c r="M798" s="23"/>
    </row>
    <row r="799" spans="1:13">
      <c r="A799" s="22"/>
      <c r="E799" s="21"/>
      <c r="F799" s="21"/>
      <c r="G799" s="21"/>
      <c r="I799" s="21"/>
      <c r="L799" s="21"/>
      <c r="M799" s="23"/>
    </row>
    <row r="800" spans="1:13">
      <c r="A800" s="22"/>
      <c r="E800" s="21"/>
      <c r="F800" s="21"/>
      <c r="G800" s="21"/>
      <c r="I800" s="21"/>
      <c r="L800" s="21"/>
      <c r="M800" s="23"/>
    </row>
    <row r="801" spans="1:13">
      <c r="A801" s="22"/>
      <c r="E801" s="21"/>
      <c r="F801" s="21"/>
      <c r="G801" s="21"/>
      <c r="I801" s="21"/>
      <c r="L801" s="21"/>
      <c r="M801" s="23"/>
    </row>
    <row r="802" spans="1:13">
      <c r="A802" s="22"/>
      <c r="E802" s="21"/>
      <c r="F802" s="21"/>
      <c r="G802" s="21"/>
      <c r="I802" s="21"/>
      <c r="L802" s="21"/>
      <c r="M802" s="23"/>
    </row>
    <row r="803" spans="1:13">
      <c r="A803" s="22"/>
      <c r="E803" s="21"/>
      <c r="F803" s="21"/>
      <c r="G803" s="21"/>
      <c r="I803" s="21"/>
      <c r="L803" s="21"/>
      <c r="M803" s="23"/>
    </row>
    <row r="804" spans="1:13">
      <c r="A804" s="22"/>
      <c r="E804" s="21"/>
      <c r="F804" s="21"/>
      <c r="G804" s="21"/>
      <c r="I804" s="21"/>
      <c r="L804" s="21"/>
      <c r="M804" s="23"/>
    </row>
    <row r="805" spans="1:13">
      <c r="A805" s="22"/>
      <c r="E805" s="21"/>
      <c r="F805" s="21"/>
      <c r="G805" s="21"/>
      <c r="I805" s="21"/>
      <c r="L805" s="21"/>
      <c r="M805" s="23"/>
    </row>
    <row r="806" spans="1:13">
      <c r="A806" s="22"/>
      <c r="E806" s="21"/>
      <c r="F806" s="21"/>
      <c r="G806" s="21"/>
      <c r="I806" s="21"/>
      <c r="L806" s="21"/>
      <c r="M806" s="23"/>
    </row>
    <row r="807" spans="1:13">
      <c r="A807" s="22"/>
      <c r="E807" s="21"/>
      <c r="F807" s="21"/>
      <c r="G807" s="21"/>
      <c r="I807" s="21"/>
      <c r="L807" s="21"/>
      <c r="M807" s="23"/>
    </row>
    <row r="808" spans="1:13">
      <c r="A808" s="22"/>
      <c r="E808" s="21"/>
      <c r="F808" s="21"/>
      <c r="G808" s="21"/>
      <c r="I808" s="21"/>
      <c r="L808" s="21"/>
      <c r="M808" s="23"/>
    </row>
    <row r="809" spans="1:13">
      <c r="A809" s="22"/>
      <c r="E809" s="21"/>
      <c r="F809" s="21"/>
      <c r="G809" s="21"/>
      <c r="I809" s="21"/>
      <c r="L809" s="21"/>
      <c r="M809" s="23"/>
    </row>
    <row r="810" spans="1:13">
      <c r="A810" s="22"/>
      <c r="E810" s="21"/>
      <c r="F810" s="21"/>
      <c r="G810" s="21"/>
      <c r="I810" s="21"/>
      <c r="L810" s="21"/>
      <c r="M810" s="23"/>
    </row>
    <row r="811" spans="1:13">
      <c r="A811" s="22"/>
      <c r="E811" s="21"/>
      <c r="F811" s="21"/>
      <c r="G811" s="21"/>
      <c r="I811" s="21"/>
      <c r="L811" s="21"/>
      <c r="M811" s="23"/>
    </row>
    <row r="812" spans="1:13">
      <c r="A812" s="22"/>
      <c r="E812" s="21"/>
      <c r="F812" s="21"/>
      <c r="G812" s="21"/>
      <c r="I812" s="21"/>
      <c r="L812" s="21"/>
      <c r="M812" s="23"/>
    </row>
    <row r="813" spans="1:13">
      <c r="A813" s="22"/>
      <c r="E813" s="21"/>
      <c r="F813" s="21"/>
      <c r="G813" s="21"/>
      <c r="I813" s="21"/>
      <c r="L813" s="21"/>
      <c r="M813" s="23"/>
    </row>
    <row r="814" spans="1:13">
      <c r="A814" s="22"/>
      <c r="E814" s="21"/>
      <c r="F814" s="21"/>
      <c r="G814" s="21"/>
      <c r="I814" s="21"/>
      <c r="L814" s="21"/>
      <c r="M814" s="23"/>
    </row>
    <row r="815" spans="1:13">
      <c r="A815" s="22"/>
      <c r="E815" s="21"/>
      <c r="F815" s="21"/>
      <c r="G815" s="21"/>
      <c r="I815" s="21"/>
      <c r="L815" s="21"/>
      <c r="M815" s="23"/>
    </row>
    <row r="816" spans="1:13">
      <c r="A816" s="22"/>
      <c r="E816" s="21"/>
      <c r="F816" s="21"/>
      <c r="G816" s="21"/>
      <c r="I816" s="21"/>
      <c r="L816" s="21"/>
      <c r="M816" s="23"/>
    </row>
    <row r="817" spans="1:13">
      <c r="A817" s="22"/>
      <c r="E817" s="21"/>
      <c r="F817" s="21"/>
      <c r="G817" s="21"/>
      <c r="I817" s="21"/>
      <c r="L817" s="21"/>
      <c r="M817" s="23"/>
    </row>
    <row r="818" spans="1:13">
      <c r="A818" s="22"/>
      <c r="E818" s="21"/>
      <c r="F818" s="21"/>
      <c r="G818" s="21"/>
      <c r="I818" s="21"/>
      <c r="L818" s="21"/>
      <c r="M818" s="23"/>
    </row>
    <row r="819" spans="1:13">
      <c r="A819" s="22"/>
      <c r="E819" s="21"/>
      <c r="F819" s="21"/>
      <c r="G819" s="21"/>
      <c r="I819" s="21"/>
      <c r="L819" s="21"/>
      <c r="M819" s="23"/>
    </row>
    <row r="820" spans="1:13">
      <c r="A820" s="22"/>
      <c r="E820" s="21"/>
      <c r="F820" s="21"/>
      <c r="G820" s="21"/>
      <c r="I820" s="21"/>
      <c r="L820" s="21"/>
      <c r="M820" s="23"/>
    </row>
    <row r="821" spans="1:13">
      <c r="A821" s="22"/>
      <c r="E821" s="21"/>
      <c r="F821" s="21"/>
      <c r="G821" s="21"/>
      <c r="I821" s="21"/>
      <c r="L821" s="21"/>
      <c r="M821" s="23"/>
    </row>
    <row r="822" spans="1:13">
      <c r="A822" s="22"/>
      <c r="E822" s="21"/>
      <c r="F822" s="21"/>
      <c r="G822" s="21"/>
      <c r="I822" s="21"/>
      <c r="L822" s="21"/>
      <c r="M822" s="23"/>
    </row>
    <row r="823" spans="1:13">
      <c r="A823" s="22"/>
      <c r="E823" s="21"/>
      <c r="F823" s="21"/>
      <c r="G823" s="21"/>
      <c r="I823" s="21"/>
      <c r="L823" s="21"/>
      <c r="M823" s="23"/>
    </row>
    <row r="824" spans="1:13">
      <c r="A824" s="22"/>
      <c r="E824" s="21"/>
      <c r="F824" s="21"/>
      <c r="G824" s="21"/>
      <c r="I824" s="21"/>
      <c r="L824" s="21"/>
      <c r="M824" s="23"/>
    </row>
    <row r="825" spans="1:13">
      <c r="A825" s="22"/>
      <c r="E825" s="21"/>
      <c r="F825" s="21"/>
      <c r="G825" s="21"/>
      <c r="I825" s="21"/>
      <c r="L825" s="21"/>
      <c r="M825" s="23"/>
    </row>
    <row r="826" spans="1:13">
      <c r="A826" s="22"/>
      <c r="E826" s="21"/>
      <c r="F826" s="21"/>
      <c r="G826" s="21"/>
      <c r="I826" s="21"/>
      <c r="L826" s="21"/>
      <c r="M826" s="23"/>
    </row>
    <row r="827" spans="1:13">
      <c r="A827" s="22"/>
      <c r="E827" s="21"/>
      <c r="F827" s="21"/>
      <c r="G827" s="21"/>
      <c r="I827" s="21"/>
      <c r="L827" s="21"/>
      <c r="M827" s="23"/>
    </row>
    <row r="828" spans="1:13">
      <c r="A828" s="22"/>
      <c r="E828" s="21"/>
      <c r="F828" s="21"/>
      <c r="G828" s="21"/>
      <c r="I828" s="21"/>
      <c r="L828" s="21"/>
      <c r="M828" s="23"/>
    </row>
    <row r="829" spans="1:13">
      <c r="A829" s="22"/>
      <c r="E829" s="21"/>
      <c r="F829" s="21"/>
      <c r="G829" s="21"/>
      <c r="I829" s="21"/>
      <c r="L829" s="21"/>
      <c r="M829" s="23"/>
    </row>
    <row r="830" spans="1:13">
      <c r="A830" s="22"/>
      <c r="E830" s="21"/>
      <c r="F830" s="21"/>
      <c r="G830" s="21"/>
      <c r="I830" s="21"/>
      <c r="L830" s="21"/>
      <c r="M830" s="23"/>
    </row>
    <row r="831" spans="1:13">
      <c r="A831" s="22"/>
      <c r="E831" s="21"/>
      <c r="F831" s="21"/>
      <c r="G831" s="21"/>
      <c r="I831" s="21"/>
      <c r="L831" s="21"/>
      <c r="M831" s="23"/>
    </row>
    <row r="832" spans="1:13">
      <c r="A832" s="22"/>
      <c r="E832" s="21"/>
      <c r="F832" s="21"/>
      <c r="G832" s="21"/>
      <c r="I832" s="21"/>
      <c r="L832" s="21"/>
      <c r="M832" s="23"/>
    </row>
    <row r="833" spans="1:13">
      <c r="A833" s="22"/>
      <c r="E833" s="21"/>
      <c r="F833" s="21"/>
      <c r="G833" s="21"/>
      <c r="I833" s="21"/>
      <c r="L833" s="21"/>
      <c r="M833" s="23"/>
    </row>
    <row r="834" spans="1:13">
      <c r="A834" s="22"/>
      <c r="E834" s="21"/>
      <c r="F834" s="21"/>
      <c r="G834" s="21"/>
      <c r="I834" s="21"/>
      <c r="L834" s="21"/>
      <c r="M834" s="23"/>
    </row>
    <row r="835" spans="1:13">
      <c r="A835" s="22"/>
      <c r="E835" s="21"/>
      <c r="F835" s="21"/>
      <c r="G835" s="21"/>
      <c r="I835" s="21"/>
      <c r="L835" s="21"/>
      <c r="M835" s="23"/>
    </row>
    <row r="836" spans="1:13">
      <c r="A836" s="22"/>
      <c r="E836" s="21"/>
      <c r="F836" s="21"/>
      <c r="G836" s="21"/>
      <c r="I836" s="21"/>
      <c r="L836" s="21"/>
      <c r="M836" s="23"/>
    </row>
    <row r="837" spans="1:13">
      <c r="A837" s="22"/>
      <c r="E837" s="21"/>
      <c r="F837" s="21"/>
      <c r="G837" s="21"/>
      <c r="I837" s="21"/>
      <c r="L837" s="21"/>
      <c r="M837" s="23"/>
    </row>
    <row r="838" spans="1:13">
      <c r="A838" s="22"/>
      <c r="E838" s="21"/>
      <c r="F838" s="21"/>
      <c r="G838" s="21"/>
      <c r="I838" s="21"/>
      <c r="L838" s="21"/>
      <c r="M838" s="23"/>
    </row>
    <row r="839" spans="1:13">
      <c r="A839" s="22"/>
      <c r="E839" s="21"/>
      <c r="F839" s="21"/>
      <c r="G839" s="21"/>
      <c r="I839" s="21"/>
      <c r="L839" s="21"/>
      <c r="M839" s="23"/>
    </row>
    <row r="840" spans="1:13">
      <c r="A840" s="22"/>
      <c r="E840" s="21"/>
      <c r="F840" s="21"/>
      <c r="G840" s="21"/>
      <c r="I840" s="21"/>
      <c r="L840" s="21"/>
      <c r="M840" s="23"/>
    </row>
    <row r="841" spans="1:13">
      <c r="A841" s="22"/>
      <c r="E841" s="21"/>
      <c r="F841" s="21"/>
      <c r="G841" s="21"/>
      <c r="I841" s="21"/>
      <c r="L841" s="21"/>
      <c r="M841" s="23"/>
    </row>
    <row r="842" spans="1:13">
      <c r="A842" s="22"/>
      <c r="E842" s="21"/>
      <c r="F842" s="21"/>
      <c r="G842" s="21"/>
      <c r="I842" s="21"/>
      <c r="L842" s="21"/>
      <c r="M842" s="23"/>
    </row>
    <row r="843" spans="1:13">
      <c r="A843" s="22"/>
      <c r="E843" s="21"/>
      <c r="F843" s="21"/>
      <c r="G843" s="21"/>
      <c r="I843" s="21"/>
      <c r="L843" s="21"/>
      <c r="M843" s="23"/>
    </row>
    <row r="844" spans="1:13">
      <c r="A844" s="22"/>
      <c r="E844" s="21"/>
      <c r="F844" s="21"/>
      <c r="G844" s="21"/>
      <c r="I844" s="21"/>
      <c r="L844" s="21"/>
      <c r="M844" s="23"/>
    </row>
    <row r="845" spans="1:13">
      <c r="A845" s="22"/>
      <c r="E845" s="21"/>
      <c r="F845" s="21"/>
      <c r="G845" s="21"/>
      <c r="I845" s="21"/>
      <c r="L845" s="21"/>
      <c r="M845" s="23"/>
    </row>
    <row r="846" spans="1:13">
      <c r="A846" s="22"/>
      <c r="E846" s="21"/>
      <c r="F846" s="21"/>
      <c r="G846" s="21"/>
      <c r="I846" s="21"/>
      <c r="L846" s="21"/>
      <c r="M846" s="23"/>
    </row>
    <row r="847" spans="1:13">
      <c r="A847" s="22"/>
      <c r="E847" s="21"/>
      <c r="F847" s="21"/>
      <c r="G847" s="21"/>
      <c r="I847" s="21"/>
      <c r="L847" s="21"/>
      <c r="M847" s="23"/>
    </row>
    <row r="848" spans="1:13">
      <c r="A848" s="22"/>
      <c r="E848" s="21"/>
      <c r="F848" s="21"/>
      <c r="G848" s="21"/>
      <c r="I848" s="21"/>
      <c r="L848" s="21"/>
      <c r="M848" s="23"/>
    </row>
    <row r="849" spans="1:13">
      <c r="A849" s="22"/>
      <c r="E849" s="21"/>
      <c r="F849" s="21"/>
      <c r="G849" s="21"/>
      <c r="I849" s="21"/>
      <c r="L849" s="21"/>
      <c r="M849" s="23"/>
    </row>
    <row r="850" spans="1:13">
      <c r="A850" s="22"/>
      <c r="E850" s="21"/>
      <c r="F850" s="21"/>
      <c r="G850" s="21"/>
      <c r="I850" s="21"/>
      <c r="L850" s="21"/>
      <c r="M850" s="23"/>
    </row>
    <row r="851" spans="1:13">
      <c r="A851" s="22"/>
      <c r="E851" s="21"/>
      <c r="F851" s="21"/>
      <c r="G851" s="21"/>
      <c r="I851" s="21"/>
      <c r="L851" s="21"/>
      <c r="M851" s="23"/>
    </row>
    <row r="852" spans="1:13">
      <c r="A852" s="22"/>
      <c r="E852" s="21"/>
      <c r="F852" s="21"/>
      <c r="G852" s="21"/>
      <c r="I852" s="21"/>
      <c r="L852" s="21"/>
      <c r="M852" s="23"/>
    </row>
    <row r="853" spans="1:13">
      <c r="A853" s="22"/>
      <c r="E853" s="21"/>
      <c r="F853" s="21"/>
      <c r="G853" s="21"/>
      <c r="I853" s="21"/>
      <c r="L853" s="21"/>
      <c r="M853" s="23"/>
    </row>
    <row r="854" spans="1:13">
      <c r="A854" s="22"/>
      <c r="E854" s="21"/>
      <c r="F854" s="21"/>
      <c r="G854" s="21"/>
      <c r="I854" s="21"/>
      <c r="L854" s="21"/>
      <c r="M854" s="23"/>
    </row>
    <row r="855" spans="1:13">
      <c r="A855" s="22"/>
      <c r="E855" s="21"/>
      <c r="F855" s="21"/>
      <c r="G855" s="21"/>
      <c r="I855" s="21"/>
      <c r="L855" s="21"/>
      <c r="M855" s="23"/>
    </row>
    <row r="856" spans="1:13">
      <c r="A856" s="22"/>
      <c r="E856" s="21"/>
      <c r="F856" s="21"/>
      <c r="G856" s="21"/>
      <c r="I856" s="21"/>
      <c r="L856" s="21"/>
      <c r="M856" s="23"/>
    </row>
    <row r="857" spans="1:13">
      <c r="A857" s="22"/>
      <c r="E857" s="21"/>
      <c r="F857" s="21"/>
      <c r="G857" s="21"/>
      <c r="I857" s="21"/>
      <c r="L857" s="21"/>
      <c r="M857" s="23"/>
    </row>
    <row r="858" spans="1:13">
      <c r="A858" s="22"/>
      <c r="E858" s="21"/>
      <c r="F858" s="21"/>
      <c r="G858" s="21"/>
      <c r="I858" s="21"/>
      <c r="L858" s="21"/>
      <c r="M858" s="23"/>
    </row>
    <row r="859" spans="1:13">
      <c r="A859" s="22"/>
      <c r="E859" s="21"/>
      <c r="F859" s="21"/>
      <c r="G859" s="21"/>
      <c r="I859" s="21"/>
      <c r="L859" s="21"/>
      <c r="M859" s="23"/>
    </row>
    <row r="860" spans="1:13">
      <c r="A860" s="22"/>
      <c r="E860" s="21"/>
      <c r="F860" s="21"/>
      <c r="G860" s="21"/>
      <c r="I860" s="21"/>
      <c r="L860" s="21"/>
      <c r="M860" s="23"/>
    </row>
    <row r="861" spans="1:13">
      <c r="A861" s="22"/>
      <c r="E861" s="21"/>
      <c r="F861" s="21"/>
      <c r="G861" s="21"/>
      <c r="I861" s="21"/>
      <c r="L861" s="21"/>
      <c r="M861" s="23"/>
    </row>
    <row r="862" spans="1:13">
      <c r="A862" s="22"/>
      <c r="E862" s="21"/>
      <c r="F862" s="21"/>
      <c r="G862" s="21"/>
      <c r="I862" s="21"/>
      <c r="L862" s="21"/>
      <c r="M862" s="23"/>
    </row>
    <row r="863" spans="1:13">
      <c r="A863" s="22"/>
      <c r="E863" s="21"/>
      <c r="F863" s="21"/>
      <c r="G863" s="21"/>
      <c r="I863" s="21"/>
      <c r="L863" s="21"/>
      <c r="M863" s="23"/>
    </row>
    <row r="864" spans="1:13">
      <c r="A864" s="22"/>
      <c r="E864" s="21"/>
      <c r="F864" s="21"/>
      <c r="G864" s="21"/>
      <c r="I864" s="21"/>
      <c r="L864" s="21"/>
      <c r="M864" s="23"/>
    </row>
    <row r="865" spans="1:13">
      <c r="A865" s="22"/>
      <c r="E865" s="21"/>
      <c r="F865" s="21"/>
      <c r="G865" s="21"/>
      <c r="I865" s="21"/>
      <c r="L865" s="21"/>
      <c r="M865" s="23"/>
    </row>
    <row r="866" spans="1:13">
      <c r="A866" s="22"/>
      <c r="E866" s="21"/>
      <c r="F866" s="21"/>
      <c r="G866" s="21"/>
      <c r="I866" s="21"/>
      <c r="L866" s="21"/>
      <c r="M866" s="23"/>
    </row>
    <row r="867" spans="1:13">
      <c r="A867" s="22"/>
      <c r="E867" s="21"/>
      <c r="F867" s="21"/>
      <c r="G867" s="21"/>
      <c r="I867" s="21"/>
      <c r="L867" s="21"/>
      <c r="M867" s="23"/>
    </row>
    <row r="868" spans="1:13">
      <c r="A868" s="22"/>
      <c r="E868" s="21"/>
      <c r="F868" s="21"/>
      <c r="G868" s="21"/>
      <c r="I868" s="21"/>
      <c r="L868" s="21"/>
      <c r="M868" s="23"/>
    </row>
    <row r="869" spans="1:13">
      <c r="A869" s="22"/>
      <c r="E869" s="21"/>
      <c r="F869" s="21"/>
      <c r="G869" s="21"/>
      <c r="I869" s="21"/>
      <c r="L869" s="21"/>
      <c r="M869" s="23"/>
    </row>
    <row r="870" spans="1:13">
      <c r="A870" s="22"/>
      <c r="E870" s="21"/>
      <c r="F870" s="21"/>
      <c r="G870" s="21"/>
      <c r="I870" s="21"/>
      <c r="L870" s="21"/>
      <c r="M870" s="23"/>
    </row>
    <row r="871" spans="1:13">
      <c r="A871" s="22"/>
      <c r="E871" s="21"/>
      <c r="F871" s="21"/>
      <c r="G871" s="21"/>
      <c r="I871" s="21"/>
      <c r="L871" s="21"/>
      <c r="M871" s="23"/>
    </row>
    <row r="872" spans="1:13">
      <c r="A872" s="22"/>
      <c r="E872" s="21"/>
      <c r="F872" s="21"/>
      <c r="G872" s="21"/>
      <c r="I872" s="21"/>
      <c r="L872" s="21"/>
      <c r="M872" s="23"/>
    </row>
    <row r="873" spans="1:13">
      <c r="A873" s="22"/>
      <c r="E873" s="21"/>
      <c r="F873" s="21"/>
      <c r="G873" s="21"/>
      <c r="I873" s="21"/>
      <c r="L873" s="21"/>
      <c r="M873" s="23"/>
    </row>
    <row r="874" spans="1:13">
      <c r="A874" s="22"/>
      <c r="E874" s="21"/>
      <c r="F874" s="21"/>
      <c r="G874" s="21"/>
      <c r="I874" s="21"/>
      <c r="L874" s="21"/>
      <c r="M874" s="23"/>
    </row>
    <row r="875" spans="1:13">
      <c r="A875" s="22"/>
      <c r="E875" s="21"/>
      <c r="F875" s="21"/>
      <c r="G875" s="21"/>
      <c r="I875" s="21"/>
      <c r="L875" s="21"/>
      <c r="M875" s="23"/>
    </row>
    <row r="876" spans="1:13">
      <c r="A876" s="22"/>
      <c r="E876" s="21"/>
      <c r="F876" s="21"/>
      <c r="G876" s="21"/>
      <c r="I876" s="21"/>
      <c r="L876" s="21"/>
      <c r="M876" s="23"/>
    </row>
    <row r="877" spans="1:13">
      <c r="A877" s="22"/>
      <c r="E877" s="21"/>
      <c r="F877" s="21"/>
      <c r="G877" s="21"/>
      <c r="I877" s="21"/>
      <c r="L877" s="21"/>
      <c r="M877" s="23"/>
    </row>
    <row r="878" spans="1:13">
      <c r="A878" s="22"/>
      <c r="E878" s="21"/>
      <c r="F878" s="21"/>
      <c r="G878" s="21"/>
      <c r="I878" s="21"/>
      <c r="L878" s="21"/>
      <c r="M878" s="23"/>
    </row>
    <row r="879" spans="1:13">
      <c r="A879" s="22"/>
      <c r="E879" s="21"/>
      <c r="F879" s="21"/>
      <c r="G879" s="21"/>
      <c r="I879" s="21"/>
      <c r="L879" s="21"/>
      <c r="M879" s="23"/>
    </row>
    <row r="880" spans="1:13">
      <c r="A880" s="22"/>
      <c r="E880" s="21"/>
      <c r="F880" s="21"/>
      <c r="G880" s="21"/>
      <c r="I880" s="21"/>
      <c r="L880" s="21"/>
      <c r="M880" s="23"/>
    </row>
    <row r="881" spans="1:13">
      <c r="A881" s="22"/>
      <c r="E881" s="21"/>
      <c r="F881" s="21"/>
      <c r="G881" s="21"/>
      <c r="I881" s="21"/>
      <c r="L881" s="21"/>
      <c r="M881" s="23"/>
    </row>
    <row r="882" spans="1:13">
      <c r="A882" s="22"/>
      <c r="E882" s="21"/>
      <c r="F882" s="21"/>
      <c r="G882" s="21"/>
      <c r="I882" s="21"/>
      <c r="L882" s="21"/>
      <c r="M882" s="23"/>
    </row>
    <row r="883" spans="1:13">
      <c r="A883" s="22"/>
      <c r="E883" s="21"/>
      <c r="F883" s="21"/>
      <c r="G883" s="21"/>
      <c r="I883" s="21"/>
      <c r="L883" s="21"/>
      <c r="M883" s="23"/>
    </row>
    <row r="884" spans="1:13">
      <c r="A884" s="22"/>
      <c r="E884" s="21"/>
      <c r="F884" s="21"/>
      <c r="G884" s="21"/>
      <c r="I884" s="21"/>
      <c r="L884" s="21"/>
      <c r="M884" s="23"/>
    </row>
    <row r="885" spans="1:13">
      <c r="A885" s="22"/>
      <c r="E885" s="21"/>
      <c r="F885" s="21"/>
      <c r="G885" s="21"/>
      <c r="I885" s="21"/>
      <c r="L885" s="21"/>
      <c r="M885" s="23"/>
    </row>
    <row r="886" spans="1:13">
      <c r="A886" s="22"/>
      <c r="E886" s="21"/>
      <c r="F886" s="21"/>
      <c r="G886" s="21"/>
      <c r="I886" s="21"/>
      <c r="L886" s="21"/>
      <c r="M886" s="23"/>
    </row>
    <row r="887" spans="1:13">
      <c r="A887" s="22"/>
      <c r="E887" s="21"/>
      <c r="F887" s="21"/>
      <c r="G887" s="21"/>
      <c r="I887" s="21"/>
      <c r="L887" s="21"/>
      <c r="M887" s="23"/>
    </row>
    <row r="888" spans="1:13">
      <c r="A888" s="22"/>
      <c r="E888" s="21"/>
      <c r="F888" s="21"/>
      <c r="G888" s="21"/>
      <c r="I888" s="21"/>
      <c r="L888" s="21"/>
      <c r="M888" s="23"/>
    </row>
    <row r="889" spans="1:13">
      <c r="A889" s="22"/>
      <c r="E889" s="21"/>
      <c r="F889" s="21"/>
      <c r="G889" s="21"/>
      <c r="I889" s="21"/>
      <c r="L889" s="21"/>
      <c r="M889" s="23"/>
    </row>
    <row r="890" spans="1:13">
      <c r="A890" s="22"/>
      <c r="E890" s="21"/>
      <c r="F890" s="21"/>
      <c r="G890" s="21"/>
      <c r="I890" s="21"/>
      <c r="L890" s="21"/>
      <c r="M890" s="23"/>
    </row>
    <row r="891" spans="1:13">
      <c r="A891" s="22"/>
      <c r="E891" s="21"/>
      <c r="F891" s="21"/>
      <c r="G891" s="21"/>
      <c r="I891" s="21"/>
      <c r="L891" s="21"/>
      <c r="M891" s="23"/>
    </row>
    <row r="892" spans="1:13">
      <c r="A892" s="22"/>
      <c r="E892" s="21"/>
      <c r="F892" s="21"/>
      <c r="G892" s="21"/>
      <c r="I892" s="21"/>
      <c r="L892" s="21"/>
      <c r="M892" s="23"/>
    </row>
    <row r="893" spans="1:13">
      <c r="A893" s="22"/>
      <c r="E893" s="21"/>
      <c r="F893" s="21"/>
      <c r="G893" s="21"/>
      <c r="I893" s="21"/>
      <c r="L893" s="21"/>
      <c r="M893" s="23"/>
    </row>
    <row r="894" spans="1:13">
      <c r="A894" s="22"/>
      <c r="E894" s="21"/>
      <c r="F894" s="21"/>
      <c r="G894" s="21"/>
      <c r="I894" s="21"/>
      <c r="L894" s="21"/>
      <c r="M894" s="23"/>
    </row>
    <row r="895" spans="1:13">
      <c r="A895" s="22"/>
      <c r="E895" s="21"/>
      <c r="F895" s="21"/>
      <c r="G895" s="21"/>
      <c r="I895" s="21"/>
      <c r="L895" s="21"/>
      <c r="M895" s="23"/>
    </row>
    <row r="896" spans="1:13">
      <c r="A896" s="22"/>
      <c r="E896" s="21"/>
      <c r="F896" s="21"/>
      <c r="G896" s="21"/>
      <c r="I896" s="21"/>
      <c r="L896" s="21"/>
      <c r="M896" s="23"/>
    </row>
    <row r="897" spans="1:13">
      <c r="A897" s="22"/>
      <c r="E897" s="21"/>
      <c r="F897" s="21"/>
      <c r="G897" s="21"/>
      <c r="I897" s="21"/>
      <c r="L897" s="21"/>
      <c r="M897" s="23"/>
    </row>
    <row r="898" spans="1:13">
      <c r="A898" s="22"/>
      <c r="E898" s="21"/>
      <c r="F898" s="21"/>
      <c r="G898" s="21"/>
      <c r="I898" s="21"/>
      <c r="L898" s="21"/>
      <c r="M898" s="23"/>
    </row>
    <row r="899" spans="1:13">
      <c r="A899" s="22"/>
      <c r="E899" s="21"/>
      <c r="F899" s="21"/>
      <c r="G899" s="21"/>
      <c r="I899" s="21"/>
      <c r="L899" s="21"/>
      <c r="M899" s="23"/>
    </row>
    <row r="900" spans="1:13">
      <c r="A900" s="22"/>
      <c r="E900" s="21"/>
      <c r="F900" s="21"/>
      <c r="G900" s="21"/>
      <c r="I900" s="21"/>
      <c r="L900" s="21"/>
      <c r="M900" s="23"/>
    </row>
    <row r="901" spans="1:13">
      <c r="A901" s="22"/>
      <c r="E901" s="21"/>
      <c r="F901" s="21"/>
      <c r="G901" s="21"/>
      <c r="I901" s="21"/>
      <c r="L901" s="21"/>
      <c r="M901" s="23"/>
    </row>
    <row r="902" spans="1:13">
      <c r="A902" s="22"/>
      <c r="E902" s="21"/>
      <c r="F902" s="21"/>
      <c r="G902" s="21"/>
      <c r="I902" s="21"/>
      <c r="L902" s="21"/>
      <c r="M902" s="23"/>
    </row>
    <row r="903" spans="1:13">
      <c r="A903" s="22"/>
      <c r="E903" s="21"/>
      <c r="F903" s="21"/>
      <c r="G903" s="21"/>
      <c r="I903" s="21"/>
      <c r="L903" s="21"/>
      <c r="M903" s="23"/>
    </row>
    <row r="904" spans="1:13">
      <c r="A904" s="22"/>
      <c r="E904" s="21"/>
      <c r="F904" s="21"/>
      <c r="G904" s="21"/>
      <c r="I904" s="21"/>
      <c r="L904" s="21"/>
      <c r="M904" s="23"/>
    </row>
    <row r="905" spans="1:13">
      <c r="A905" s="22"/>
      <c r="E905" s="21"/>
      <c r="F905" s="21"/>
      <c r="G905" s="21"/>
      <c r="I905" s="21"/>
      <c r="L905" s="21"/>
      <c r="M905" s="23"/>
    </row>
    <row r="906" spans="1:13">
      <c r="A906" s="22"/>
      <c r="E906" s="21"/>
      <c r="F906" s="21"/>
      <c r="G906" s="21"/>
      <c r="I906" s="21"/>
      <c r="L906" s="21"/>
      <c r="M906" s="23"/>
    </row>
    <row r="907" spans="1:13">
      <c r="A907" s="22"/>
      <c r="E907" s="21"/>
      <c r="F907" s="21"/>
      <c r="G907" s="21"/>
      <c r="I907" s="21"/>
      <c r="L907" s="21"/>
      <c r="M907" s="23"/>
    </row>
    <row r="908" spans="1:13">
      <c r="A908" s="22"/>
      <c r="E908" s="21"/>
      <c r="F908" s="21"/>
      <c r="G908" s="21"/>
      <c r="I908" s="21"/>
      <c r="L908" s="21"/>
      <c r="M908" s="23"/>
    </row>
    <row r="909" spans="1:13">
      <c r="A909" s="22"/>
      <c r="E909" s="21"/>
      <c r="F909" s="21"/>
      <c r="G909" s="21"/>
      <c r="I909" s="21"/>
      <c r="L909" s="21"/>
      <c r="M909" s="23"/>
    </row>
    <row r="910" spans="1:13">
      <c r="A910" s="22"/>
      <c r="E910" s="21"/>
      <c r="F910" s="21"/>
      <c r="G910" s="21"/>
      <c r="I910" s="21"/>
      <c r="L910" s="21"/>
      <c r="M910" s="23"/>
    </row>
    <row r="911" spans="1:13">
      <c r="A911" s="22"/>
      <c r="E911" s="21"/>
      <c r="F911" s="21"/>
      <c r="G911" s="21"/>
      <c r="I911" s="21"/>
      <c r="L911" s="21"/>
      <c r="M911" s="23"/>
    </row>
    <row r="912" spans="1:13">
      <c r="A912" s="22"/>
      <c r="E912" s="21"/>
      <c r="F912" s="21"/>
      <c r="G912" s="21"/>
      <c r="I912" s="21"/>
      <c r="L912" s="21"/>
      <c r="M912" s="23"/>
    </row>
    <row r="913" spans="1:13">
      <c r="A913" s="22"/>
      <c r="E913" s="21"/>
      <c r="F913" s="21"/>
      <c r="G913" s="21"/>
      <c r="I913" s="21"/>
      <c r="L913" s="21"/>
      <c r="M913" s="23"/>
    </row>
    <row r="914" spans="1:13">
      <c r="A914" s="22"/>
      <c r="E914" s="21"/>
      <c r="F914" s="21"/>
      <c r="G914" s="21"/>
      <c r="I914" s="21"/>
      <c r="L914" s="21"/>
      <c r="M914" s="23"/>
    </row>
    <row r="915" spans="1:13">
      <c r="A915" s="22"/>
      <c r="E915" s="21"/>
      <c r="F915" s="21"/>
      <c r="G915" s="21"/>
      <c r="I915" s="21"/>
      <c r="L915" s="21"/>
      <c r="M915" s="23"/>
    </row>
    <row r="916" spans="1:13">
      <c r="A916" s="22"/>
      <c r="E916" s="21"/>
      <c r="F916" s="21"/>
      <c r="G916" s="21"/>
      <c r="I916" s="21"/>
      <c r="L916" s="21"/>
      <c r="M916" s="23"/>
    </row>
    <row r="917" spans="1:13">
      <c r="A917" s="22"/>
      <c r="E917" s="21"/>
      <c r="F917" s="21"/>
      <c r="G917" s="21"/>
      <c r="I917" s="21"/>
      <c r="L917" s="21"/>
      <c r="M917" s="23"/>
    </row>
    <row r="918" spans="1:13">
      <c r="A918" s="22"/>
      <c r="E918" s="21"/>
      <c r="F918" s="21"/>
      <c r="G918" s="21"/>
      <c r="I918" s="21"/>
      <c r="L918" s="21"/>
      <c r="M918" s="23"/>
    </row>
    <row r="919" spans="1:13">
      <c r="A919" s="22"/>
      <c r="E919" s="21"/>
      <c r="F919" s="21"/>
      <c r="G919" s="21"/>
      <c r="I919" s="21"/>
      <c r="L919" s="21"/>
      <c r="M919" s="23"/>
    </row>
    <row r="920" spans="1:13">
      <c r="A920" s="22"/>
      <c r="E920" s="21"/>
      <c r="F920" s="21"/>
      <c r="G920" s="21"/>
      <c r="I920" s="21"/>
      <c r="L920" s="21"/>
      <c r="M920" s="23"/>
    </row>
    <row r="921" spans="1:13">
      <c r="A921" s="22"/>
      <c r="E921" s="21"/>
      <c r="F921" s="21"/>
      <c r="G921" s="21"/>
      <c r="I921" s="21"/>
      <c r="L921" s="21"/>
      <c r="M921" s="23"/>
    </row>
    <row r="922" spans="1:13">
      <c r="A922" s="22"/>
      <c r="E922" s="21"/>
      <c r="F922" s="21"/>
      <c r="G922" s="21"/>
      <c r="I922" s="21"/>
      <c r="L922" s="21"/>
      <c r="M922" s="23"/>
    </row>
    <row r="923" spans="1:13">
      <c r="A923" s="22"/>
      <c r="E923" s="21"/>
      <c r="F923" s="21"/>
      <c r="G923" s="21"/>
      <c r="I923" s="21"/>
      <c r="L923" s="21"/>
      <c r="M923" s="23"/>
    </row>
    <row r="924" spans="1:13">
      <c r="A924" s="22"/>
      <c r="E924" s="21"/>
      <c r="F924" s="21"/>
      <c r="G924" s="21"/>
      <c r="I924" s="21"/>
      <c r="L924" s="21"/>
      <c r="M924" s="23"/>
    </row>
    <row r="925" spans="1:13">
      <c r="A925" s="22"/>
      <c r="E925" s="21"/>
      <c r="F925" s="21"/>
      <c r="G925" s="21"/>
      <c r="I925" s="21"/>
      <c r="L925" s="21"/>
      <c r="M925" s="23"/>
    </row>
    <row r="926" spans="1:13">
      <c r="A926" s="22"/>
      <c r="E926" s="21"/>
      <c r="F926" s="21"/>
      <c r="G926" s="21"/>
      <c r="I926" s="21"/>
      <c r="L926" s="21"/>
      <c r="M926" s="23"/>
    </row>
    <row r="927" spans="1:13">
      <c r="A927" s="22"/>
      <c r="E927" s="21"/>
      <c r="F927" s="21"/>
      <c r="G927" s="21"/>
      <c r="I927" s="21"/>
      <c r="L927" s="21"/>
      <c r="M927" s="23"/>
    </row>
    <row r="928" spans="1:13">
      <c r="A928" s="22"/>
      <c r="E928" s="21"/>
      <c r="F928" s="21"/>
      <c r="G928" s="21"/>
      <c r="I928" s="21"/>
      <c r="L928" s="21"/>
      <c r="M928" s="23"/>
    </row>
    <row r="929" spans="1:13">
      <c r="A929" s="22"/>
      <c r="E929" s="21"/>
      <c r="F929" s="21"/>
      <c r="G929" s="21"/>
      <c r="I929" s="21"/>
      <c r="L929" s="21"/>
      <c r="M929" s="23"/>
    </row>
    <row r="930" spans="1:13">
      <c r="A930" s="22"/>
      <c r="E930" s="21"/>
      <c r="F930" s="21"/>
      <c r="G930" s="21"/>
      <c r="I930" s="21"/>
      <c r="L930" s="21"/>
      <c r="M930" s="23"/>
    </row>
    <row r="931" spans="1:13">
      <c r="A931" s="22"/>
      <c r="E931" s="21"/>
      <c r="F931" s="21"/>
      <c r="G931" s="21"/>
      <c r="I931" s="21"/>
      <c r="L931" s="21"/>
      <c r="M931" s="23"/>
    </row>
    <row r="932" spans="1:13">
      <c r="A932" s="22"/>
      <c r="E932" s="21"/>
      <c r="F932" s="21"/>
      <c r="G932" s="21"/>
      <c r="I932" s="21"/>
      <c r="L932" s="21"/>
      <c r="M932" s="23"/>
    </row>
    <row r="933" spans="1:13">
      <c r="A933" s="22"/>
      <c r="E933" s="21"/>
      <c r="F933" s="21"/>
      <c r="G933" s="21"/>
      <c r="I933" s="21"/>
      <c r="L933" s="21"/>
      <c r="M933" s="23"/>
    </row>
    <row r="934" spans="1:13">
      <c r="A934" s="22"/>
      <c r="E934" s="21"/>
      <c r="F934" s="21"/>
      <c r="G934" s="21"/>
      <c r="I934" s="21"/>
      <c r="L934" s="21"/>
      <c r="M934" s="23"/>
    </row>
    <row r="935" spans="1:13">
      <c r="A935" s="22"/>
      <c r="E935" s="21"/>
      <c r="F935" s="21"/>
      <c r="G935" s="21"/>
      <c r="I935" s="21"/>
      <c r="L935" s="21"/>
      <c r="M935" s="23"/>
    </row>
    <row r="936" spans="1:13">
      <c r="A936" s="22"/>
      <c r="E936" s="21"/>
      <c r="F936" s="21"/>
      <c r="G936" s="21"/>
      <c r="I936" s="21"/>
      <c r="L936" s="21"/>
      <c r="M936" s="23"/>
    </row>
    <row r="937" spans="1:13">
      <c r="A937" s="22"/>
      <c r="E937" s="21"/>
      <c r="F937" s="21"/>
      <c r="G937" s="21"/>
      <c r="I937" s="21"/>
      <c r="L937" s="21"/>
      <c r="M937" s="23"/>
    </row>
    <row r="938" spans="1:13">
      <c r="A938" s="22"/>
      <c r="E938" s="21"/>
      <c r="F938" s="21"/>
      <c r="G938" s="21"/>
      <c r="I938" s="21"/>
      <c r="L938" s="21"/>
      <c r="M938" s="23"/>
    </row>
    <row r="939" spans="1:13">
      <c r="A939" s="22"/>
      <c r="E939" s="21"/>
      <c r="F939" s="21"/>
      <c r="G939" s="21"/>
      <c r="I939" s="21"/>
      <c r="L939" s="21"/>
      <c r="M939" s="23"/>
    </row>
    <row r="940" spans="1:13">
      <c r="A940" s="22"/>
      <c r="E940" s="21"/>
      <c r="F940" s="21"/>
      <c r="G940" s="21"/>
      <c r="I940" s="21"/>
      <c r="L940" s="21"/>
      <c r="M940" s="23"/>
    </row>
    <row r="941" spans="1:13">
      <c r="A941" s="22"/>
      <c r="E941" s="21"/>
      <c r="F941" s="21"/>
      <c r="G941" s="21"/>
      <c r="I941" s="21"/>
      <c r="L941" s="21"/>
      <c r="M941" s="23"/>
    </row>
    <row r="942" spans="1:13">
      <c r="A942" s="22"/>
      <c r="E942" s="21"/>
      <c r="F942" s="21"/>
      <c r="G942" s="21"/>
      <c r="I942" s="21"/>
      <c r="L942" s="21"/>
      <c r="M942" s="23"/>
    </row>
    <row r="943" spans="1:13">
      <c r="A943" s="22"/>
      <c r="E943" s="21"/>
      <c r="F943" s="21"/>
      <c r="G943" s="21"/>
      <c r="I943" s="21"/>
      <c r="L943" s="21"/>
      <c r="M943" s="23"/>
    </row>
    <row r="944" spans="1:13">
      <c r="A944" s="22"/>
      <c r="E944" s="21"/>
      <c r="F944" s="21"/>
      <c r="G944" s="21"/>
      <c r="I944" s="21"/>
      <c r="L944" s="21"/>
      <c r="M944" s="23"/>
    </row>
    <row r="945" spans="1:13">
      <c r="A945" s="22"/>
      <c r="E945" s="21"/>
      <c r="F945" s="21"/>
      <c r="G945" s="21"/>
      <c r="I945" s="21"/>
      <c r="L945" s="21"/>
      <c r="M945" s="23"/>
    </row>
    <row r="946" spans="1:13">
      <c r="A946" s="22"/>
      <c r="E946" s="21"/>
      <c r="F946" s="21"/>
      <c r="G946" s="21"/>
      <c r="I946" s="21"/>
      <c r="L946" s="21"/>
      <c r="M946" s="23"/>
    </row>
    <row r="947" spans="1:13">
      <c r="A947" s="22"/>
      <c r="E947" s="21"/>
      <c r="F947" s="21"/>
      <c r="G947" s="21"/>
      <c r="I947" s="21"/>
      <c r="L947" s="21"/>
      <c r="M947" s="23"/>
    </row>
    <row r="948" spans="1:13">
      <c r="A948" s="22"/>
      <c r="E948" s="21"/>
      <c r="F948" s="21"/>
      <c r="G948" s="21"/>
      <c r="I948" s="21"/>
      <c r="L948" s="21"/>
      <c r="M948" s="23"/>
    </row>
    <row r="949" spans="1:13">
      <c r="A949" s="22"/>
      <c r="E949" s="21"/>
      <c r="F949" s="21"/>
      <c r="G949" s="21"/>
      <c r="I949" s="21"/>
      <c r="L949" s="21"/>
      <c r="M949" s="23"/>
    </row>
    <row r="950" spans="1:13">
      <c r="A950" s="22"/>
      <c r="E950" s="21"/>
      <c r="F950" s="21"/>
      <c r="G950" s="21"/>
      <c r="I950" s="21"/>
      <c r="L950" s="21"/>
      <c r="M950" s="23"/>
    </row>
    <row r="951" spans="1:13">
      <c r="A951" s="22"/>
      <c r="E951" s="21"/>
      <c r="F951" s="21"/>
      <c r="G951" s="21"/>
      <c r="I951" s="21"/>
      <c r="L951" s="21"/>
      <c r="M951" s="23"/>
    </row>
    <row r="952" spans="1:13">
      <c r="A952" s="22"/>
      <c r="E952" s="21"/>
      <c r="F952" s="21"/>
      <c r="G952" s="21"/>
      <c r="I952" s="21"/>
      <c r="L952" s="21"/>
      <c r="M952" s="23"/>
    </row>
    <row r="953" spans="1:13">
      <c r="A953" s="22"/>
      <c r="E953" s="21"/>
      <c r="F953" s="21"/>
      <c r="G953" s="21"/>
      <c r="I953" s="21"/>
      <c r="L953" s="21"/>
      <c r="M953" s="23"/>
    </row>
    <row r="954" spans="1:13">
      <c r="A954" s="22"/>
      <c r="E954" s="21"/>
      <c r="F954" s="21"/>
      <c r="G954" s="21"/>
      <c r="I954" s="21"/>
      <c r="L954" s="21"/>
      <c r="M954" s="23"/>
    </row>
    <row r="955" spans="1:13">
      <c r="A955" s="22"/>
      <c r="E955" s="21"/>
      <c r="F955" s="21"/>
      <c r="G955" s="21"/>
      <c r="I955" s="21"/>
      <c r="L955" s="21"/>
      <c r="M955" s="23"/>
    </row>
    <row r="956" spans="1:13">
      <c r="A956" s="22"/>
      <c r="E956" s="21"/>
      <c r="F956" s="21"/>
      <c r="G956" s="21"/>
      <c r="I956" s="21"/>
      <c r="L956" s="21"/>
      <c r="M956" s="23"/>
    </row>
    <row r="957" spans="1:13">
      <c r="A957" s="22"/>
      <c r="E957" s="21"/>
      <c r="F957" s="21"/>
      <c r="G957" s="21"/>
      <c r="I957" s="21"/>
      <c r="L957" s="21"/>
      <c r="M957" s="23"/>
    </row>
    <row r="958" spans="1:13">
      <c r="A958" s="22"/>
      <c r="E958" s="21"/>
      <c r="F958" s="21"/>
      <c r="G958" s="21"/>
      <c r="I958" s="21"/>
      <c r="L958" s="21"/>
      <c r="M958" s="23"/>
    </row>
    <row r="959" spans="1:13">
      <c r="A959" s="22"/>
      <c r="E959" s="21"/>
      <c r="F959" s="21"/>
      <c r="G959" s="21"/>
      <c r="I959" s="21"/>
      <c r="L959" s="21"/>
      <c r="M959" s="23"/>
    </row>
    <row r="960" spans="1:13">
      <c r="A960" s="22"/>
      <c r="E960" s="21"/>
      <c r="F960" s="21"/>
      <c r="G960" s="21"/>
      <c r="I960" s="21"/>
      <c r="L960" s="21"/>
      <c r="M960" s="23"/>
    </row>
    <row r="961" spans="1:13">
      <c r="A961" s="22"/>
      <c r="E961" s="21"/>
      <c r="F961" s="21"/>
      <c r="G961" s="21"/>
      <c r="I961" s="21"/>
      <c r="L961" s="21"/>
      <c r="M961" s="23"/>
    </row>
    <row r="962" spans="1:13">
      <c r="A962" s="22"/>
      <c r="E962" s="21"/>
      <c r="F962" s="21"/>
      <c r="G962" s="21"/>
      <c r="I962" s="21"/>
      <c r="L962" s="21"/>
      <c r="M962" s="23"/>
    </row>
    <row r="963" spans="1:13">
      <c r="A963" s="22"/>
      <c r="E963" s="21"/>
      <c r="F963" s="21"/>
      <c r="G963" s="21"/>
      <c r="I963" s="21"/>
      <c r="L963" s="21"/>
      <c r="M963" s="23"/>
    </row>
    <row r="964" spans="1:13">
      <c r="A964" s="22"/>
      <c r="E964" s="21"/>
      <c r="F964" s="21"/>
      <c r="G964" s="21"/>
      <c r="I964" s="21"/>
      <c r="L964" s="21"/>
      <c r="M964" s="23"/>
    </row>
    <row r="965" spans="1:13">
      <c r="A965" s="22"/>
      <c r="E965" s="21"/>
      <c r="F965" s="21"/>
      <c r="G965" s="21"/>
      <c r="I965" s="21"/>
      <c r="L965" s="21"/>
      <c r="M965" s="23"/>
    </row>
    <row r="966" spans="1:13">
      <c r="A966" s="22"/>
      <c r="E966" s="21"/>
      <c r="F966" s="21"/>
      <c r="G966" s="21"/>
      <c r="I966" s="21"/>
      <c r="L966" s="21"/>
      <c r="M966" s="23"/>
    </row>
    <row r="967" spans="1:13">
      <c r="A967" s="22"/>
      <c r="E967" s="21"/>
      <c r="F967" s="21"/>
      <c r="G967" s="21"/>
      <c r="I967" s="21"/>
      <c r="L967" s="21"/>
      <c r="M967" s="23"/>
    </row>
    <row r="968" spans="1:13">
      <c r="A968" s="22"/>
      <c r="E968" s="21"/>
      <c r="F968" s="21"/>
      <c r="G968" s="21"/>
      <c r="I968" s="21"/>
      <c r="L968" s="21"/>
      <c r="M968" s="23"/>
    </row>
    <row r="969" spans="1:13">
      <c r="A969" s="22"/>
      <c r="E969" s="21"/>
      <c r="F969" s="21"/>
      <c r="G969" s="21"/>
      <c r="I969" s="21"/>
      <c r="L969" s="21"/>
      <c r="M969" s="23"/>
    </row>
    <row r="970" spans="1:13">
      <c r="A970" s="22"/>
      <c r="E970" s="21"/>
      <c r="F970" s="21"/>
      <c r="G970" s="21"/>
      <c r="I970" s="21"/>
      <c r="L970" s="21"/>
      <c r="M970" s="23"/>
    </row>
    <row r="971" spans="1:13">
      <c r="A971" s="22"/>
      <c r="E971" s="21"/>
      <c r="F971" s="21"/>
      <c r="G971" s="21"/>
      <c r="I971" s="21"/>
      <c r="L971" s="21"/>
      <c r="M971" s="23"/>
    </row>
    <row r="972" spans="1:13">
      <c r="A972" s="22"/>
      <c r="E972" s="21"/>
      <c r="F972" s="21"/>
      <c r="G972" s="21"/>
      <c r="I972" s="21"/>
      <c r="L972" s="21"/>
      <c r="M972" s="23"/>
    </row>
    <row r="973" spans="1:13">
      <c r="A973" s="22"/>
      <c r="E973" s="21"/>
      <c r="F973" s="21"/>
      <c r="G973" s="21"/>
      <c r="I973" s="21"/>
      <c r="L973" s="21"/>
      <c r="M973" s="23"/>
    </row>
    <row r="974" spans="1:13">
      <c r="A974" s="22"/>
      <c r="E974" s="21"/>
      <c r="F974" s="21"/>
      <c r="G974" s="21"/>
      <c r="I974" s="21"/>
      <c r="L974" s="21"/>
      <c r="M974" s="23"/>
    </row>
    <row r="975" spans="1:13">
      <c r="A975" s="22"/>
      <c r="E975" s="21"/>
      <c r="F975" s="21"/>
      <c r="G975" s="21"/>
      <c r="I975" s="21"/>
      <c r="L975" s="21"/>
      <c r="M975" s="23"/>
    </row>
    <row r="976" spans="1:13">
      <c r="A976" s="22"/>
      <c r="E976" s="21"/>
      <c r="F976" s="21"/>
      <c r="G976" s="21"/>
      <c r="I976" s="21"/>
      <c r="L976" s="21"/>
      <c r="M976" s="23"/>
    </row>
    <row r="977" spans="1:13">
      <c r="A977" s="22"/>
      <c r="E977" s="21"/>
      <c r="F977" s="21"/>
      <c r="G977" s="21"/>
      <c r="I977" s="21"/>
      <c r="L977" s="21"/>
      <c r="M977" s="23"/>
    </row>
    <row r="978" spans="1:13">
      <c r="A978" s="22"/>
      <c r="E978" s="21"/>
      <c r="F978" s="21"/>
      <c r="G978" s="21"/>
      <c r="I978" s="21"/>
      <c r="L978" s="21"/>
      <c r="M978" s="23"/>
    </row>
    <row r="979" spans="1:13">
      <c r="A979" s="22"/>
      <c r="E979" s="21"/>
      <c r="F979" s="21"/>
      <c r="G979" s="21"/>
      <c r="I979" s="21"/>
      <c r="L979" s="21"/>
      <c r="M979" s="23"/>
    </row>
    <row r="980" spans="1:13">
      <c r="A980" s="22"/>
      <c r="E980" s="21"/>
      <c r="F980" s="21"/>
      <c r="G980" s="21"/>
      <c r="I980" s="21"/>
      <c r="L980" s="21"/>
      <c r="M980" s="23"/>
    </row>
    <row r="981" spans="1:13">
      <c r="A981" s="22"/>
      <c r="E981" s="21"/>
      <c r="F981" s="21"/>
      <c r="G981" s="21"/>
      <c r="I981" s="21"/>
      <c r="L981" s="21"/>
      <c r="M981" s="23"/>
    </row>
    <row r="982" spans="1:13">
      <c r="A982" s="22"/>
      <c r="E982" s="21"/>
      <c r="F982" s="21"/>
      <c r="G982" s="21"/>
      <c r="I982" s="21"/>
      <c r="L982" s="21"/>
      <c r="M982" s="23"/>
    </row>
    <row r="983" spans="1:13">
      <c r="A983" s="22"/>
      <c r="E983" s="21"/>
      <c r="F983" s="21"/>
      <c r="G983" s="21"/>
      <c r="I983" s="21"/>
      <c r="L983" s="21"/>
      <c r="M983" s="23"/>
    </row>
    <row r="984" spans="1:13">
      <c r="A984" s="22"/>
      <c r="E984" s="21"/>
      <c r="F984" s="21"/>
      <c r="G984" s="21"/>
      <c r="I984" s="21"/>
      <c r="L984" s="21"/>
      <c r="M984" s="23"/>
    </row>
    <row r="985" spans="1:13">
      <c r="A985" s="22"/>
      <c r="E985" s="21"/>
      <c r="F985" s="21"/>
      <c r="G985" s="21"/>
      <c r="I985" s="21"/>
      <c r="L985" s="21"/>
      <c r="M985" s="23"/>
    </row>
    <row r="986" spans="1:13">
      <c r="A986" s="22"/>
      <c r="E986" s="21"/>
      <c r="F986" s="21"/>
      <c r="G986" s="21"/>
      <c r="I986" s="21"/>
      <c r="L986" s="21"/>
      <c r="M986" s="23"/>
    </row>
    <row r="987" spans="1:13">
      <c r="A987" s="22"/>
      <c r="E987" s="21"/>
      <c r="F987" s="21"/>
      <c r="G987" s="21"/>
      <c r="I987" s="21"/>
      <c r="L987" s="21"/>
      <c r="M987" s="23"/>
    </row>
    <row r="988" spans="1:13">
      <c r="A988" s="22"/>
      <c r="E988" s="21"/>
      <c r="F988" s="21"/>
      <c r="G988" s="21"/>
      <c r="I988" s="21"/>
      <c r="L988" s="21"/>
      <c r="M988" s="23"/>
    </row>
    <row r="989" spans="1:13">
      <c r="A989" s="22"/>
      <c r="E989" s="21"/>
      <c r="F989" s="21"/>
      <c r="G989" s="21"/>
      <c r="I989" s="21"/>
      <c r="L989" s="21"/>
      <c r="M989" s="23"/>
    </row>
    <row r="990" spans="1:13">
      <c r="A990" s="22"/>
      <c r="E990" s="21"/>
      <c r="F990" s="21"/>
      <c r="G990" s="21"/>
      <c r="I990" s="21"/>
      <c r="L990" s="21"/>
      <c r="M990" s="23"/>
    </row>
    <row r="991" spans="1:13">
      <c r="A991" s="22"/>
      <c r="E991" s="21"/>
      <c r="F991" s="21"/>
      <c r="G991" s="21"/>
      <c r="I991" s="21"/>
      <c r="L991" s="21"/>
      <c r="M991" s="23"/>
    </row>
    <row r="992" spans="1:13">
      <c r="A992" s="22"/>
      <c r="E992" s="21"/>
      <c r="F992" s="21"/>
      <c r="G992" s="21"/>
      <c r="I992" s="21"/>
      <c r="L992" s="21"/>
      <c r="M992" s="23"/>
    </row>
    <row r="993" spans="1:13">
      <c r="A993" s="22"/>
      <c r="E993" s="21"/>
      <c r="F993" s="21"/>
      <c r="G993" s="21"/>
      <c r="I993" s="21"/>
      <c r="L993" s="21"/>
      <c r="M993" s="23"/>
    </row>
    <row r="994" spans="1:13">
      <c r="A994" s="22"/>
      <c r="E994" s="21"/>
      <c r="F994" s="21"/>
      <c r="G994" s="21"/>
      <c r="I994" s="21"/>
      <c r="L994" s="21"/>
      <c r="M994" s="23"/>
    </row>
    <row r="995" spans="1:13">
      <c r="A995" s="22"/>
      <c r="E995" s="21"/>
      <c r="F995" s="21"/>
      <c r="G995" s="21"/>
      <c r="I995" s="21"/>
      <c r="L995" s="21"/>
      <c r="M995" s="23"/>
    </row>
    <row r="996" spans="1:13">
      <c r="A996" s="22"/>
      <c r="E996" s="21"/>
      <c r="F996" s="21"/>
      <c r="G996" s="21"/>
      <c r="I996" s="21"/>
      <c r="L996" s="21"/>
      <c r="M996" s="23"/>
    </row>
    <row r="997" spans="1:13">
      <c r="A997" s="22"/>
      <c r="E997" s="21"/>
      <c r="F997" s="21"/>
      <c r="G997" s="21"/>
      <c r="I997" s="21"/>
      <c r="L997" s="21"/>
      <c r="M997" s="23"/>
    </row>
    <row r="998" spans="1:13">
      <c r="A998" s="22"/>
      <c r="E998" s="21"/>
      <c r="F998" s="21"/>
      <c r="G998" s="21"/>
      <c r="I998" s="21"/>
      <c r="L998" s="21"/>
      <c r="M998" s="23"/>
    </row>
    <row r="999" spans="1:13">
      <c r="A999" s="22"/>
      <c r="E999" s="21"/>
      <c r="F999" s="21"/>
      <c r="G999" s="21"/>
      <c r="I999" s="21"/>
      <c r="L999" s="21"/>
      <c r="M999" s="23"/>
    </row>
    <row r="1000" spans="1:13">
      <c r="A1000" s="22"/>
      <c r="E1000" s="21"/>
      <c r="F1000" s="21"/>
      <c r="G1000" s="21"/>
      <c r="I1000" s="21"/>
      <c r="L1000" s="21"/>
      <c r="M1000" s="23"/>
    </row>
    <row r="1001" spans="1:13">
      <c r="A1001" s="22"/>
      <c r="E1001" s="21"/>
      <c r="F1001" s="21"/>
      <c r="G1001" s="21"/>
      <c r="I1001" s="21"/>
      <c r="L1001" s="21"/>
      <c r="M1001" s="23"/>
    </row>
    <row r="1002" spans="1:13">
      <c r="A1002" s="22"/>
      <c r="E1002" s="21"/>
      <c r="F1002" s="21"/>
      <c r="G1002" s="21"/>
      <c r="I1002" s="21"/>
      <c r="L1002" s="21"/>
      <c r="M1002" s="23"/>
    </row>
    <row r="1003" spans="1:13">
      <c r="A1003" s="22"/>
      <c r="E1003" s="21"/>
      <c r="F1003" s="21"/>
      <c r="G1003" s="21"/>
      <c r="I1003" s="21"/>
      <c r="L1003" s="21"/>
      <c r="M1003" s="23"/>
    </row>
    <row r="1004" spans="1:13">
      <c r="A1004" s="22"/>
      <c r="E1004" s="21"/>
      <c r="F1004" s="21"/>
      <c r="G1004" s="21"/>
      <c r="I1004" s="21"/>
      <c r="L1004" s="21"/>
      <c r="M1004" s="23"/>
    </row>
    <row r="1005" spans="1:13">
      <c r="A1005" s="22"/>
      <c r="E1005" s="21"/>
      <c r="F1005" s="21"/>
      <c r="G1005" s="21"/>
      <c r="I1005" s="21"/>
      <c r="L1005" s="21"/>
      <c r="M1005" s="23"/>
    </row>
    <row r="1006" spans="1:13">
      <c r="A1006" s="22"/>
      <c r="E1006" s="21"/>
      <c r="F1006" s="21"/>
      <c r="G1006" s="21"/>
      <c r="I1006" s="21"/>
      <c r="L1006" s="21"/>
      <c r="M1006" s="23"/>
    </row>
    <row r="1007" spans="1:13">
      <c r="A1007" s="22"/>
      <c r="E1007" s="21"/>
      <c r="F1007" s="21"/>
      <c r="G1007" s="21"/>
      <c r="I1007" s="21"/>
      <c r="L1007" s="21"/>
      <c r="M1007" s="23"/>
    </row>
    <row r="1008" spans="1:13">
      <c r="A1008" s="22"/>
      <c r="E1008" s="21"/>
      <c r="F1008" s="21"/>
      <c r="G1008" s="21"/>
      <c r="I1008" s="21"/>
      <c r="L1008" s="21"/>
      <c r="M1008" s="23"/>
    </row>
    <row r="1009" spans="1:13">
      <c r="A1009" s="22"/>
      <c r="E1009" s="21"/>
      <c r="F1009" s="21"/>
      <c r="G1009" s="21"/>
      <c r="I1009" s="21"/>
      <c r="L1009" s="21"/>
      <c r="M1009" s="23"/>
    </row>
    <row r="1010" spans="1:13">
      <c r="A1010" s="22"/>
      <c r="E1010" s="21"/>
      <c r="F1010" s="21"/>
      <c r="G1010" s="21"/>
      <c r="I1010" s="21"/>
      <c r="L1010" s="21"/>
      <c r="M1010" s="23"/>
    </row>
    <row r="1011" spans="1:13">
      <c r="A1011" s="22"/>
      <c r="E1011" s="21"/>
      <c r="F1011" s="21"/>
      <c r="G1011" s="21"/>
      <c r="I1011" s="21"/>
      <c r="L1011" s="21"/>
      <c r="M1011" s="23"/>
    </row>
    <row r="1012" spans="1:13">
      <c r="A1012" s="22"/>
      <c r="E1012" s="21"/>
      <c r="F1012" s="21"/>
      <c r="G1012" s="21"/>
      <c r="I1012" s="21"/>
      <c r="L1012" s="21"/>
      <c r="M1012" s="23"/>
    </row>
    <row r="1013" spans="1:13">
      <c r="A1013" s="22"/>
      <c r="E1013" s="21"/>
      <c r="F1013" s="21"/>
      <c r="G1013" s="21"/>
      <c r="I1013" s="21"/>
      <c r="L1013" s="21"/>
      <c r="M1013" s="23"/>
    </row>
    <row r="1014" spans="1:13">
      <c r="A1014" s="22"/>
      <c r="E1014" s="21"/>
      <c r="F1014" s="21"/>
      <c r="G1014" s="21"/>
      <c r="I1014" s="21"/>
      <c r="L1014" s="21"/>
      <c r="M1014" s="23"/>
    </row>
    <row r="1015" spans="1:13">
      <c r="A1015" s="22"/>
      <c r="E1015" s="21"/>
      <c r="F1015" s="21"/>
      <c r="G1015" s="21"/>
      <c r="I1015" s="21"/>
      <c r="L1015" s="21"/>
      <c r="M1015" s="23"/>
    </row>
    <row r="1016" spans="1:13">
      <c r="A1016" s="22"/>
      <c r="E1016" s="21"/>
      <c r="F1016" s="21"/>
      <c r="G1016" s="21"/>
      <c r="I1016" s="21"/>
      <c r="L1016" s="21"/>
      <c r="M1016" s="23"/>
    </row>
    <row r="1017" spans="1:13">
      <c r="A1017" s="22"/>
      <c r="E1017" s="21"/>
      <c r="F1017" s="21"/>
      <c r="G1017" s="21"/>
      <c r="I1017" s="21"/>
      <c r="L1017" s="21"/>
      <c r="M1017" s="23"/>
    </row>
    <row r="1018" spans="1:13">
      <c r="A1018" s="22"/>
      <c r="E1018" s="21"/>
      <c r="F1018" s="21"/>
      <c r="G1018" s="21"/>
      <c r="I1018" s="21"/>
      <c r="L1018" s="21"/>
      <c r="M1018" s="23"/>
    </row>
    <row r="1019" spans="1:13">
      <c r="A1019" s="22"/>
      <c r="E1019" s="21"/>
      <c r="F1019" s="21"/>
      <c r="G1019" s="21"/>
      <c r="I1019" s="21"/>
      <c r="L1019" s="21"/>
      <c r="M1019" s="23"/>
    </row>
  </sheetData>
  <autoFilter ref="A1:Q71" xr:uid="{00000000-0009-0000-0000-00000B000000}"/>
  <customSheetViews>
    <customSheetView guid="{BBBC3303-2C7B-470C-8494-F9D54D39C8B1}" filter="1" showAutoFilter="1">
      <pageMargins left="0.7" right="0.7" top="0.75" bottom="0.75" header="0.3" footer="0.3"/>
      <autoFilter ref="A1:Q71" xr:uid="{F27FE75E-C940-4B71-8C78-7EBC8734A991}">
        <filterColumn colId="4">
          <customFilters>
            <customFilter operator="lessThanOrEqual" val="99"/>
          </customFilters>
        </filterColumn>
      </autoFilter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R37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6.85546875" customWidth="1"/>
    <col min="2" max="2" width="14.28515625" customWidth="1"/>
    <col min="3" max="3" width="9.140625" customWidth="1"/>
    <col min="4" max="4" width="3.7109375" customWidth="1"/>
    <col min="5" max="5" width="5.85546875" customWidth="1"/>
    <col min="6" max="6" width="10.28515625" customWidth="1"/>
    <col min="7" max="7" width="10.85546875" customWidth="1"/>
    <col min="8" max="8" width="9" customWidth="1"/>
    <col min="9" max="9" width="10.28515625" customWidth="1"/>
    <col min="10" max="10" width="53.42578125" customWidth="1"/>
    <col min="11" max="11" width="18.140625" customWidth="1"/>
    <col min="12" max="12" width="7.28515625" customWidth="1"/>
    <col min="13" max="13" width="10.7109375" customWidth="1"/>
    <col min="14" max="14" width="14.28515625" customWidth="1"/>
    <col min="15" max="15" width="13.42578125" customWidth="1"/>
    <col min="17" max="17" width="14.28515625" customWidth="1"/>
    <col min="18" max="18" width="11.85546875" customWidth="1"/>
  </cols>
  <sheetData>
    <row r="1" spans="1:18">
      <c r="A1" s="1" t="s">
        <v>25</v>
      </c>
      <c r="B1" s="1" t="s">
        <v>1750</v>
      </c>
      <c r="C1" s="1" t="s">
        <v>1766</v>
      </c>
      <c r="D1" s="1" t="s">
        <v>1</v>
      </c>
      <c r="E1" s="1" t="s">
        <v>1798</v>
      </c>
      <c r="F1" s="1" t="s">
        <v>1768</v>
      </c>
      <c r="G1" s="1" t="s">
        <v>1769</v>
      </c>
      <c r="H1" s="1" t="s">
        <v>1770</v>
      </c>
      <c r="I1" s="1" t="s">
        <v>400</v>
      </c>
      <c r="J1" s="1" t="s">
        <v>1799</v>
      </c>
      <c r="K1" s="1" t="s">
        <v>1776</v>
      </c>
      <c r="L1" s="1" t="s">
        <v>1772</v>
      </c>
      <c r="M1" s="1" t="s">
        <v>1765</v>
      </c>
      <c r="N1" s="1" t="s">
        <v>28</v>
      </c>
      <c r="O1" s="1" t="s">
        <v>1800</v>
      </c>
      <c r="Q1" s="1" t="s">
        <v>28</v>
      </c>
      <c r="R1" s="1" t="s">
        <v>1801</v>
      </c>
    </row>
    <row r="2" spans="1:18">
      <c r="A2" s="1">
        <v>27</v>
      </c>
      <c r="B2" s="1" t="s">
        <v>1856</v>
      </c>
      <c r="C2" s="1" t="s">
        <v>64</v>
      </c>
      <c r="D2" s="1">
        <v>98</v>
      </c>
      <c r="E2" s="1">
        <v>64</v>
      </c>
      <c r="F2" s="1">
        <v>55</v>
      </c>
      <c r="G2" s="1" t="s">
        <v>327</v>
      </c>
      <c r="H2" s="1">
        <v>48</v>
      </c>
      <c r="I2" s="27">
        <v>0.95</v>
      </c>
      <c r="J2" s="1" t="s">
        <v>385</v>
      </c>
      <c r="L2" s="1">
        <f t="shared" ref="L2:L35" si="0">F2*H2</f>
        <v>2640</v>
      </c>
      <c r="M2" s="1">
        <f t="shared" ref="M2:M35" si="1">L2/D2</f>
        <v>26.938775510204081</v>
      </c>
      <c r="N2" s="1" t="s">
        <v>129</v>
      </c>
      <c r="O2" s="1" t="s">
        <v>337</v>
      </c>
      <c r="Q2" s="1" t="s">
        <v>129</v>
      </c>
      <c r="R2" s="1" t="s">
        <v>337</v>
      </c>
    </row>
    <row r="3" spans="1:18">
      <c r="A3" s="1">
        <v>28</v>
      </c>
      <c r="B3" s="1" t="s">
        <v>1857</v>
      </c>
      <c r="C3" s="1" t="s">
        <v>337</v>
      </c>
      <c r="D3" s="1">
        <v>86</v>
      </c>
      <c r="E3" s="1">
        <v>88</v>
      </c>
      <c r="F3" s="1">
        <v>46.5</v>
      </c>
      <c r="G3" s="1" t="s">
        <v>404</v>
      </c>
      <c r="H3" s="1">
        <v>78</v>
      </c>
      <c r="I3" s="27">
        <v>1</v>
      </c>
      <c r="J3" s="1" t="s">
        <v>1858</v>
      </c>
      <c r="L3" s="1">
        <f t="shared" si="0"/>
        <v>3627</v>
      </c>
      <c r="M3" s="1">
        <f t="shared" si="1"/>
        <v>42.174418604651166</v>
      </c>
      <c r="N3" s="1" t="e">
        <f t="shared" ref="N3:O3" ca="1" si="2">_xludf.XLOOKUP(_xludf.MAXIFS($L$2:$L$35,$C$2:$C$35,N2),$L$2:$L$35,$B$2:$B$35,"No Pokemon")</f>
        <v>#NAME?</v>
      </c>
      <c r="O3" s="1" t="e">
        <f t="shared" ca="1" si="2"/>
        <v>#NAME?</v>
      </c>
      <c r="Q3" s="1" t="e">
        <f t="shared" ref="Q3:R3" ca="1" si="3">_xludf.XLOOKUP(_xludf.MAXIFS($M$2:$M$35,$C$2:$C$35,Q2),$M$2:$M$35,$B$2:$B$35,"No Pokemon")</f>
        <v>#NAME?</v>
      </c>
      <c r="R3" s="1" t="e">
        <f t="shared" ca="1" si="3"/>
        <v>#NAME?</v>
      </c>
    </row>
    <row r="4" spans="1:18">
      <c r="A4" s="1">
        <v>29</v>
      </c>
      <c r="B4" s="1" t="s">
        <v>1859</v>
      </c>
      <c r="C4" s="1" t="s">
        <v>82</v>
      </c>
      <c r="D4" s="1">
        <v>44</v>
      </c>
      <c r="E4" s="1">
        <v>41</v>
      </c>
      <c r="F4" s="1">
        <v>40</v>
      </c>
      <c r="G4" s="1" t="s">
        <v>404</v>
      </c>
      <c r="H4" s="1">
        <v>28</v>
      </c>
      <c r="I4" s="27">
        <v>1</v>
      </c>
      <c r="J4" s="1" t="s">
        <v>1782</v>
      </c>
      <c r="L4" s="1">
        <f t="shared" si="0"/>
        <v>1120</v>
      </c>
      <c r="M4" s="1">
        <f t="shared" si="1"/>
        <v>25.454545454545453</v>
      </c>
    </row>
    <row r="5" spans="1:18">
      <c r="A5" s="1">
        <v>30</v>
      </c>
      <c r="B5" s="1" t="s">
        <v>1860</v>
      </c>
      <c r="C5" s="1" t="s">
        <v>62</v>
      </c>
      <c r="D5" s="1">
        <v>72</v>
      </c>
      <c r="E5" s="1">
        <v>73</v>
      </c>
      <c r="F5" s="1">
        <v>60</v>
      </c>
      <c r="G5" s="1" t="s">
        <v>404</v>
      </c>
      <c r="H5" s="1">
        <v>51</v>
      </c>
      <c r="I5" s="27">
        <v>1</v>
      </c>
      <c r="J5" s="1" t="s">
        <v>1782</v>
      </c>
      <c r="L5" s="1">
        <f t="shared" si="0"/>
        <v>3060</v>
      </c>
      <c r="M5" s="1">
        <f t="shared" si="1"/>
        <v>42.5</v>
      </c>
    </row>
    <row r="6" spans="1:18">
      <c r="A6" s="1">
        <v>32</v>
      </c>
      <c r="B6" s="1" t="s">
        <v>1861</v>
      </c>
      <c r="C6" s="1" t="s">
        <v>59</v>
      </c>
      <c r="D6" s="1">
        <v>44</v>
      </c>
      <c r="E6" s="1">
        <v>28</v>
      </c>
      <c r="F6" s="1">
        <v>40</v>
      </c>
      <c r="G6" s="1" t="s">
        <v>327</v>
      </c>
      <c r="H6" s="1">
        <v>41</v>
      </c>
      <c r="I6" s="27">
        <v>1</v>
      </c>
      <c r="J6" s="28" t="s">
        <v>1781</v>
      </c>
      <c r="L6" s="1">
        <f t="shared" si="0"/>
        <v>1640</v>
      </c>
      <c r="M6" s="1">
        <f t="shared" si="1"/>
        <v>37.272727272727273</v>
      </c>
      <c r="N6" s="1" t="s">
        <v>341</v>
      </c>
      <c r="O6" s="1" t="s">
        <v>154</v>
      </c>
      <c r="Q6" s="1" t="s">
        <v>341</v>
      </c>
      <c r="R6" s="1" t="s">
        <v>154</v>
      </c>
    </row>
    <row r="7" spans="1:18">
      <c r="A7" s="1">
        <v>33</v>
      </c>
      <c r="B7" s="1" t="s">
        <v>1862</v>
      </c>
      <c r="C7" s="1" t="s">
        <v>59</v>
      </c>
      <c r="D7" s="1">
        <v>72</v>
      </c>
      <c r="E7" s="1">
        <v>44</v>
      </c>
      <c r="F7" s="1">
        <v>50</v>
      </c>
      <c r="G7" s="1" t="s">
        <v>404</v>
      </c>
      <c r="H7" s="1">
        <v>66</v>
      </c>
      <c r="I7" s="27">
        <v>1</v>
      </c>
      <c r="J7" s="28" t="s">
        <v>1809</v>
      </c>
      <c r="L7" s="1">
        <f t="shared" si="0"/>
        <v>3300</v>
      </c>
      <c r="M7" s="1">
        <f t="shared" si="1"/>
        <v>45.833333333333336</v>
      </c>
      <c r="N7" s="1" t="e">
        <f t="shared" ref="N7:O7" ca="1" si="4">_xludf.XLOOKUP(_xludf.MAXIFS($L$2:$L$35,$C$2:$C$35,N6),$L$2:$L$35,$B$2:$B$35,"No Pokemon")</f>
        <v>#NAME?</v>
      </c>
      <c r="O7" s="1" t="e">
        <f t="shared" ca="1" si="4"/>
        <v>#NAME?</v>
      </c>
      <c r="Q7" s="1" t="e">
        <f t="shared" ref="Q7:R7" ca="1" si="5">_xludf.XLOOKUP(_xludf.MAXIFS($M$2:$M$35,$C$2:$C$35,Q6),$M$2:$M$35,$B$2:$B$35,"No Pokemon")</f>
        <v>#NAME?</v>
      </c>
      <c r="R7" s="1" t="e">
        <f t="shared" ca="1" si="5"/>
        <v>#NAME?</v>
      </c>
    </row>
    <row r="8" spans="1:18">
      <c r="A8" s="1">
        <v>35</v>
      </c>
      <c r="B8" s="1" t="s">
        <v>1863</v>
      </c>
      <c r="C8" s="1" t="s">
        <v>54</v>
      </c>
      <c r="D8" s="1">
        <v>44</v>
      </c>
      <c r="E8" s="1">
        <v>25</v>
      </c>
      <c r="F8" s="1">
        <v>40</v>
      </c>
      <c r="G8" s="1" t="s">
        <v>327</v>
      </c>
      <c r="H8" s="1">
        <v>31</v>
      </c>
      <c r="I8" s="27">
        <v>1</v>
      </c>
      <c r="J8" s="1" t="s">
        <v>1790</v>
      </c>
      <c r="L8" s="1">
        <f t="shared" si="0"/>
        <v>1240</v>
      </c>
      <c r="M8" s="1">
        <f t="shared" si="1"/>
        <v>28.181818181818183</v>
      </c>
    </row>
    <row r="9" spans="1:18">
      <c r="A9" s="1">
        <v>36</v>
      </c>
      <c r="B9" s="1" t="s">
        <v>1864</v>
      </c>
      <c r="C9" s="1" t="s">
        <v>154</v>
      </c>
      <c r="D9" s="1">
        <v>72</v>
      </c>
      <c r="E9" s="1">
        <v>41</v>
      </c>
      <c r="F9" s="1">
        <v>55</v>
      </c>
      <c r="G9" s="1" t="s">
        <v>327</v>
      </c>
      <c r="H9" s="1">
        <v>48</v>
      </c>
      <c r="I9" s="27">
        <v>0.95</v>
      </c>
      <c r="J9" s="1" t="s">
        <v>1865</v>
      </c>
      <c r="L9" s="1">
        <f t="shared" si="0"/>
        <v>2640</v>
      </c>
      <c r="M9" s="1">
        <f t="shared" si="1"/>
        <v>36.666666666666664</v>
      </c>
    </row>
    <row r="10" spans="1:18">
      <c r="A10" s="1">
        <v>38</v>
      </c>
      <c r="B10" s="1" t="s">
        <v>1866</v>
      </c>
      <c r="C10" s="1" t="s">
        <v>59</v>
      </c>
      <c r="D10" s="1">
        <v>50</v>
      </c>
      <c r="E10" s="1">
        <v>48</v>
      </c>
      <c r="F10" s="1">
        <v>40</v>
      </c>
      <c r="G10" s="1" t="s">
        <v>327</v>
      </c>
      <c r="H10" s="1">
        <v>41</v>
      </c>
      <c r="I10" s="27">
        <v>1</v>
      </c>
      <c r="J10" s="28" t="s">
        <v>1781</v>
      </c>
      <c r="L10" s="1">
        <f t="shared" si="0"/>
        <v>1640</v>
      </c>
      <c r="M10" s="1">
        <f t="shared" si="1"/>
        <v>32.799999999999997</v>
      </c>
      <c r="N10" s="1" t="s">
        <v>431</v>
      </c>
      <c r="O10" s="1" t="s">
        <v>164</v>
      </c>
      <c r="Q10" s="1" t="s">
        <v>431</v>
      </c>
      <c r="R10" s="1" t="s">
        <v>164</v>
      </c>
    </row>
    <row r="11" spans="1:18">
      <c r="A11" s="1">
        <v>39</v>
      </c>
      <c r="B11" s="1" t="s">
        <v>1867</v>
      </c>
      <c r="C11" s="1" t="s">
        <v>59</v>
      </c>
      <c r="D11" s="1">
        <v>82</v>
      </c>
      <c r="E11" s="1">
        <v>70</v>
      </c>
      <c r="F11" s="1">
        <v>60</v>
      </c>
      <c r="G11" s="1" t="s">
        <v>404</v>
      </c>
      <c r="H11" s="1">
        <v>71</v>
      </c>
      <c r="I11" s="27">
        <v>1</v>
      </c>
      <c r="J11" s="28" t="s">
        <v>1781</v>
      </c>
      <c r="L11" s="1">
        <f t="shared" si="0"/>
        <v>4260</v>
      </c>
      <c r="M11" s="1">
        <f t="shared" si="1"/>
        <v>51.951219512195124</v>
      </c>
      <c r="N11" s="1" t="e">
        <f t="shared" ref="N11:O11" ca="1" si="6">_xludf.XLOOKUP(_xludf.MAXIFS($L$2:$L$35,$C$2:$C$35,N10),$L$2:$L$35,$B$2:$B$35,"No Pokemon")</f>
        <v>#NAME?</v>
      </c>
      <c r="O11" s="1" t="e">
        <f t="shared" ca="1" si="6"/>
        <v>#NAME?</v>
      </c>
      <c r="Q11" s="1" t="e">
        <f t="shared" ref="Q11:R11" ca="1" si="7">_xludf.XLOOKUP(_xludf.MAXIFS($M$2:$M$35,$C$2:$C$35,Q10),$M$2:$M$35,$B$2:$B$35,"No Pokemon")</f>
        <v>#NAME?</v>
      </c>
      <c r="R11" s="1" t="e">
        <f t="shared" ca="1" si="7"/>
        <v>#NAME?</v>
      </c>
    </row>
    <row r="12" spans="1:18">
      <c r="A12" s="1">
        <v>41</v>
      </c>
      <c r="B12" s="1" t="s">
        <v>1868</v>
      </c>
      <c r="C12" s="1" t="s">
        <v>341</v>
      </c>
      <c r="D12" s="1">
        <v>48</v>
      </c>
      <c r="E12" s="1">
        <v>23</v>
      </c>
      <c r="F12" s="1">
        <v>50</v>
      </c>
      <c r="G12" s="1" t="s">
        <v>327</v>
      </c>
      <c r="H12" s="1">
        <v>36</v>
      </c>
      <c r="I12" s="1" t="s">
        <v>1821</v>
      </c>
      <c r="J12" s="1" t="s">
        <v>1869</v>
      </c>
      <c r="L12" s="1">
        <f t="shared" si="0"/>
        <v>1800</v>
      </c>
      <c r="M12" s="1">
        <f t="shared" si="1"/>
        <v>37.5</v>
      </c>
    </row>
    <row r="13" spans="1:18">
      <c r="A13" s="1">
        <v>42</v>
      </c>
      <c r="B13" s="1" t="s">
        <v>1870</v>
      </c>
      <c r="C13" s="1" t="s">
        <v>341</v>
      </c>
      <c r="D13" s="1">
        <v>100</v>
      </c>
      <c r="E13" s="1">
        <v>56</v>
      </c>
      <c r="F13" s="1">
        <v>65</v>
      </c>
      <c r="G13" s="1" t="s">
        <v>327</v>
      </c>
      <c r="H13" s="1">
        <v>78</v>
      </c>
      <c r="I13" s="27">
        <v>1</v>
      </c>
      <c r="J13" s="1" t="s">
        <v>1869</v>
      </c>
      <c r="L13" s="1">
        <f t="shared" si="0"/>
        <v>5070</v>
      </c>
      <c r="M13" s="1">
        <f t="shared" si="1"/>
        <v>50.7</v>
      </c>
    </row>
    <row r="14" spans="1:18">
      <c r="A14" s="1">
        <v>43</v>
      </c>
      <c r="B14" s="1" t="s">
        <v>1871</v>
      </c>
      <c r="C14" s="1" t="s">
        <v>129</v>
      </c>
      <c r="D14" s="1">
        <v>42</v>
      </c>
      <c r="E14" s="1">
        <v>20</v>
      </c>
      <c r="F14" s="1">
        <v>50</v>
      </c>
      <c r="G14" s="1" t="s">
        <v>404</v>
      </c>
      <c r="H14" s="1">
        <v>33</v>
      </c>
      <c r="I14" s="27">
        <v>1</v>
      </c>
      <c r="J14" s="28" t="s">
        <v>1813</v>
      </c>
      <c r="K14" s="1" t="s">
        <v>1814</v>
      </c>
      <c r="L14" s="1">
        <f t="shared" si="0"/>
        <v>1650</v>
      </c>
      <c r="M14" s="1">
        <f t="shared" si="1"/>
        <v>39.285714285714285</v>
      </c>
      <c r="N14" s="1" t="s">
        <v>540</v>
      </c>
      <c r="O14" s="1" t="s">
        <v>363</v>
      </c>
      <c r="Q14" s="1" t="s">
        <v>540</v>
      </c>
      <c r="R14" s="1" t="s">
        <v>363</v>
      </c>
    </row>
    <row r="15" spans="1:18">
      <c r="A15" s="1">
        <v>44</v>
      </c>
      <c r="B15" s="1" t="s">
        <v>1872</v>
      </c>
      <c r="C15" s="1" t="s">
        <v>726</v>
      </c>
      <c r="D15" s="1">
        <v>76</v>
      </c>
      <c r="E15" s="1">
        <v>42</v>
      </c>
      <c r="F15" s="1">
        <v>50</v>
      </c>
      <c r="G15" s="1" t="s">
        <v>404</v>
      </c>
      <c r="H15" s="1">
        <v>60</v>
      </c>
      <c r="I15" s="27">
        <v>1</v>
      </c>
      <c r="J15" s="28" t="s">
        <v>1813</v>
      </c>
      <c r="K15" s="1" t="s">
        <v>1814</v>
      </c>
      <c r="L15" s="1">
        <f t="shared" si="0"/>
        <v>3000</v>
      </c>
      <c r="M15" s="1">
        <f t="shared" si="1"/>
        <v>39.473684210526315</v>
      </c>
      <c r="N15" s="1" t="e">
        <f t="shared" ref="N15:O15" ca="1" si="8">_xludf.XLOOKUP(_xludf.MAXIFS($L$2:$L$35,$C$2:$C$35,N14),$L$2:$L$35,$B$2:$B$35,"No Pokemon")</f>
        <v>#NAME?</v>
      </c>
      <c r="O15" s="1" t="e">
        <f t="shared" ca="1" si="8"/>
        <v>#NAME?</v>
      </c>
      <c r="Q15" s="1" t="e">
        <f t="shared" ref="Q15:R15" ca="1" si="9">_xludf.XLOOKUP(_xludf.MAXIFS($M$2:$M$35,$C$2:$C$35,Q14),$M$2:$M$35,$B$2:$B$35,"No Pokemon")</f>
        <v>#NAME?</v>
      </c>
      <c r="R15" s="1" t="e">
        <f t="shared" ca="1" si="9"/>
        <v>#NAME?</v>
      </c>
    </row>
    <row r="16" spans="1:18">
      <c r="A16" s="1">
        <v>46</v>
      </c>
      <c r="B16" s="1" t="s">
        <v>1873</v>
      </c>
      <c r="C16" s="1" t="s">
        <v>76</v>
      </c>
      <c r="D16" s="1">
        <v>38</v>
      </c>
      <c r="E16" s="1">
        <v>28</v>
      </c>
      <c r="F16" s="1">
        <v>40</v>
      </c>
      <c r="G16" s="1" t="s">
        <v>327</v>
      </c>
      <c r="H16" s="1">
        <v>25</v>
      </c>
      <c r="I16" s="27">
        <v>1</v>
      </c>
      <c r="J16" s="1" t="s">
        <v>1779</v>
      </c>
      <c r="L16" s="1">
        <f t="shared" si="0"/>
        <v>1000</v>
      </c>
      <c r="M16" s="1">
        <f t="shared" si="1"/>
        <v>26.315789473684209</v>
      </c>
    </row>
    <row r="17" spans="1:18">
      <c r="A17" s="1">
        <v>47</v>
      </c>
      <c r="B17" s="1" t="s">
        <v>1874</v>
      </c>
      <c r="C17" s="1" t="s">
        <v>76</v>
      </c>
      <c r="D17" s="1">
        <v>68</v>
      </c>
      <c r="E17" s="1">
        <v>49</v>
      </c>
      <c r="F17" s="1">
        <v>65</v>
      </c>
      <c r="G17" s="1" t="s">
        <v>404</v>
      </c>
      <c r="H17" s="1">
        <v>67</v>
      </c>
      <c r="I17" s="27">
        <v>1</v>
      </c>
      <c r="J17" s="1" t="s">
        <v>1779</v>
      </c>
      <c r="L17" s="1">
        <f t="shared" si="0"/>
        <v>4355</v>
      </c>
      <c r="M17" s="1">
        <f t="shared" si="1"/>
        <v>64.044117647058826</v>
      </c>
    </row>
    <row r="18" spans="1:18">
      <c r="A18" s="1">
        <v>49</v>
      </c>
      <c r="B18" s="1" t="s">
        <v>1875</v>
      </c>
      <c r="C18" s="1" t="s">
        <v>164</v>
      </c>
      <c r="D18" s="1">
        <v>30</v>
      </c>
      <c r="E18" s="1">
        <v>28</v>
      </c>
      <c r="F18" s="1">
        <v>50</v>
      </c>
      <c r="G18" s="1" t="s">
        <v>327</v>
      </c>
      <c r="H18" s="1">
        <v>18</v>
      </c>
      <c r="I18" s="27">
        <v>1</v>
      </c>
      <c r="J18" s="1" t="s">
        <v>1792</v>
      </c>
      <c r="K18" s="1" t="s">
        <v>1796</v>
      </c>
      <c r="L18" s="1">
        <f t="shared" si="0"/>
        <v>900</v>
      </c>
      <c r="M18" s="1">
        <f t="shared" si="1"/>
        <v>30</v>
      </c>
      <c r="N18" s="1" t="s">
        <v>726</v>
      </c>
      <c r="O18" s="1" t="s">
        <v>59</v>
      </c>
      <c r="Q18" s="1" t="s">
        <v>726</v>
      </c>
      <c r="R18" s="1" t="s">
        <v>59</v>
      </c>
    </row>
    <row r="19" spans="1:18">
      <c r="A19" s="1">
        <v>50</v>
      </c>
      <c r="B19" s="1" t="s">
        <v>1876</v>
      </c>
      <c r="C19" s="1" t="s">
        <v>32</v>
      </c>
      <c r="D19" s="1">
        <v>62</v>
      </c>
      <c r="E19" s="1">
        <v>26</v>
      </c>
      <c r="F19" s="1">
        <v>50</v>
      </c>
      <c r="G19" s="1" t="s">
        <v>327</v>
      </c>
      <c r="H19" s="1">
        <v>41</v>
      </c>
      <c r="I19" s="27">
        <v>1</v>
      </c>
      <c r="J19" s="1" t="s">
        <v>1877</v>
      </c>
      <c r="L19" s="1">
        <f t="shared" si="0"/>
        <v>2050</v>
      </c>
      <c r="M19" s="1">
        <f t="shared" si="1"/>
        <v>33.064516129032256</v>
      </c>
      <c r="N19" s="1" t="e">
        <f t="shared" ref="N19:O19" ca="1" si="10">_xludf.XLOOKUP(_xludf.MAXIFS($L$2:$L$35,$C$2:$C$35,N18),$L$2:$L$35,$B$2:$B$35,"No Pokemon")</f>
        <v>#NAME?</v>
      </c>
      <c r="O19" s="1" t="e">
        <f t="shared" ca="1" si="10"/>
        <v>#NAME?</v>
      </c>
      <c r="Q19" s="1" t="e">
        <f t="shared" ref="Q19:R19" ca="1" si="11">_xludf.XLOOKUP(_xludf.MAXIFS($M$2:$M$35,$C$2:$C$35,Q18),$M$2:$M$35,$B$2:$B$35,"No Pokemon")</f>
        <v>#NAME?</v>
      </c>
      <c r="R19" s="1" t="e">
        <f t="shared" ca="1" si="11"/>
        <v>#NAME?</v>
      </c>
    </row>
    <row r="20" spans="1:18">
      <c r="A20" s="1">
        <v>51</v>
      </c>
      <c r="B20" s="1" t="s">
        <v>1878</v>
      </c>
      <c r="C20" s="1" t="s">
        <v>32</v>
      </c>
      <c r="D20" s="1">
        <v>100</v>
      </c>
      <c r="E20" s="1">
        <v>80</v>
      </c>
      <c r="F20" s="1">
        <v>65</v>
      </c>
      <c r="G20" s="1" t="s">
        <v>327</v>
      </c>
      <c r="H20" s="1">
        <v>72</v>
      </c>
      <c r="I20" s="27">
        <v>1</v>
      </c>
      <c r="J20" s="1" t="s">
        <v>1877</v>
      </c>
      <c r="L20" s="1">
        <f t="shared" si="0"/>
        <v>4680</v>
      </c>
      <c r="M20" s="1">
        <f t="shared" si="1"/>
        <v>46.8</v>
      </c>
    </row>
    <row r="21" spans="1:18">
      <c r="A21" s="1">
        <v>52</v>
      </c>
      <c r="B21" s="1" t="s">
        <v>1879</v>
      </c>
      <c r="C21" s="1" t="s">
        <v>154</v>
      </c>
      <c r="D21" s="1">
        <v>44</v>
      </c>
      <c r="E21" s="1">
        <v>28</v>
      </c>
      <c r="F21" s="1">
        <v>60</v>
      </c>
      <c r="G21" s="1" t="s">
        <v>404</v>
      </c>
      <c r="H21" s="1">
        <v>34</v>
      </c>
      <c r="I21" s="27">
        <v>1</v>
      </c>
      <c r="J21" s="1" t="s">
        <v>1780</v>
      </c>
      <c r="L21" s="1">
        <f t="shared" si="0"/>
        <v>2040</v>
      </c>
      <c r="M21" s="1">
        <f t="shared" si="1"/>
        <v>46.363636363636367</v>
      </c>
    </row>
    <row r="22" spans="1:18">
      <c r="A22" s="1">
        <v>54</v>
      </c>
      <c r="B22" s="1" t="s">
        <v>1880</v>
      </c>
      <c r="C22" s="1" t="s">
        <v>129</v>
      </c>
      <c r="D22" s="1">
        <v>36</v>
      </c>
      <c r="E22" s="1">
        <v>20</v>
      </c>
      <c r="F22" s="1">
        <v>50</v>
      </c>
      <c r="G22" s="1" t="s">
        <v>404</v>
      </c>
      <c r="H22" s="1">
        <v>25</v>
      </c>
      <c r="I22" s="27">
        <v>1</v>
      </c>
      <c r="J22" s="1" t="s">
        <v>1881</v>
      </c>
      <c r="L22" s="1">
        <f t="shared" si="0"/>
        <v>1250</v>
      </c>
      <c r="M22" s="1">
        <f t="shared" si="1"/>
        <v>34.722222222222221</v>
      </c>
      <c r="N22" s="1" t="s">
        <v>54</v>
      </c>
      <c r="O22" s="1" t="s">
        <v>76</v>
      </c>
      <c r="Q22" s="1" t="s">
        <v>54</v>
      </c>
      <c r="R22" s="1" t="s">
        <v>76</v>
      </c>
    </row>
    <row r="23" spans="1:18">
      <c r="A23" s="1">
        <v>55</v>
      </c>
      <c r="B23" s="1" t="s">
        <v>1882</v>
      </c>
      <c r="C23" s="1" t="s">
        <v>540</v>
      </c>
      <c r="D23" s="1">
        <v>72</v>
      </c>
      <c r="E23" s="1">
        <v>41</v>
      </c>
      <c r="F23" s="1">
        <v>50</v>
      </c>
      <c r="G23" s="1" t="s">
        <v>404</v>
      </c>
      <c r="H23" s="1">
        <v>48</v>
      </c>
      <c r="I23" s="27">
        <v>1</v>
      </c>
      <c r="J23" s="28" t="s">
        <v>1883</v>
      </c>
      <c r="K23" s="1" t="s">
        <v>1807</v>
      </c>
      <c r="L23" s="1">
        <f t="shared" si="0"/>
        <v>2400</v>
      </c>
      <c r="M23" s="1">
        <f t="shared" si="1"/>
        <v>33.333333333333336</v>
      </c>
      <c r="N23" s="1" t="e">
        <f t="shared" ref="N23:O23" ca="1" si="12">_xludf.XLOOKUP(_xludf.MAXIFS($L$2:$L$35,$C$2:$C$35,N22),$L$2:$L$35,$B$2:$B$35,"No Pokemon")</f>
        <v>#NAME?</v>
      </c>
      <c r="O23" s="1" t="e">
        <f t="shared" ca="1" si="12"/>
        <v>#NAME?</v>
      </c>
      <c r="Q23" s="1" t="e">
        <f t="shared" ref="Q23:R23" ca="1" si="13">_xludf.XLOOKUP(_xludf.MAXIFS($M$2:$M$35,$C$2:$C$35,Q22),$M$2:$M$35,$B$2:$B$35,"No Pokemon")</f>
        <v>#NAME?</v>
      </c>
      <c r="R23" s="1" t="e">
        <f t="shared" ca="1" si="13"/>
        <v>#NAME?</v>
      </c>
    </row>
    <row r="24" spans="1:18">
      <c r="A24" s="1">
        <v>56</v>
      </c>
      <c r="B24" s="1" t="s">
        <v>1884</v>
      </c>
      <c r="C24" s="1" t="s">
        <v>540</v>
      </c>
      <c r="D24" s="1">
        <v>100</v>
      </c>
      <c r="E24" s="1">
        <v>30</v>
      </c>
      <c r="F24" s="1">
        <v>60</v>
      </c>
      <c r="G24" s="1" t="s">
        <v>327</v>
      </c>
      <c r="H24" s="1">
        <v>72</v>
      </c>
      <c r="I24" s="27">
        <v>1</v>
      </c>
      <c r="J24" s="28" t="s">
        <v>1883</v>
      </c>
      <c r="K24" s="1" t="s">
        <v>1807</v>
      </c>
      <c r="L24" s="1">
        <f t="shared" si="0"/>
        <v>4320</v>
      </c>
      <c r="M24" s="1">
        <f t="shared" si="1"/>
        <v>43.2</v>
      </c>
    </row>
    <row r="25" spans="1:18">
      <c r="A25" s="1">
        <v>57</v>
      </c>
      <c r="B25" s="1" t="s">
        <v>153</v>
      </c>
      <c r="C25" s="1" t="s">
        <v>154</v>
      </c>
      <c r="D25" s="1">
        <v>72</v>
      </c>
      <c r="E25" s="1">
        <v>39</v>
      </c>
      <c r="F25" s="1">
        <v>60</v>
      </c>
      <c r="G25" s="1" t="s">
        <v>404</v>
      </c>
      <c r="H25" s="1">
        <v>81</v>
      </c>
      <c r="I25" s="27">
        <v>1</v>
      </c>
      <c r="J25" s="1" t="s">
        <v>1780</v>
      </c>
      <c r="L25" s="1">
        <f t="shared" si="0"/>
        <v>4860</v>
      </c>
      <c r="M25" s="1">
        <f t="shared" si="1"/>
        <v>67.5</v>
      </c>
    </row>
    <row r="26" spans="1:18">
      <c r="A26" s="1">
        <v>59</v>
      </c>
      <c r="B26" s="1" t="s">
        <v>1885</v>
      </c>
      <c r="C26" s="1" t="s">
        <v>129</v>
      </c>
      <c r="D26" s="1">
        <v>40</v>
      </c>
      <c r="E26" s="1">
        <v>31</v>
      </c>
      <c r="F26" s="1">
        <v>40</v>
      </c>
      <c r="G26" s="1" t="s">
        <v>404</v>
      </c>
      <c r="H26" s="1">
        <v>28</v>
      </c>
      <c r="I26" s="27">
        <v>1</v>
      </c>
      <c r="J26" s="1" t="s">
        <v>1886</v>
      </c>
      <c r="L26" s="1">
        <f t="shared" si="0"/>
        <v>1120</v>
      </c>
      <c r="M26" s="1">
        <f t="shared" si="1"/>
        <v>28</v>
      </c>
      <c r="N26" s="1" t="s">
        <v>82</v>
      </c>
      <c r="O26" s="1" t="s">
        <v>64</v>
      </c>
      <c r="Q26" s="1" t="s">
        <v>82</v>
      </c>
      <c r="R26" s="1" t="s">
        <v>64</v>
      </c>
    </row>
    <row r="27" spans="1:18">
      <c r="A27" s="1">
        <v>60</v>
      </c>
      <c r="B27" s="1" t="s">
        <v>1887</v>
      </c>
      <c r="C27" s="1" t="s">
        <v>62</v>
      </c>
      <c r="D27" s="1">
        <v>68</v>
      </c>
      <c r="E27" s="1">
        <v>55</v>
      </c>
      <c r="F27" s="1">
        <v>60</v>
      </c>
      <c r="G27" s="1" t="s">
        <v>404</v>
      </c>
      <c r="H27" s="1">
        <v>48</v>
      </c>
      <c r="I27" s="27">
        <v>1</v>
      </c>
      <c r="J27" s="1" t="s">
        <v>1886</v>
      </c>
      <c r="L27" s="1">
        <f t="shared" si="0"/>
        <v>2880</v>
      </c>
      <c r="M27" s="1">
        <f t="shared" si="1"/>
        <v>42.352941176470587</v>
      </c>
      <c r="N27" s="1" t="e">
        <f t="shared" ref="N27:O27" ca="1" si="14">_xludf.XLOOKUP(_xludf.MAXIFS($L$2:$L$35,$C$2:$C$35,N26),$L$2:$L$35,$B$2:$B$35,"No Pokemon")</f>
        <v>#NAME?</v>
      </c>
      <c r="O27" s="1" t="e">
        <f t="shared" ca="1" si="14"/>
        <v>#NAME?</v>
      </c>
      <c r="Q27" s="1" t="e">
        <f t="shared" ref="Q27:R27" ca="1" si="15">_xludf.XLOOKUP(_xludf.MAXIFS($M$2:$M$35,$C$2:$C$35,Q26),$M$2:$M$35,$B$2:$B$35,"No Pokemon")</f>
        <v>#NAME?</v>
      </c>
      <c r="R27" s="1" t="e">
        <f t="shared" ca="1" si="15"/>
        <v>#NAME?</v>
      </c>
    </row>
    <row r="28" spans="1:18">
      <c r="A28" s="1">
        <v>61</v>
      </c>
      <c r="B28" s="1" t="s">
        <v>1888</v>
      </c>
      <c r="C28" s="1" t="s">
        <v>62</v>
      </c>
      <c r="D28" s="1">
        <v>100</v>
      </c>
      <c r="E28" s="1">
        <v>55</v>
      </c>
      <c r="F28" s="1">
        <v>70</v>
      </c>
      <c r="G28" s="1" t="s">
        <v>404</v>
      </c>
      <c r="H28" s="1">
        <v>105</v>
      </c>
      <c r="I28" s="27">
        <v>1</v>
      </c>
      <c r="J28" s="1" t="s">
        <v>1886</v>
      </c>
      <c r="L28" s="1">
        <f t="shared" si="0"/>
        <v>7350</v>
      </c>
      <c r="M28" s="1">
        <f t="shared" si="1"/>
        <v>73.5</v>
      </c>
    </row>
    <row r="29" spans="1:18">
      <c r="A29" s="1">
        <v>62</v>
      </c>
      <c r="B29" s="1" t="s">
        <v>178</v>
      </c>
      <c r="C29" s="1" t="s">
        <v>59</v>
      </c>
      <c r="D29" s="1">
        <v>98</v>
      </c>
      <c r="E29" s="1">
        <v>35</v>
      </c>
      <c r="F29" s="1">
        <v>60</v>
      </c>
      <c r="G29" s="1" t="s">
        <v>327</v>
      </c>
      <c r="H29" s="1">
        <v>83</v>
      </c>
      <c r="I29" s="27">
        <v>1</v>
      </c>
      <c r="J29" s="1" t="s">
        <v>1793</v>
      </c>
      <c r="L29" s="1">
        <f t="shared" si="0"/>
        <v>4980</v>
      </c>
      <c r="M29" s="1">
        <f t="shared" si="1"/>
        <v>50.816326530612244</v>
      </c>
    </row>
    <row r="30" spans="1:18">
      <c r="A30" s="1">
        <v>63</v>
      </c>
      <c r="B30" s="1" t="s">
        <v>1889</v>
      </c>
      <c r="C30" s="1" t="s">
        <v>129</v>
      </c>
      <c r="D30" s="1">
        <v>38</v>
      </c>
      <c r="E30" s="1">
        <v>31</v>
      </c>
      <c r="F30" s="1">
        <v>40</v>
      </c>
      <c r="G30" s="1" t="s">
        <v>404</v>
      </c>
      <c r="H30" s="1">
        <v>19</v>
      </c>
      <c r="I30" s="27">
        <v>1</v>
      </c>
      <c r="J30" s="1" t="s">
        <v>1795</v>
      </c>
      <c r="L30" s="1">
        <f t="shared" si="0"/>
        <v>760</v>
      </c>
      <c r="M30" s="1">
        <f t="shared" si="1"/>
        <v>20</v>
      </c>
      <c r="N30" s="1" t="s">
        <v>32</v>
      </c>
      <c r="O30" s="1" t="s">
        <v>336</v>
      </c>
      <c r="Q30" s="1" t="s">
        <v>32</v>
      </c>
      <c r="R30" s="1" t="s">
        <v>336</v>
      </c>
    </row>
    <row r="31" spans="1:18">
      <c r="A31" s="1">
        <v>64</v>
      </c>
      <c r="B31" s="1" t="s">
        <v>1890</v>
      </c>
      <c r="C31" s="1" t="s">
        <v>62</v>
      </c>
      <c r="D31" s="1">
        <v>94</v>
      </c>
      <c r="E31" s="1">
        <v>82</v>
      </c>
      <c r="F31" s="1">
        <v>55</v>
      </c>
      <c r="G31" s="1" t="s">
        <v>327</v>
      </c>
      <c r="H31" s="1">
        <v>79</v>
      </c>
      <c r="I31" s="27">
        <v>0.95</v>
      </c>
      <c r="J31" s="1" t="s">
        <v>1795</v>
      </c>
      <c r="L31" s="1">
        <f t="shared" si="0"/>
        <v>4345</v>
      </c>
      <c r="M31" s="1">
        <f t="shared" si="1"/>
        <v>46.223404255319146</v>
      </c>
      <c r="N31" s="1" t="e">
        <f t="shared" ref="N31:O31" ca="1" si="16">_xludf.XLOOKUP(_xludf.MAXIFS($L$2:$L$35,$C$2:$C$35,N30),$L$2:$L$35,$B$2:$B$35,"No Pokemon")</f>
        <v>#NAME?</v>
      </c>
      <c r="O31" s="1" t="e">
        <f t="shared" ca="1" si="16"/>
        <v>#NAME?</v>
      </c>
      <c r="Q31" s="1" t="e">
        <f t="shared" ref="Q31:R31" ca="1" si="17">_xludf.XLOOKUP(_xludf.MAXIFS($M$2:$M$35,$C$2:$C$35,Q30),$M$2:$M$35,$B$2:$B$35,"No Pokemon")</f>
        <v>#NAME?</v>
      </c>
      <c r="R31" s="1" t="e">
        <f t="shared" ca="1" si="17"/>
        <v>#NAME?</v>
      </c>
    </row>
    <row r="32" spans="1:18">
      <c r="A32" s="1">
        <v>65</v>
      </c>
      <c r="B32" s="1" t="s">
        <v>1891</v>
      </c>
      <c r="C32" s="1" t="s">
        <v>363</v>
      </c>
      <c r="D32" s="1">
        <v>42</v>
      </c>
      <c r="E32" s="1">
        <v>18</v>
      </c>
      <c r="F32" s="1">
        <v>30</v>
      </c>
      <c r="G32" s="1" t="s">
        <v>404</v>
      </c>
      <c r="H32" s="1">
        <v>25</v>
      </c>
      <c r="I32" s="27">
        <v>1</v>
      </c>
      <c r="J32" s="1" t="s">
        <v>1835</v>
      </c>
      <c r="L32" s="1">
        <f t="shared" si="0"/>
        <v>750</v>
      </c>
      <c r="M32" s="1">
        <f t="shared" si="1"/>
        <v>17.857142857142858</v>
      </c>
    </row>
    <row r="33" spans="1:18">
      <c r="A33" s="1">
        <v>66</v>
      </c>
      <c r="B33" s="1" t="s">
        <v>1892</v>
      </c>
      <c r="C33" s="1" t="s">
        <v>363</v>
      </c>
      <c r="D33" s="1">
        <v>80</v>
      </c>
      <c r="E33" s="1">
        <v>23</v>
      </c>
      <c r="F33" s="1">
        <v>40</v>
      </c>
      <c r="G33" s="1" t="s">
        <v>404</v>
      </c>
      <c r="H33" s="1">
        <v>55</v>
      </c>
      <c r="I33" s="27">
        <v>1</v>
      </c>
      <c r="J33" s="1" t="s">
        <v>1835</v>
      </c>
      <c r="L33" s="1">
        <f t="shared" si="0"/>
        <v>2200</v>
      </c>
      <c r="M33" s="1">
        <f t="shared" si="1"/>
        <v>27.5</v>
      </c>
    </row>
    <row r="34" spans="1:18">
      <c r="A34" s="1">
        <v>68</v>
      </c>
      <c r="B34" s="1" t="s">
        <v>1893</v>
      </c>
      <c r="C34" s="1" t="s">
        <v>129</v>
      </c>
      <c r="D34" s="1">
        <v>44</v>
      </c>
      <c r="E34" s="1">
        <v>34</v>
      </c>
      <c r="F34" s="1">
        <v>40</v>
      </c>
      <c r="G34" s="1" t="s">
        <v>404</v>
      </c>
      <c r="H34" s="1">
        <v>50</v>
      </c>
      <c r="I34" s="27">
        <v>1</v>
      </c>
      <c r="J34" s="1" t="s">
        <v>1894</v>
      </c>
      <c r="L34" s="1">
        <f t="shared" si="0"/>
        <v>2000</v>
      </c>
      <c r="M34" s="1">
        <f t="shared" si="1"/>
        <v>45.454545454545453</v>
      </c>
      <c r="N34" s="1" t="s">
        <v>62</v>
      </c>
      <c r="O34" s="1" t="s">
        <v>138</v>
      </c>
      <c r="Q34" s="1" t="s">
        <v>62</v>
      </c>
      <c r="R34" s="1" t="s">
        <v>138</v>
      </c>
    </row>
    <row r="35" spans="1:18">
      <c r="A35" s="1">
        <v>69</v>
      </c>
      <c r="B35" s="1" t="s">
        <v>1895</v>
      </c>
      <c r="C35" s="1" t="s">
        <v>336</v>
      </c>
      <c r="D35" s="1">
        <v>72</v>
      </c>
      <c r="E35" s="1">
        <v>51</v>
      </c>
      <c r="F35" s="1">
        <v>60</v>
      </c>
      <c r="G35" s="1" t="s">
        <v>404</v>
      </c>
      <c r="H35" s="1">
        <v>86</v>
      </c>
      <c r="I35" s="27">
        <v>1</v>
      </c>
      <c r="J35" s="1" t="s">
        <v>1894</v>
      </c>
      <c r="L35" s="1">
        <f t="shared" si="0"/>
        <v>5160</v>
      </c>
      <c r="M35" s="1">
        <f t="shared" si="1"/>
        <v>71.666666666666671</v>
      </c>
      <c r="N35" s="1" t="e">
        <f t="shared" ref="N35:O35" ca="1" si="18">_xludf.XLOOKUP(_xludf.MAXIFS($L$2:$L$35,$C$2:$C$35,N34),$L$2:$L$35,$B$2:$B$35,"No Pokemon")</f>
        <v>#NAME?</v>
      </c>
      <c r="O35" s="1" t="e">
        <f t="shared" ca="1" si="18"/>
        <v>#NAME?</v>
      </c>
      <c r="Q35" s="1" t="e">
        <f t="shared" ref="Q35:R35" ca="1" si="19">_xludf.XLOOKUP(_xludf.MAXIFS($M$2:$M$35,$C$2:$C$35,Q34),$M$2:$M$35,$B$2:$B$35,"No Pokemon")</f>
        <v>#NAME?</v>
      </c>
      <c r="R35" s="1" t="e">
        <f t="shared" ca="1" si="19"/>
        <v>#NAME?</v>
      </c>
    </row>
    <row r="37" spans="1:18">
      <c r="J37" s="28" t="s">
        <v>1824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R48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6.85546875" customWidth="1"/>
    <col min="2" max="2" width="14.42578125" customWidth="1"/>
    <col min="3" max="3" width="9.140625" customWidth="1"/>
    <col min="4" max="4" width="3.28515625" customWidth="1"/>
    <col min="5" max="5" width="5.85546875" customWidth="1"/>
    <col min="6" max="6" width="10.28515625" customWidth="1"/>
    <col min="7" max="7" width="10.85546875" customWidth="1"/>
    <col min="8" max="8" width="9" customWidth="1"/>
    <col min="9" max="9" width="10.28515625" customWidth="1"/>
    <col min="10" max="10" width="63.7109375" customWidth="1"/>
    <col min="11" max="11" width="25.140625" customWidth="1"/>
    <col min="12" max="12" width="7.28515625" customWidth="1"/>
    <col min="13" max="13" width="10.7109375" customWidth="1"/>
    <col min="14" max="14" width="11.42578125" customWidth="1"/>
    <col min="15" max="16" width="13.42578125" customWidth="1"/>
    <col min="17" max="17" width="11.42578125" customWidth="1"/>
    <col min="18" max="18" width="13.85546875" customWidth="1"/>
  </cols>
  <sheetData>
    <row r="1" spans="1:18">
      <c r="A1" s="1" t="s">
        <v>25</v>
      </c>
      <c r="B1" s="1" t="s">
        <v>1750</v>
      </c>
      <c r="C1" s="1" t="s">
        <v>1766</v>
      </c>
      <c r="D1" s="1" t="s">
        <v>1</v>
      </c>
      <c r="E1" s="1" t="s">
        <v>1798</v>
      </c>
      <c r="F1" s="1" t="s">
        <v>1768</v>
      </c>
      <c r="G1" s="1" t="s">
        <v>1769</v>
      </c>
      <c r="H1" s="1" t="s">
        <v>1770</v>
      </c>
      <c r="I1" s="1" t="s">
        <v>400</v>
      </c>
      <c r="J1" s="1" t="s">
        <v>1799</v>
      </c>
      <c r="K1" s="1" t="s">
        <v>1776</v>
      </c>
      <c r="L1" s="1" t="s">
        <v>1772</v>
      </c>
      <c r="M1" s="1" t="s">
        <v>1765</v>
      </c>
      <c r="N1" s="1" t="s">
        <v>28</v>
      </c>
      <c r="O1" s="1" t="s">
        <v>1800</v>
      </c>
      <c r="P1" s="1"/>
      <c r="Q1" s="1" t="s">
        <v>28</v>
      </c>
      <c r="R1" s="1" t="s">
        <v>1801</v>
      </c>
    </row>
    <row r="2" spans="1:18">
      <c r="A2" s="1">
        <v>28</v>
      </c>
      <c r="B2" s="1" t="s">
        <v>1896</v>
      </c>
      <c r="C2" s="1" t="s">
        <v>82</v>
      </c>
      <c r="D2" s="1">
        <v>44</v>
      </c>
      <c r="E2" s="1">
        <v>28</v>
      </c>
      <c r="F2" s="1">
        <v>55</v>
      </c>
      <c r="G2" s="1" t="s">
        <v>404</v>
      </c>
      <c r="H2" s="1">
        <v>30</v>
      </c>
      <c r="I2" s="27">
        <v>0.95</v>
      </c>
      <c r="J2" s="1" t="s">
        <v>1782</v>
      </c>
      <c r="L2" s="1">
        <f t="shared" ref="L2:L8" si="0">F2*H2</f>
        <v>1650</v>
      </c>
      <c r="M2" s="1">
        <f t="shared" ref="M2:M8" si="1">L2/D2</f>
        <v>37.5</v>
      </c>
      <c r="N2" s="1" t="s">
        <v>129</v>
      </c>
      <c r="O2" s="1" t="s">
        <v>337</v>
      </c>
      <c r="P2" s="1"/>
      <c r="Q2" s="1" t="s">
        <v>129</v>
      </c>
      <c r="R2" s="1" t="s">
        <v>337</v>
      </c>
    </row>
    <row r="3" spans="1:18">
      <c r="A3" s="1">
        <v>29</v>
      </c>
      <c r="B3" s="1" t="s">
        <v>1897</v>
      </c>
      <c r="C3" s="1" t="s">
        <v>82</v>
      </c>
      <c r="D3" s="1">
        <v>70</v>
      </c>
      <c r="E3" s="1">
        <v>47</v>
      </c>
      <c r="F3" s="1">
        <v>60</v>
      </c>
      <c r="G3" s="1" t="s">
        <v>327</v>
      </c>
      <c r="H3" s="1">
        <v>49</v>
      </c>
      <c r="I3" s="1" t="s">
        <v>1821</v>
      </c>
      <c r="J3" s="1" t="s">
        <v>1782</v>
      </c>
      <c r="L3" s="1">
        <f t="shared" si="0"/>
        <v>2940</v>
      </c>
      <c r="M3" s="1">
        <f t="shared" si="1"/>
        <v>42</v>
      </c>
      <c r="N3" s="1" t="e">
        <f t="shared" ref="N3:O3" ca="1" si="2">_xludf.XLOOKUP(_xludf.MAXIFS($L$2:$L$47,$C$2:$C$47,N2),$L$2:$L$47,$B$2:$B$47,"No Pokemon")</f>
        <v>#NAME?</v>
      </c>
      <c r="O3" s="1" t="e">
        <f t="shared" ca="1" si="2"/>
        <v>#NAME?</v>
      </c>
      <c r="Q3" s="1" t="e">
        <f t="shared" ref="Q3:R3" ca="1" si="3">_xludf.XLOOKUP(_xludf.MAXIFS($M$2:$M$47,$C$2:$C$47,Q2),$M$2:$M$47,$B$2:$B$47,"No Pokemon")</f>
        <v>#NAME?</v>
      </c>
      <c r="R3" s="1" t="e">
        <f t="shared" ca="1" si="3"/>
        <v>#NAME?</v>
      </c>
    </row>
    <row r="4" spans="1:18">
      <c r="A4" s="1">
        <v>31</v>
      </c>
      <c r="B4" s="1" t="s">
        <v>1898</v>
      </c>
      <c r="C4" s="1" t="s">
        <v>59</v>
      </c>
      <c r="D4" s="1">
        <v>44</v>
      </c>
      <c r="E4" s="1">
        <v>38</v>
      </c>
      <c r="F4" s="1">
        <v>50</v>
      </c>
      <c r="G4" s="1" t="s">
        <v>404</v>
      </c>
      <c r="H4" s="1">
        <v>32</v>
      </c>
      <c r="I4" s="27">
        <v>1</v>
      </c>
      <c r="J4" s="28" t="s">
        <v>1781</v>
      </c>
      <c r="L4" s="1">
        <f t="shared" si="0"/>
        <v>1600</v>
      </c>
      <c r="M4" s="1">
        <f t="shared" si="1"/>
        <v>36.363636363636367</v>
      </c>
    </row>
    <row r="5" spans="1:18">
      <c r="A5" s="1">
        <v>32</v>
      </c>
      <c r="B5" s="1" t="s">
        <v>1899</v>
      </c>
      <c r="C5" s="1" t="s">
        <v>59</v>
      </c>
      <c r="D5" s="1">
        <v>70</v>
      </c>
      <c r="E5" s="1">
        <v>61</v>
      </c>
      <c r="F5" s="1">
        <v>60</v>
      </c>
      <c r="G5" s="1" t="s">
        <v>404</v>
      </c>
      <c r="H5" s="1">
        <v>49</v>
      </c>
      <c r="I5" s="27">
        <v>1</v>
      </c>
      <c r="J5" s="28" t="s">
        <v>1781</v>
      </c>
      <c r="L5" s="1">
        <f t="shared" si="0"/>
        <v>2940</v>
      </c>
      <c r="M5" s="1">
        <f t="shared" si="1"/>
        <v>42</v>
      </c>
    </row>
    <row r="6" spans="1:18">
      <c r="A6" s="1">
        <v>34</v>
      </c>
      <c r="B6" s="1" t="s">
        <v>1900</v>
      </c>
      <c r="C6" s="1" t="s">
        <v>54</v>
      </c>
      <c r="D6" s="1">
        <v>44</v>
      </c>
      <c r="E6" s="1">
        <v>27</v>
      </c>
      <c r="F6" s="1">
        <v>40</v>
      </c>
      <c r="G6" s="1" t="s">
        <v>327</v>
      </c>
      <c r="H6" s="1">
        <v>27</v>
      </c>
      <c r="I6" s="27">
        <v>1</v>
      </c>
      <c r="J6" s="1" t="s">
        <v>1790</v>
      </c>
      <c r="L6" s="1">
        <f t="shared" si="0"/>
        <v>1080</v>
      </c>
      <c r="M6" s="1">
        <f t="shared" si="1"/>
        <v>24.545454545454547</v>
      </c>
      <c r="N6" s="1" t="s">
        <v>341</v>
      </c>
      <c r="O6" s="1" t="s">
        <v>154</v>
      </c>
      <c r="P6" s="1"/>
      <c r="Q6" s="1" t="s">
        <v>341</v>
      </c>
      <c r="R6" s="1" t="s">
        <v>154</v>
      </c>
    </row>
    <row r="7" spans="1:18">
      <c r="A7" s="1">
        <v>35</v>
      </c>
      <c r="B7" s="1" t="s">
        <v>1901</v>
      </c>
      <c r="C7" s="1" t="s">
        <v>54</v>
      </c>
      <c r="D7" s="1">
        <v>70</v>
      </c>
      <c r="E7" s="1">
        <v>45</v>
      </c>
      <c r="F7" s="1">
        <v>60</v>
      </c>
      <c r="G7" s="1" t="s">
        <v>327</v>
      </c>
      <c r="H7" s="1">
        <v>46</v>
      </c>
      <c r="I7" s="27">
        <v>1</v>
      </c>
      <c r="J7" s="1" t="s">
        <v>1790</v>
      </c>
      <c r="L7" s="1">
        <f t="shared" si="0"/>
        <v>2760</v>
      </c>
      <c r="M7" s="1">
        <f t="shared" si="1"/>
        <v>39.428571428571431</v>
      </c>
      <c r="N7" s="1" t="e">
        <f t="shared" ref="N7:O7" ca="1" si="4">_xludf.XLOOKUP(_xludf.MAXIFS($L$2:$L$47,$C$2:$C$47,N6),$L$2:$L$47,$B$2:$B$47,"No Pokemon")</f>
        <v>#NAME?</v>
      </c>
      <c r="O7" s="1" t="e">
        <f t="shared" ca="1" si="4"/>
        <v>#NAME?</v>
      </c>
      <c r="Q7" s="1" t="e">
        <f t="shared" ref="Q7:R7" ca="1" si="5">_xludf.XLOOKUP(_xludf.MAXIFS($M$2:$M$47,$C$2:$C$47,Q6),$M$2:$M$47,$B$2:$B$47,"No Pokemon")</f>
        <v>#NAME?</v>
      </c>
      <c r="R7" s="1" t="e">
        <f t="shared" ca="1" si="5"/>
        <v>#NAME?</v>
      </c>
    </row>
    <row r="8" spans="1:18">
      <c r="A8" s="1">
        <v>37</v>
      </c>
      <c r="B8" s="1" t="s">
        <v>1902</v>
      </c>
      <c r="C8" s="1" t="s">
        <v>363</v>
      </c>
      <c r="D8" s="1">
        <v>40</v>
      </c>
      <c r="E8" s="1">
        <v>47</v>
      </c>
      <c r="F8" s="1">
        <v>30</v>
      </c>
      <c r="G8" s="1" t="s">
        <v>404</v>
      </c>
      <c r="H8" s="1">
        <v>36</v>
      </c>
      <c r="I8" s="27">
        <v>1</v>
      </c>
      <c r="J8" s="31" t="s">
        <v>1903</v>
      </c>
      <c r="L8" s="1">
        <f t="shared" si="0"/>
        <v>1080</v>
      </c>
      <c r="M8" s="1">
        <f t="shared" si="1"/>
        <v>27</v>
      </c>
    </row>
    <row r="9" spans="1:18">
      <c r="A9" s="1">
        <v>33</v>
      </c>
      <c r="I9" s="27"/>
    </row>
    <row r="10" spans="1:18">
      <c r="A10" s="1">
        <v>34</v>
      </c>
      <c r="I10" s="27"/>
      <c r="N10" s="1" t="s">
        <v>431</v>
      </c>
      <c r="O10" s="1" t="s">
        <v>164</v>
      </c>
      <c r="P10" s="1"/>
      <c r="Q10" s="1" t="s">
        <v>431</v>
      </c>
      <c r="R10" s="1" t="s">
        <v>164</v>
      </c>
    </row>
    <row r="11" spans="1:18">
      <c r="A11" s="1">
        <v>35</v>
      </c>
      <c r="I11" s="27"/>
      <c r="J11" s="32"/>
      <c r="N11" s="1" t="e">
        <f t="shared" ref="N11:O11" ca="1" si="6">_xludf.XLOOKUP(_xludf.MAXIFS($L$2:$L$47,$C$2:$C$47,N10),$L$2:$L$47,$B$2:$B$47,"No Pokemon")</f>
        <v>#NAME?</v>
      </c>
      <c r="O11" s="1" t="e">
        <f t="shared" ca="1" si="6"/>
        <v>#NAME?</v>
      </c>
      <c r="Q11" s="1" t="e">
        <f t="shared" ref="Q11:R11" ca="1" si="7">_xludf.XLOOKUP(_xludf.MAXIFS($M$2:$M$47,$C$2:$C$47,Q10),$M$2:$M$47,$B$2:$B$47,"No Pokemon")</f>
        <v>#NAME?</v>
      </c>
      <c r="R11" s="1" t="e">
        <f t="shared" ca="1" si="7"/>
        <v>#NAME?</v>
      </c>
    </row>
    <row r="12" spans="1:18">
      <c r="A12" s="1">
        <v>36</v>
      </c>
      <c r="I12" s="27"/>
      <c r="J12" s="32"/>
    </row>
    <row r="13" spans="1:18">
      <c r="A13" s="1">
        <v>37</v>
      </c>
      <c r="I13" s="27"/>
      <c r="J13" s="32"/>
    </row>
    <row r="14" spans="1:18">
      <c r="A14" s="1">
        <v>38</v>
      </c>
      <c r="I14" s="27"/>
      <c r="N14" s="1" t="s">
        <v>540</v>
      </c>
      <c r="O14" s="1" t="s">
        <v>363</v>
      </c>
      <c r="P14" s="1"/>
      <c r="Q14" s="1" t="s">
        <v>540</v>
      </c>
      <c r="R14" s="1" t="s">
        <v>363</v>
      </c>
    </row>
    <row r="15" spans="1:18">
      <c r="A15" s="1">
        <v>39</v>
      </c>
      <c r="I15" s="27"/>
      <c r="N15" s="1" t="e">
        <f t="shared" ref="N15:O15" ca="1" si="8">_xludf.XLOOKUP(_xludf.MAXIFS($L$2:$L$47,$C$2:$C$47,N14),$L$2:$L$47,$B$2:$B$47,"No Pokemon")</f>
        <v>#NAME?</v>
      </c>
      <c r="O15" s="1" t="e">
        <f t="shared" ca="1" si="8"/>
        <v>#NAME?</v>
      </c>
      <c r="Q15" s="1" t="e">
        <f t="shared" ref="Q15:R15" ca="1" si="9">_xludf.XLOOKUP(_xludf.MAXIFS($M$2:$M$47,$C$2:$C$47,Q14),$M$2:$M$47,$B$2:$B$47,"No Pokemon")</f>
        <v>#NAME?</v>
      </c>
      <c r="R15" s="1" t="e">
        <f t="shared" ca="1" si="9"/>
        <v>#NAME?</v>
      </c>
    </row>
    <row r="16" spans="1:18">
      <c r="A16" s="1">
        <v>40</v>
      </c>
      <c r="I16" s="27"/>
      <c r="J16" s="32"/>
    </row>
    <row r="17" spans="1:18">
      <c r="A17" s="1">
        <v>41</v>
      </c>
      <c r="I17" s="27"/>
    </row>
    <row r="18" spans="1:18">
      <c r="A18" s="1">
        <v>42</v>
      </c>
      <c r="I18" s="27"/>
      <c r="J18" s="32"/>
      <c r="N18" s="1" t="s">
        <v>726</v>
      </c>
      <c r="O18" s="1" t="s">
        <v>59</v>
      </c>
      <c r="P18" s="1"/>
      <c r="Q18" s="1" t="s">
        <v>726</v>
      </c>
      <c r="R18" s="1" t="s">
        <v>59</v>
      </c>
    </row>
    <row r="19" spans="1:18">
      <c r="A19" s="1">
        <v>43</v>
      </c>
      <c r="I19" s="27"/>
      <c r="N19" s="1" t="e">
        <f t="array" aca="1" ref="N19" ca="1">_xludf.XLOOKUP(_xludf.MAXIFS($L$2:$L$47,$C$2:$C$47,N18),$L$2:$L$47,$B$2:$B$47,"No Pokemon")</f>
        <v>#NAME?</v>
      </c>
      <c r="O19" s="1" t="e">
        <f t="array" aca="1" ref="O19" ca="1">_xludf.XLOOKUP(_xludf.MAXIFS($L$2:$L$49,$C$2:$C$49,O18),$L$2:$L$49,$B$2:$B$49,"No Pokemon")</f>
        <v>#NAME?</v>
      </c>
      <c r="Q19" s="1" t="e">
        <f t="shared" ref="Q19:R19" ca="1" si="10">_xludf.XLOOKUP(_xludf.MAXIFS($M$2:$M$47,$C$2:$C$47,Q18),$M$2:$M$47,$B$2:$B$47,"No Pokemon")</f>
        <v>#NAME?</v>
      </c>
      <c r="R19" s="1" t="e">
        <f t="shared" ca="1" si="10"/>
        <v>#NAME?</v>
      </c>
    </row>
    <row r="20" spans="1:18">
      <c r="A20" s="1">
        <v>44</v>
      </c>
      <c r="I20" s="27"/>
    </row>
    <row r="21" spans="1:18">
      <c r="A21" s="1">
        <v>45</v>
      </c>
      <c r="I21" s="27"/>
    </row>
    <row r="22" spans="1:18">
      <c r="A22" s="1">
        <v>46</v>
      </c>
      <c r="I22" s="27"/>
      <c r="N22" s="1" t="s">
        <v>54</v>
      </c>
      <c r="O22" s="1" t="s">
        <v>76</v>
      </c>
      <c r="P22" s="1"/>
      <c r="Q22" s="1" t="s">
        <v>54</v>
      </c>
      <c r="R22" s="1" t="s">
        <v>76</v>
      </c>
    </row>
    <row r="23" spans="1:18">
      <c r="A23" s="1">
        <v>47</v>
      </c>
      <c r="I23" s="27"/>
      <c r="N23" s="1" t="e">
        <f t="shared" ref="N23:O23" ca="1" si="11">_xludf.XLOOKUP(_xludf.MAXIFS($L$2:$L$47,$C$2:$C$47,N22),$L$2:$L$47,$B$2:$B$47,"No Pokemon")</f>
        <v>#NAME?</v>
      </c>
      <c r="O23" s="1" t="e">
        <f t="shared" ca="1" si="11"/>
        <v>#NAME?</v>
      </c>
      <c r="Q23" s="1" t="e">
        <f t="shared" ref="Q23:R23" ca="1" si="12">_xludf.XLOOKUP(_xludf.MAXIFS($M$2:$M$47,$C$2:$C$47,Q22),$M$2:$M$47,$B$2:$B$47,"No Pokemon")</f>
        <v>#NAME?</v>
      </c>
      <c r="R23" s="1" t="e">
        <f t="shared" ca="1" si="12"/>
        <v>#NAME?</v>
      </c>
    </row>
    <row r="24" spans="1:18">
      <c r="A24" s="1">
        <v>48</v>
      </c>
      <c r="I24" s="27"/>
    </row>
    <row r="25" spans="1:18">
      <c r="A25" s="1">
        <v>49</v>
      </c>
      <c r="I25" s="27"/>
    </row>
    <row r="26" spans="1:18">
      <c r="A26" s="1">
        <v>50</v>
      </c>
      <c r="I26" s="27"/>
      <c r="J26" s="32"/>
      <c r="N26" s="1" t="s">
        <v>82</v>
      </c>
      <c r="O26" s="1" t="s">
        <v>64</v>
      </c>
      <c r="P26" s="1"/>
      <c r="Q26" s="1" t="s">
        <v>82</v>
      </c>
      <c r="R26" s="1" t="s">
        <v>64</v>
      </c>
    </row>
    <row r="27" spans="1:18">
      <c r="A27" s="1">
        <v>51</v>
      </c>
      <c r="I27" s="27"/>
      <c r="J27" s="32"/>
      <c r="N27" s="1" t="e">
        <f t="shared" ref="N27:O27" ca="1" si="13">_xludf.XLOOKUP(_xludf.MAXIFS($L$2:$L$47,$C$2:$C$47,N26),$L$2:$L$47,$B$2:$B$47,"No Pokemon")</f>
        <v>#NAME?</v>
      </c>
      <c r="O27" s="1" t="e">
        <f t="shared" ca="1" si="13"/>
        <v>#NAME?</v>
      </c>
      <c r="Q27" s="1" t="e">
        <f t="shared" ref="Q27:R27" ca="1" si="14">_xludf.XLOOKUP(_xludf.MAXIFS($M$2:$M$47,$C$2:$C$47,Q26),$M$2:$M$47,$B$2:$B$47,"No Pokemon")</f>
        <v>#NAME?</v>
      </c>
      <c r="R27" s="1" t="e">
        <f t="shared" ca="1" si="14"/>
        <v>#NAME?</v>
      </c>
    </row>
    <row r="28" spans="1:18">
      <c r="A28" s="1">
        <v>52</v>
      </c>
      <c r="I28" s="27"/>
      <c r="J28" s="32"/>
    </row>
    <row r="29" spans="1:18">
      <c r="A29" s="1">
        <v>53</v>
      </c>
      <c r="I29" s="27"/>
      <c r="J29" s="32"/>
    </row>
    <row r="30" spans="1:18">
      <c r="A30" s="1">
        <v>54</v>
      </c>
      <c r="I30" s="27"/>
      <c r="N30" s="1" t="s">
        <v>32</v>
      </c>
      <c r="O30" s="1" t="s">
        <v>336</v>
      </c>
      <c r="P30" s="1"/>
      <c r="Q30" s="1" t="s">
        <v>32</v>
      </c>
      <c r="R30" s="1" t="s">
        <v>336</v>
      </c>
    </row>
    <row r="31" spans="1:18">
      <c r="A31" s="1">
        <v>55</v>
      </c>
      <c r="I31" s="27"/>
      <c r="N31" s="1" t="e">
        <f t="shared" ref="N31:O31" ca="1" si="15">_xludf.XLOOKUP(_xludf.MAXIFS($L$2:$L$47,$C$2:$C$47,N30),$L$2:$L$47,$B$2:$B$47,"No Pokemon")</f>
        <v>#NAME?</v>
      </c>
      <c r="O31" s="1" t="e">
        <f t="shared" ca="1" si="15"/>
        <v>#NAME?</v>
      </c>
      <c r="Q31" s="1" t="e">
        <f t="shared" ref="Q31:R31" ca="1" si="16">_xludf.XLOOKUP(_xludf.MAXIFS($M$2:$M$47,$C$2:$C$47,Q30),$M$2:$M$47,$B$2:$B$47,"No Pokemon")</f>
        <v>#NAME?</v>
      </c>
      <c r="R31" s="1" t="e">
        <f t="shared" ca="1" si="16"/>
        <v>#NAME?</v>
      </c>
    </row>
    <row r="32" spans="1:18">
      <c r="A32" s="1">
        <v>56</v>
      </c>
      <c r="I32" s="27"/>
    </row>
    <row r="33" spans="1:18">
      <c r="A33" s="1">
        <v>57</v>
      </c>
      <c r="I33" s="27"/>
      <c r="J33" s="32"/>
    </row>
    <row r="34" spans="1:18">
      <c r="A34" s="1">
        <v>58</v>
      </c>
      <c r="I34" s="27"/>
      <c r="J34" s="32"/>
      <c r="N34" s="1" t="s">
        <v>62</v>
      </c>
      <c r="O34" s="1" t="s">
        <v>138</v>
      </c>
      <c r="P34" s="1"/>
      <c r="Q34" s="1" t="s">
        <v>62</v>
      </c>
      <c r="R34" s="1" t="s">
        <v>138</v>
      </c>
    </row>
    <row r="35" spans="1:18">
      <c r="A35" s="1">
        <v>59</v>
      </c>
      <c r="I35" s="27"/>
      <c r="N35" s="1" t="e">
        <f t="array" aca="1" ref="N35" ca="1">_xludf.XLOOKUP(_xludf.MAXIFS($L$2:$L$47,$C$2:$C$47,N34),$L$2:$L$47,$B$2:$B$47,"No Pokemon")</f>
        <v>#NAME?</v>
      </c>
      <c r="O35" s="1" t="s">
        <v>1904</v>
      </c>
      <c r="Q35" s="1" t="e">
        <f t="shared" ref="Q35:R35" ca="1" si="17">_xludf.XLOOKUP(_xludf.MAXIFS($M$2:$M$47,$C$2:$C$47,Q34),$M$2:$M$47,$B$2:$B$47,"No Pokemon")</f>
        <v>#NAME?</v>
      </c>
      <c r="R35" s="1" t="e">
        <f t="shared" ca="1" si="17"/>
        <v>#NAME?</v>
      </c>
    </row>
    <row r="36" spans="1:18">
      <c r="A36" s="1">
        <v>60</v>
      </c>
      <c r="I36" s="27"/>
    </row>
    <row r="37" spans="1:18">
      <c r="A37" s="1">
        <v>61</v>
      </c>
      <c r="I37" s="27"/>
    </row>
    <row r="38" spans="1:18">
      <c r="A38" s="1">
        <v>62</v>
      </c>
      <c r="I38" s="27"/>
    </row>
    <row r="39" spans="1:18">
      <c r="A39" s="1">
        <v>63</v>
      </c>
      <c r="I39" s="27"/>
      <c r="J39" s="32"/>
    </row>
    <row r="40" spans="1:18">
      <c r="A40" s="1">
        <v>64</v>
      </c>
      <c r="I40" s="27"/>
      <c r="J40" s="32"/>
    </row>
    <row r="41" spans="1:18">
      <c r="A41" s="1">
        <v>65</v>
      </c>
      <c r="I41" s="27"/>
      <c r="J41" s="32"/>
    </row>
    <row r="42" spans="1:18">
      <c r="A42" s="1">
        <v>66</v>
      </c>
      <c r="I42" s="27"/>
      <c r="J42" s="32"/>
    </row>
    <row r="43" spans="1:18">
      <c r="A43" s="1">
        <v>67</v>
      </c>
    </row>
    <row r="44" spans="1:18">
      <c r="A44" s="1">
        <v>68</v>
      </c>
      <c r="I44" s="27"/>
    </row>
    <row r="45" spans="1:18">
      <c r="A45" s="1">
        <v>69</v>
      </c>
      <c r="I45" s="27"/>
    </row>
    <row r="46" spans="1:18">
      <c r="A46" s="1">
        <v>70</v>
      </c>
      <c r="I46" s="27"/>
    </row>
    <row r="48" spans="1:18">
      <c r="J48" s="28" t="s">
        <v>1824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M54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8.7109375" customWidth="1"/>
    <col min="2" max="2" width="9.140625" customWidth="1"/>
    <col min="3" max="3" width="3.28515625" customWidth="1"/>
    <col min="4" max="4" width="5.85546875" customWidth="1"/>
    <col min="5" max="5" width="10.28515625" customWidth="1"/>
    <col min="6" max="6" width="10.85546875" customWidth="1"/>
    <col min="7" max="7" width="9" customWidth="1"/>
    <col min="8" max="8" width="10.28515625" customWidth="1"/>
    <col min="9" max="9" width="45.140625" customWidth="1"/>
    <col min="10" max="10" width="11.42578125" customWidth="1"/>
    <col min="11" max="11" width="7.28515625" customWidth="1"/>
    <col min="12" max="13" width="17.5703125" customWidth="1"/>
  </cols>
  <sheetData>
    <row r="1" spans="1:13">
      <c r="A1" s="1" t="s">
        <v>1750</v>
      </c>
      <c r="B1" s="1" t="s">
        <v>1766</v>
      </c>
      <c r="C1" s="1" t="s">
        <v>1</v>
      </c>
      <c r="D1" s="1" t="s">
        <v>1798</v>
      </c>
      <c r="E1" s="1" t="s">
        <v>1768</v>
      </c>
      <c r="F1" s="1" t="s">
        <v>1769</v>
      </c>
      <c r="G1" s="1" t="s">
        <v>1770</v>
      </c>
      <c r="H1" s="1" t="s">
        <v>400</v>
      </c>
      <c r="I1" s="1" t="s">
        <v>1771</v>
      </c>
      <c r="J1" s="1" t="s">
        <v>1776</v>
      </c>
      <c r="K1" s="1" t="s">
        <v>1772</v>
      </c>
      <c r="L1" s="1" t="s">
        <v>1765</v>
      </c>
    </row>
    <row r="2" spans="1:13">
      <c r="A2" s="1" t="s">
        <v>1905</v>
      </c>
      <c r="B2" s="1" t="s">
        <v>76</v>
      </c>
      <c r="C2" s="1">
        <v>100</v>
      </c>
      <c r="D2" s="1">
        <v>118</v>
      </c>
      <c r="E2" s="1">
        <v>90</v>
      </c>
      <c r="F2" s="1" t="s">
        <v>327</v>
      </c>
      <c r="G2" s="1">
        <v>68</v>
      </c>
      <c r="H2" s="27">
        <v>1</v>
      </c>
      <c r="I2" s="1" t="s">
        <v>1779</v>
      </c>
      <c r="K2" s="1">
        <f t="shared" ref="K2:K3" si="0">E2*G2</f>
        <v>6120</v>
      </c>
      <c r="L2" s="1">
        <f t="shared" ref="L2:L3" si="1">K2/C2</f>
        <v>61.2</v>
      </c>
      <c r="M2" s="32"/>
    </row>
    <row r="3" spans="1:13">
      <c r="A3" s="1" t="s">
        <v>1744</v>
      </c>
      <c r="B3" s="1" t="s">
        <v>76</v>
      </c>
      <c r="C3" s="1" t="s">
        <v>1794</v>
      </c>
      <c r="D3" s="1">
        <v>118</v>
      </c>
      <c r="E3" s="1">
        <v>130</v>
      </c>
      <c r="F3" s="1" t="s">
        <v>327</v>
      </c>
      <c r="G3" s="1">
        <v>68</v>
      </c>
      <c r="H3" s="1" t="s">
        <v>1821</v>
      </c>
      <c r="I3" s="1" t="s">
        <v>1779</v>
      </c>
      <c r="K3" s="1">
        <f t="shared" si="0"/>
        <v>8840</v>
      </c>
      <c r="L3" s="1" t="e">
        <f t="shared" si="1"/>
        <v>#VALUE!</v>
      </c>
    </row>
    <row r="4" spans="1:13">
      <c r="A4" s="1"/>
      <c r="B4" s="1"/>
      <c r="C4" s="1"/>
      <c r="D4" s="1"/>
      <c r="E4" s="1"/>
      <c r="F4" s="1"/>
      <c r="G4" s="1"/>
      <c r="H4" s="1"/>
      <c r="I4" s="1"/>
    </row>
    <row r="5" spans="1:13">
      <c r="A5" s="1" t="s">
        <v>1906</v>
      </c>
      <c r="B5" s="1" t="s">
        <v>76</v>
      </c>
      <c r="C5" s="1">
        <v>96</v>
      </c>
      <c r="D5" s="1">
        <v>113</v>
      </c>
      <c r="E5" s="1">
        <v>90</v>
      </c>
      <c r="F5" s="1" t="s">
        <v>327</v>
      </c>
      <c r="G5" s="1">
        <v>65</v>
      </c>
      <c r="H5" s="27">
        <v>1</v>
      </c>
      <c r="I5" s="1" t="s">
        <v>1779</v>
      </c>
      <c r="K5" s="1">
        <f t="shared" ref="K5:K6" si="2">E5*G5</f>
        <v>5850</v>
      </c>
      <c r="L5" s="1">
        <f t="shared" ref="L5:L6" si="3">K5/C5</f>
        <v>60.9375</v>
      </c>
    </row>
    <row r="6" spans="1:13">
      <c r="A6" s="1" t="s">
        <v>1744</v>
      </c>
      <c r="B6" s="1" t="s">
        <v>76</v>
      </c>
      <c r="C6" s="1" t="s">
        <v>1794</v>
      </c>
      <c r="D6" s="1">
        <v>113</v>
      </c>
      <c r="E6" s="1">
        <v>130</v>
      </c>
      <c r="F6" s="1" t="s">
        <v>327</v>
      </c>
      <c r="G6" s="1">
        <v>65</v>
      </c>
      <c r="H6" s="1" t="s">
        <v>1821</v>
      </c>
      <c r="I6" s="1" t="s">
        <v>1779</v>
      </c>
      <c r="K6" s="1">
        <f t="shared" si="2"/>
        <v>8450</v>
      </c>
      <c r="L6" s="1" t="e">
        <f t="shared" si="3"/>
        <v>#VALUE!</v>
      </c>
    </row>
    <row r="7" spans="1:13">
      <c r="A7" s="1"/>
      <c r="B7" s="1"/>
      <c r="C7" s="1"/>
      <c r="D7" s="1"/>
      <c r="E7" s="1"/>
      <c r="F7" s="1"/>
      <c r="G7" s="1"/>
      <c r="H7" s="1"/>
      <c r="I7" s="1"/>
    </row>
    <row r="8" spans="1:13">
      <c r="A8" s="1" t="s">
        <v>5</v>
      </c>
      <c r="B8" s="1" t="s">
        <v>76</v>
      </c>
      <c r="C8" s="1">
        <v>100</v>
      </c>
      <c r="D8" s="1">
        <v>118</v>
      </c>
      <c r="E8" s="1">
        <v>90</v>
      </c>
      <c r="F8" s="1" t="s">
        <v>327</v>
      </c>
      <c r="G8" s="1">
        <v>68</v>
      </c>
      <c r="H8" s="27">
        <v>1</v>
      </c>
      <c r="I8" s="1" t="s">
        <v>1779</v>
      </c>
      <c r="K8" s="1">
        <f t="shared" ref="K8:K14" si="4">E8*G8</f>
        <v>6120</v>
      </c>
      <c r="L8" s="1">
        <f t="shared" ref="L8:L14" si="5">K8/C8</f>
        <v>61.2</v>
      </c>
    </row>
    <row r="9" spans="1:13">
      <c r="A9" s="1" t="s">
        <v>1907</v>
      </c>
      <c r="B9" s="1" t="s">
        <v>76</v>
      </c>
      <c r="C9" s="1">
        <v>100</v>
      </c>
      <c r="E9" s="1">
        <v>175</v>
      </c>
      <c r="F9" s="1" t="s">
        <v>327</v>
      </c>
      <c r="G9" s="1">
        <v>68</v>
      </c>
      <c r="H9" s="1" t="s">
        <v>1821</v>
      </c>
      <c r="K9" s="1">
        <f t="shared" si="4"/>
        <v>11900</v>
      </c>
      <c r="L9" s="1">
        <f t="shared" si="5"/>
        <v>119</v>
      </c>
    </row>
    <row r="10" spans="1:13">
      <c r="A10" s="1" t="s">
        <v>2</v>
      </c>
      <c r="B10" s="1" t="s">
        <v>337</v>
      </c>
      <c r="C10" s="1">
        <v>94</v>
      </c>
      <c r="D10" s="1">
        <v>73</v>
      </c>
      <c r="E10" s="1">
        <v>120</v>
      </c>
      <c r="F10" s="1" t="s">
        <v>327</v>
      </c>
      <c r="G10" s="1">
        <v>92</v>
      </c>
      <c r="H10" s="27">
        <v>0.7</v>
      </c>
      <c r="I10" s="28" t="s">
        <v>1908</v>
      </c>
      <c r="J10" s="1" t="s">
        <v>1805</v>
      </c>
      <c r="K10" s="1">
        <f t="shared" si="4"/>
        <v>11040</v>
      </c>
      <c r="L10" s="1">
        <f t="shared" si="5"/>
        <v>117.44680851063829</v>
      </c>
    </row>
    <row r="11" spans="1:13">
      <c r="A11" s="1" t="s">
        <v>1907</v>
      </c>
      <c r="B11" s="1" t="s">
        <v>337</v>
      </c>
      <c r="C11" s="1">
        <v>94</v>
      </c>
      <c r="E11" s="1">
        <v>190</v>
      </c>
      <c r="F11" s="1" t="s">
        <v>327</v>
      </c>
      <c r="G11" s="1">
        <v>92</v>
      </c>
      <c r="H11" s="1" t="s">
        <v>1821</v>
      </c>
      <c r="K11" s="1">
        <f t="shared" si="4"/>
        <v>17480</v>
      </c>
      <c r="L11" s="1">
        <f t="shared" si="5"/>
        <v>185.95744680851064</v>
      </c>
    </row>
    <row r="12" spans="1:13">
      <c r="A12" s="1" t="s">
        <v>22</v>
      </c>
      <c r="B12" s="1" t="s">
        <v>54</v>
      </c>
      <c r="C12" s="1">
        <v>98</v>
      </c>
      <c r="D12" s="1">
        <v>100</v>
      </c>
      <c r="E12" s="1">
        <v>46.5</v>
      </c>
      <c r="F12" s="1" t="s">
        <v>327</v>
      </c>
      <c r="G12" s="1">
        <v>85</v>
      </c>
      <c r="H12" s="27">
        <v>1</v>
      </c>
      <c r="I12" s="28" t="s">
        <v>1909</v>
      </c>
      <c r="J12" s="1" t="s">
        <v>1807</v>
      </c>
      <c r="K12" s="1">
        <f t="shared" si="4"/>
        <v>3952.5</v>
      </c>
      <c r="L12" s="1">
        <f t="shared" si="5"/>
        <v>40.331632653061227</v>
      </c>
    </row>
    <row r="13" spans="1:13">
      <c r="A13" s="1" t="s">
        <v>1907</v>
      </c>
      <c r="B13" s="1" t="s">
        <v>54</v>
      </c>
      <c r="C13" s="1">
        <v>98</v>
      </c>
      <c r="E13" s="1">
        <v>100</v>
      </c>
      <c r="F13" s="1" t="s">
        <v>327</v>
      </c>
      <c r="G13" s="1">
        <v>85</v>
      </c>
      <c r="H13" s="1" t="s">
        <v>1821</v>
      </c>
      <c r="K13" s="1">
        <f t="shared" si="4"/>
        <v>8500</v>
      </c>
      <c r="L13" s="1">
        <f t="shared" si="5"/>
        <v>86.734693877551024</v>
      </c>
    </row>
    <row r="14" spans="1:13">
      <c r="A14" s="1" t="s">
        <v>12</v>
      </c>
      <c r="B14" s="1" t="s">
        <v>62</v>
      </c>
      <c r="C14" s="1">
        <v>98</v>
      </c>
      <c r="D14" s="1">
        <v>92</v>
      </c>
      <c r="E14" s="1">
        <v>80</v>
      </c>
      <c r="F14" s="1" t="s">
        <v>327</v>
      </c>
      <c r="G14" s="1">
        <v>99</v>
      </c>
      <c r="H14" s="27">
        <v>1</v>
      </c>
      <c r="I14" s="1" t="s">
        <v>1795</v>
      </c>
      <c r="K14" s="1">
        <f t="shared" si="4"/>
        <v>7920</v>
      </c>
      <c r="L14" s="1">
        <f t="shared" si="5"/>
        <v>80.816326530612244</v>
      </c>
    </row>
    <row r="15" spans="1:13">
      <c r="H15" s="27"/>
    </row>
    <row r="16" spans="1:13">
      <c r="H16" s="27"/>
      <c r="I16" s="28" t="s">
        <v>1824</v>
      </c>
    </row>
    <row r="17" spans="1:9">
      <c r="H17" s="27"/>
    </row>
    <row r="18" spans="1:9">
      <c r="A18" s="1"/>
      <c r="B18" s="1"/>
      <c r="C18" s="1"/>
      <c r="D18" s="1"/>
      <c r="E18" s="1"/>
      <c r="F18" s="1"/>
      <c r="G18" s="1"/>
      <c r="H18" s="27"/>
      <c r="I18" s="1"/>
    </row>
    <row r="19" spans="1:9">
      <c r="H19" s="27"/>
    </row>
    <row r="20" spans="1:9">
      <c r="H20" s="27"/>
    </row>
    <row r="21" spans="1:9">
      <c r="A21" s="1"/>
      <c r="B21" s="1"/>
      <c r="C21" s="1"/>
      <c r="D21" s="1"/>
      <c r="E21" s="1"/>
      <c r="F21" s="1"/>
      <c r="G21" s="1"/>
      <c r="H21" s="27"/>
      <c r="I21" s="1"/>
    </row>
    <row r="22" spans="1:9">
      <c r="H22" s="27"/>
    </row>
    <row r="23" spans="1:9">
      <c r="H23" s="27"/>
    </row>
    <row r="24" spans="1:9">
      <c r="H24" s="27"/>
    </row>
    <row r="25" spans="1:9">
      <c r="H25" s="27"/>
    </row>
    <row r="26" spans="1:9">
      <c r="H26" s="27"/>
    </row>
    <row r="27" spans="1:9">
      <c r="A27" s="1"/>
      <c r="B27" s="1"/>
      <c r="C27" s="1"/>
      <c r="D27" s="1"/>
      <c r="E27" s="1"/>
      <c r="F27" s="1"/>
      <c r="G27" s="1"/>
      <c r="H27" s="27"/>
      <c r="I27" s="1"/>
    </row>
    <row r="29" spans="1:9">
      <c r="A29" s="1"/>
      <c r="B29" s="1"/>
      <c r="C29" s="1"/>
      <c r="D29" s="1"/>
      <c r="E29" s="1"/>
      <c r="F29" s="1"/>
      <c r="G29" s="1"/>
      <c r="H29" s="27"/>
      <c r="I29" s="1"/>
    </row>
    <row r="30" spans="1:9">
      <c r="A30" s="1"/>
      <c r="B30" s="1"/>
      <c r="C30" s="1"/>
      <c r="D30" s="1"/>
      <c r="E30" s="1"/>
      <c r="F30" s="1"/>
      <c r="G30" s="1"/>
      <c r="H30" s="27"/>
      <c r="I30" s="1"/>
    </row>
    <row r="31" spans="1:9">
      <c r="H31" s="27"/>
    </row>
    <row r="32" spans="1:9">
      <c r="A32" s="1"/>
      <c r="B32" s="1"/>
      <c r="C32" s="1"/>
      <c r="D32" s="1"/>
      <c r="E32" s="1"/>
      <c r="F32" s="1"/>
      <c r="G32" s="1"/>
      <c r="H32" s="27"/>
    </row>
    <row r="33" spans="1:9">
      <c r="H33" s="27"/>
    </row>
    <row r="34" spans="1:9">
      <c r="A34" s="1"/>
      <c r="B34" s="1"/>
      <c r="C34" s="1"/>
      <c r="D34" s="1"/>
      <c r="E34" s="1"/>
      <c r="F34" s="1"/>
      <c r="G34" s="1"/>
      <c r="H34" s="27"/>
    </row>
    <row r="35" spans="1:9">
      <c r="H35" s="27"/>
    </row>
    <row r="36" spans="1:9">
      <c r="A36" s="1"/>
      <c r="B36" s="1"/>
      <c r="C36" s="1"/>
      <c r="D36" s="1"/>
      <c r="E36" s="1"/>
      <c r="F36" s="1"/>
      <c r="G36" s="1"/>
      <c r="H36" s="1"/>
    </row>
    <row r="37" spans="1:9">
      <c r="H37" s="27"/>
    </row>
    <row r="38" spans="1:9">
      <c r="H38" s="27"/>
    </row>
    <row r="39" spans="1:9">
      <c r="H39" s="27"/>
    </row>
    <row r="40" spans="1:9">
      <c r="A40" s="1"/>
      <c r="B40" s="1"/>
      <c r="C40" s="1"/>
      <c r="D40" s="1"/>
      <c r="E40" s="1"/>
      <c r="F40" s="1"/>
      <c r="G40" s="1"/>
      <c r="H40" s="27"/>
    </row>
    <row r="41" spans="1:9">
      <c r="H41" s="27"/>
    </row>
    <row r="42" spans="1:9">
      <c r="H42" s="27"/>
    </row>
    <row r="43" spans="1:9">
      <c r="H43" s="27"/>
    </row>
    <row r="44" spans="1:9">
      <c r="H44" s="27"/>
    </row>
    <row r="45" spans="1:9">
      <c r="H45" s="27"/>
    </row>
    <row r="46" spans="1:9">
      <c r="A46" s="1"/>
      <c r="B46" s="1"/>
      <c r="C46" s="1"/>
      <c r="D46" s="1"/>
      <c r="E46" s="1"/>
      <c r="F46" s="1"/>
      <c r="G46" s="1"/>
      <c r="H46" s="27"/>
      <c r="I46" s="1"/>
    </row>
    <row r="47" spans="1:9">
      <c r="H47" s="27"/>
    </row>
    <row r="48" spans="1:9">
      <c r="H48" s="27"/>
    </row>
    <row r="49" spans="1:9">
      <c r="H49" s="27"/>
    </row>
    <row r="50" spans="1:9">
      <c r="H50" s="27"/>
    </row>
    <row r="51" spans="1:9">
      <c r="H51" s="27"/>
    </row>
    <row r="52" spans="1:9">
      <c r="H52" s="27"/>
    </row>
    <row r="53" spans="1:9">
      <c r="H53" s="27"/>
    </row>
    <row r="54" spans="1:9">
      <c r="A54" s="1"/>
      <c r="B54" s="1"/>
      <c r="C54" s="1"/>
      <c r="D54" s="1"/>
      <c r="E54" s="1"/>
      <c r="F54" s="1"/>
      <c r="G54" s="1"/>
      <c r="H54" s="27"/>
      <c r="I5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PokemonList</vt:lpstr>
      <vt:lpstr>WeaknessChart</vt:lpstr>
      <vt:lpstr>Stars</vt:lpstr>
      <vt:lpstr>Move_List</vt:lpstr>
      <vt:lpstr>MoveList_OLD</vt:lpstr>
      <vt:lpstr>Main_Table</vt:lpstr>
      <vt:lpstr>StardustV1 (Sub100)</vt:lpstr>
      <vt:lpstr>StardustV2 (Sub100)</vt:lpstr>
      <vt:lpstr>StardustV1 (Full)</vt:lpstr>
      <vt:lpstr>StardustV2 (Full)</vt:lpstr>
      <vt:lpstr>Stardust 3</vt:lpstr>
      <vt:lpstr>Stardust 4</vt:lpstr>
      <vt:lpstr>Promo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</dc:creator>
  <cp:lastModifiedBy>office56730</cp:lastModifiedBy>
  <dcterms:created xsi:type="dcterms:W3CDTF">2026-03-02T00:15:59Z</dcterms:created>
  <dcterms:modified xsi:type="dcterms:W3CDTF">2026-03-02T23:56:32Z</dcterms:modified>
</cp:coreProperties>
</file>